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xr:revisionPtr revIDLastSave="0" documentId="13_ncr:41000001_{B3EE4816-5B29-2049-975C-7EC26AD62E07}" xr6:coauthVersionLast="47" xr6:coauthVersionMax="47" xr10:uidLastSave="{00000000-0000-0000-0000-000000000000}"/>
  <bookViews>
    <workbookView xWindow="360" yWindow="270" windowWidth="14940" windowHeight="9150" activeTab="4" xr2:uid="{00000000-000D-0000-FFFF-FFFF00000000}"/>
  </bookViews>
  <sheets>
    <sheet name="庫存查詢表" sheetId="1" r:id="rId1"/>
    <sheet name="每日用量查詢" sheetId="2" r:id="rId2"/>
    <sheet name="歷年使用粉號" sheetId="3" r:id="rId3"/>
    <sheet name="每日用粉紀錄表" sheetId="4" r:id="rId4"/>
    <sheet name="工作表1" sheetId="5" r:id="rId5"/>
    <sheet name="當前庫存" sheetId="6" r:id="rId6"/>
    <sheet name="對照表" sheetId="7" r:id="rId7"/>
    <sheet name="期初庫存" sheetId="8" r:id="rId8"/>
    <sheet name="歸還" sheetId="9" r:id="rId9"/>
    <sheet name="借出" sheetId="10" r:id="rId10"/>
    <sheet name="採購入庫" sheetId="11" r:id="rId11"/>
    <sheet name="烤漆色號編碼" sheetId="12" r:id="rId12"/>
    <sheet name="使用中色粉" sheetId="13" r:id="rId13"/>
    <sheet name="庫存統計" sheetId="14" r:id="rId14"/>
    <sheet name="廢粉紀錄" sheetId="15" r:id="rId15"/>
    <sheet name="粉號分類" sheetId="16" r:id="rId16"/>
  </sheets>
  <definedNames>
    <definedName name="_xlnm._FilterDatabase" localSheetId="5" hidden="1">當前庫存!$A$3:$M$1005</definedName>
    <definedName name="色號">烤漆色號編碼!$A$2:$A$29</definedName>
    <definedName name="烤漆粉號">烤漆色號編碼!$A$2:$E$29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5" l="1"/>
  <c r="H6" i="4"/>
  <c r="J6" i="4"/>
  <c r="H11" i="4"/>
  <c r="J11" i="4"/>
  <c r="H18" i="4"/>
  <c r="J18" i="4"/>
  <c r="H25" i="4"/>
  <c r="J25" i="4"/>
  <c r="H126" i="4"/>
  <c r="J126" i="4"/>
  <c r="H125" i="4"/>
  <c r="J125" i="4"/>
  <c r="H124" i="4"/>
  <c r="J124" i="4"/>
  <c r="H123" i="4"/>
  <c r="J123" i="4"/>
  <c r="H122" i="4"/>
  <c r="J122" i="4"/>
  <c r="H121" i="4"/>
  <c r="J121" i="4"/>
  <c r="H120" i="4"/>
  <c r="J120" i="4"/>
  <c r="H119" i="4"/>
  <c r="J119" i="4"/>
  <c r="H118" i="4"/>
  <c r="J118" i="4"/>
  <c r="H117" i="4"/>
  <c r="J117" i="4"/>
  <c r="H116" i="4"/>
  <c r="J116" i="4"/>
  <c r="H115" i="4"/>
  <c r="J115" i="4"/>
  <c r="H114" i="4"/>
  <c r="J114" i="4"/>
  <c r="H113" i="4"/>
  <c r="J113" i="4"/>
  <c r="H112" i="4"/>
  <c r="J112" i="4"/>
  <c r="H111" i="4"/>
  <c r="J111" i="4"/>
  <c r="H110" i="4"/>
  <c r="J110" i="4"/>
  <c r="H109" i="4"/>
  <c r="J109" i="4"/>
  <c r="H108" i="4"/>
  <c r="J108" i="4"/>
  <c r="H107" i="4"/>
  <c r="J107" i="4"/>
  <c r="H106" i="4"/>
  <c r="J106" i="4"/>
  <c r="H105" i="4"/>
  <c r="J105" i="4"/>
  <c r="H104" i="4"/>
  <c r="J104" i="4"/>
  <c r="H103" i="4"/>
  <c r="J103" i="4"/>
  <c r="H102" i="4"/>
  <c r="J102" i="4"/>
  <c r="H101" i="4"/>
  <c r="J101" i="4"/>
  <c r="H100" i="4"/>
  <c r="J100" i="4"/>
  <c r="H99" i="4"/>
  <c r="J99" i="4"/>
  <c r="H98" i="4"/>
  <c r="J98" i="4"/>
  <c r="H97" i="4"/>
  <c r="J97" i="4"/>
  <c r="H96" i="4"/>
  <c r="J96" i="4"/>
  <c r="H95" i="4"/>
  <c r="J95" i="4"/>
  <c r="H94" i="4"/>
  <c r="J94" i="4"/>
  <c r="H93" i="4"/>
  <c r="J93" i="4"/>
  <c r="H92" i="4"/>
  <c r="J92" i="4"/>
  <c r="H91" i="4"/>
  <c r="J91" i="4"/>
  <c r="H90" i="4"/>
  <c r="J90" i="4"/>
  <c r="H89" i="4"/>
  <c r="J89" i="4"/>
  <c r="H88" i="4"/>
  <c r="J88" i="4"/>
  <c r="H87" i="4"/>
  <c r="J87" i="4"/>
  <c r="H86" i="4"/>
  <c r="J86" i="4"/>
  <c r="H85" i="4"/>
  <c r="J85" i="4"/>
  <c r="H84" i="4"/>
  <c r="J84" i="4"/>
  <c r="H83" i="4"/>
  <c r="J83" i="4"/>
  <c r="H82" i="4"/>
  <c r="J82" i="4"/>
  <c r="H81" i="4"/>
  <c r="J81" i="4"/>
  <c r="H80" i="4"/>
  <c r="J80" i="4"/>
  <c r="H79" i="4"/>
  <c r="J79" i="4"/>
  <c r="H78" i="4"/>
  <c r="J78" i="4"/>
  <c r="H77" i="4"/>
  <c r="J77" i="4"/>
  <c r="H76" i="4"/>
  <c r="J76" i="4"/>
  <c r="H75" i="4"/>
  <c r="J75" i="4"/>
  <c r="H74" i="4"/>
  <c r="J74" i="4"/>
  <c r="H73" i="4"/>
  <c r="J73" i="4"/>
  <c r="H72" i="4"/>
  <c r="J72" i="4"/>
  <c r="G71" i="4"/>
  <c r="H71" i="4"/>
  <c r="J71" i="4"/>
  <c r="H70" i="4"/>
  <c r="J70" i="4"/>
  <c r="G69" i="4"/>
  <c r="H69" i="4"/>
  <c r="I69" i="4"/>
  <c r="J69" i="4"/>
  <c r="G68" i="4"/>
  <c r="H68" i="4"/>
  <c r="I68" i="4"/>
  <c r="J68" i="4"/>
  <c r="H67" i="4"/>
  <c r="J67" i="4"/>
  <c r="H65" i="4"/>
  <c r="I65" i="4"/>
  <c r="J65" i="4"/>
  <c r="H64" i="4"/>
  <c r="J64" i="4"/>
  <c r="H63" i="4"/>
  <c r="J63" i="4"/>
  <c r="H62" i="4"/>
  <c r="J62" i="4"/>
  <c r="H61" i="4"/>
  <c r="J61" i="4"/>
  <c r="G60" i="4"/>
  <c r="H60" i="4"/>
  <c r="J60" i="4"/>
  <c r="H59" i="4"/>
  <c r="J59" i="4"/>
  <c r="H58" i="4"/>
  <c r="J58" i="4"/>
  <c r="H57" i="4"/>
  <c r="J57" i="4"/>
  <c r="G56" i="4"/>
  <c r="H56" i="4"/>
  <c r="I56" i="4"/>
  <c r="J56" i="4"/>
  <c r="H55" i="4"/>
  <c r="J55" i="4"/>
  <c r="G54" i="4"/>
  <c r="H54" i="4"/>
  <c r="I54" i="4"/>
  <c r="J54" i="4"/>
  <c r="H53" i="4"/>
  <c r="J53" i="4"/>
  <c r="H52" i="4"/>
  <c r="J52" i="4"/>
  <c r="G49" i="4"/>
  <c r="H49" i="4"/>
  <c r="I49" i="4"/>
  <c r="J49" i="4"/>
  <c r="H48" i="4"/>
  <c r="J48" i="4"/>
  <c r="H47" i="4"/>
  <c r="J47" i="4"/>
  <c r="G46" i="4"/>
  <c r="H46" i="4"/>
  <c r="I46" i="4"/>
  <c r="J46" i="4"/>
  <c r="H45" i="4"/>
  <c r="J45" i="4"/>
  <c r="H44" i="4"/>
  <c r="J44" i="4"/>
  <c r="H43" i="4"/>
  <c r="J43" i="4"/>
  <c r="H42" i="4"/>
  <c r="J42" i="4"/>
  <c r="H41" i="4"/>
  <c r="J41" i="4"/>
  <c r="H40" i="4"/>
  <c r="J40" i="4"/>
  <c r="G39" i="4"/>
  <c r="H39" i="4"/>
  <c r="I39" i="4"/>
  <c r="J39" i="4"/>
  <c r="H38" i="4"/>
  <c r="J38" i="4"/>
  <c r="H37" i="4"/>
  <c r="I37" i="4"/>
  <c r="J37" i="4"/>
  <c r="H36" i="4"/>
  <c r="J36" i="4"/>
  <c r="H34" i="4"/>
  <c r="J34" i="4"/>
  <c r="H32" i="4"/>
  <c r="J32" i="4"/>
  <c r="H31" i="4"/>
  <c r="J31" i="4"/>
  <c r="H30" i="4"/>
  <c r="J30" i="4"/>
  <c r="H29" i="4"/>
  <c r="J29" i="4"/>
  <c r="H28" i="4"/>
  <c r="J28" i="4"/>
  <c r="G27" i="4"/>
  <c r="H27" i="4"/>
  <c r="J27" i="4"/>
  <c r="H26" i="4"/>
  <c r="J26" i="4"/>
  <c r="G24" i="4"/>
  <c r="H24" i="4"/>
  <c r="I24" i="4"/>
  <c r="J24" i="4"/>
  <c r="H23" i="4"/>
  <c r="J23" i="4"/>
  <c r="H22" i="4"/>
  <c r="J22" i="4"/>
  <c r="H21" i="4"/>
  <c r="J21" i="4"/>
  <c r="H20" i="4"/>
  <c r="J20" i="4"/>
  <c r="H19" i="4"/>
  <c r="J19" i="4"/>
  <c r="H17" i="4"/>
  <c r="J17" i="4"/>
  <c r="H16" i="4"/>
  <c r="J16" i="4"/>
  <c r="H15" i="4"/>
  <c r="J15" i="4"/>
  <c r="H14" i="4"/>
  <c r="J14" i="4"/>
  <c r="H13" i="4"/>
  <c r="J13" i="4"/>
  <c r="H12" i="4"/>
  <c r="I12" i="4"/>
  <c r="J12" i="4"/>
  <c r="H10" i="4"/>
  <c r="J10" i="4"/>
  <c r="H9" i="4"/>
  <c r="J9" i="4"/>
  <c r="H8" i="4"/>
  <c r="J8" i="4"/>
  <c r="H7" i="4"/>
  <c r="J7" i="4"/>
  <c r="G5" i="4"/>
  <c r="H5" i="4"/>
  <c r="J5" i="4"/>
  <c r="D4" i="15"/>
  <c r="C3" i="14"/>
  <c r="C4" i="6"/>
  <c r="C4" i="8"/>
  <c r="F4" i="8"/>
  <c r="C5" i="8"/>
  <c r="C6"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F42" i="8"/>
  <c r="F38" i="8"/>
  <c r="F37" i="8"/>
  <c r="F36" i="8"/>
  <c r="F27" i="8"/>
  <c r="F23" i="8"/>
  <c r="F22" i="8"/>
  <c r="F17" i="8"/>
  <c r="F13" i="8"/>
  <c r="F8" i="8"/>
  <c r="F4" i="6"/>
  <c r="C5"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G4" i="6"/>
  <c r="D3" i="14" a="1"/>
  <c r="D3" i="14"/>
  <c r="G3" i="14"/>
  <c r="C4" i="14"/>
  <c r="D4" i="14" a="1"/>
  <c r="D4" i="14"/>
  <c r="G4" i="14"/>
  <c r="C5" i="14"/>
  <c r="D5" i="14" a="1"/>
  <c r="D5" i="14"/>
  <c r="G5" i="14"/>
  <c r="C6" i="14"/>
  <c r="D6" i="14" a="1"/>
  <c r="D6" i="14"/>
  <c r="G6" i="14"/>
  <c r="C39" i="14"/>
  <c r="D39" i="14" a="1"/>
  <c r="D39" i="14"/>
  <c r="G39" i="14"/>
  <c r="C38" i="14"/>
  <c r="D38" i="14" a="1"/>
  <c r="D38" i="14"/>
  <c r="G38" i="14"/>
  <c r="C37" i="14"/>
  <c r="D37" i="14" a="1"/>
  <c r="D37" i="14"/>
  <c r="G37" i="14"/>
  <c r="C36" i="14"/>
  <c r="D36" i="14" a="1"/>
  <c r="D36" i="14"/>
  <c r="G36" i="14"/>
  <c r="C35" i="14"/>
  <c r="D35" i="14" a="1"/>
  <c r="D35" i="14"/>
  <c r="G35" i="14"/>
  <c r="C34" i="14"/>
  <c r="D34" i="14" a="1"/>
  <c r="D34" i="14"/>
  <c r="G34" i="14"/>
  <c r="C33" i="14"/>
  <c r="D33" i="14" a="1"/>
  <c r="D33" i="14"/>
  <c r="G33" i="14"/>
  <c r="C32" i="14"/>
  <c r="D32" i="14" a="1"/>
  <c r="D32" i="14"/>
  <c r="G32" i="14"/>
  <c r="C31" i="14"/>
  <c r="D31" i="14" a="1"/>
  <c r="D31" i="14"/>
  <c r="G31" i="14"/>
  <c r="C30" i="14"/>
  <c r="D30" i="14" a="1"/>
  <c r="D30" i="14"/>
  <c r="G30" i="14"/>
  <c r="C29" i="14"/>
  <c r="D29" i="14" a="1"/>
  <c r="D29" i="14"/>
  <c r="G29" i="14"/>
  <c r="C28" i="14"/>
  <c r="D28" i="14" a="1"/>
  <c r="D28" i="14"/>
  <c r="G28" i="14"/>
  <c r="C27" i="14"/>
  <c r="D27" i="14" a="1"/>
  <c r="D27" i="14"/>
  <c r="G27" i="14"/>
  <c r="C26" i="14"/>
  <c r="D26" i="14" a="1"/>
  <c r="D26" i="14"/>
  <c r="G26" i="14"/>
  <c r="C25" i="14"/>
  <c r="D25" i="14" a="1"/>
  <c r="D25" i="14"/>
  <c r="G25" i="14"/>
  <c r="C24" i="14"/>
  <c r="D24" i="14" a="1"/>
  <c r="D24" i="14"/>
  <c r="G24" i="14"/>
  <c r="C23" i="14"/>
  <c r="D23" i="14" a="1"/>
  <c r="D23" i="14"/>
  <c r="G23" i="14"/>
  <c r="C22" i="14"/>
  <c r="D22" i="14" a="1"/>
  <c r="D22" i="14"/>
  <c r="G22" i="14"/>
  <c r="C21" i="14"/>
  <c r="D21" i="14" a="1"/>
  <c r="D21" i="14"/>
  <c r="G21" i="14"/>
  <c r="C20" i="14"/>
  <c r="D20" i="14" a="1"/>
  <c r="D20" i="14"/>
  <c r="G20" i="14"/>
  <c r="C19" i="14"/>
  <c r="D19" i="14" a="1"/>
  <c r="D19" i="14"/>
  <c r="G19" i="14"/>
  <c r="C18" i="14"/>
  <c r="D18" i="14" a="1"/>
  <c r="D18" i="14"/>
  <c r="G18" i="14"/>
  <c r="C17" i="14"/>
  <c r="D17" i="14" a="1"/>
  <c r="D17" i="14"/>
  <c r="G17" i="14"/>
  <c r="C16" i="14"/>
  <c r="D16" i="14" a="1"/>
  <c r="D16" i="14"/>
  <c r="G16" i="14"/>
  <c r="C15" i="14"/>
  <c r="D15" i="14" a="1"/>
  <c r="D15" i="14"/>
  <c r="G15" i="14"/>
  <c r="C14" i="14"/>
  <c r="D14" i="14" a="1"/>
  <c r="D14" i="14"/>
  <c r="G14" i="14"/>
  <c r="C13" i="14"/>
  <c r="D13" i="14" a="1"/>
  <c r="D13" i="14"/>
  <c r="G13" i="14"/>
  <c r="C12" i="14"/>
  <c r="D12" i="14" a="1"/>
  <c r="D12" i="14"/>
  <c r="G12" i="14"/>
  <c r="C11" i="14"/>
  <c r="D11" i="14" a="1"/>
  <c r="D11" i="14"/>
  <c r="G11" i="14"/>
  <c r="C10" i="14"/>
  <c r="D10" i="14" a="1"/>
  <c r="D10" i="14"/>
  <c r="G10" i="14"/>
  <c r="C9" i="14"/>
  <c r="D9" i="14" a="1"/>
  <c r="D9" i="14"/>
  <c r="G9" i="14"/>
  <c r="C8" i="14"/>
  <c r="D8" i="14" a="1"/>
  <c r="D8" i="14"/>
  <c r="G8" i="14"/>
  <c r="C7" i="14"/>
  <c r="D7" i="14" a="1"/>
  <c r="D7" i="14"/>
  <c r="G7" i="14"/>
  <c r="G41" i="14"/>
  <c r="E3" i="14"/>
  <c r="E4" i="14"/>
  <c r="E5" i="14"/>
  <c r="E6"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41" i="14"/>
  <c r="C40" i="14"/>
  <c r="D40" i="14" a="1"/>
  <c r="D40" i="14"/>
  <c r="G40" i="14"/>
  <c r="E40" i="14"/>
  <c r="G5" i="6"/>
  <c r="B28" i="13"/>
  <c r="F28" i="13"/>
  <c r="E28" i="13"/>
  <c r="D28" i="13"/>
  <c r="B27" i="13"/>
  <c r="F27" i="13"/>
  <c r="E27" i="13"/>
  <c r="D27" i="13"/>
  <c r="B26" i="13"/>
  <c r="F26" i="13"/>
  <c r="E26" i="13"/>
  <c r="D26" i="13"/>
  <c r="B25" i="13"/>
  <c r="F25" i="13"/>
  <c r="E25" i="13"/>
  <c r="D25" i="13"/>
  <c r="B24" i="13"/>
  <c r="F24" i="13"/>
  <c r="E24" i="13"/>
  <c r="D24" i="13"/>
  <c r="B23" i="13"/>
  <c r="F23" i="13"/>
  <c r="E23" i="13"/>
  <c r="D23" i="13"/>
  <c r="B22" i="13"/>
  <c r="F22" i="13"/>
  <c r="E22" i="13"/>
  <c r="D22" i="13"/>
  <c r="B21" i="13"/>
  <c r="F21" i="13"/>
  <c r="E21" i="13"/>
  <c r="D21" i="13"/>
  <c r="B20" i="13"/>
  <c r="F20" i="13"/>
  <c r="E20" i="13"/>
  <c r="D20" i="13"/>
  <c r="B19" i="13"/>
  <c r="F19" i="13"/>
  <c r="E19" i="13"/>
  <c r="D19" i="13"/>
  <c r="B18" i="13"/>
  <c r="F18" i="13"/>
  <c r="E18" i="13"/>
  <c r="D18" i="13"/>
  <c r="B17" i="13"/>
  <c r="F17" i="13"/>
  <c r="E17" i="13"/>
  <c r="D17" i="13"/>
  <c r="B16" i="13"/>
  <c r="F16" i="13"/>
  <c r="E16" i="13"/>
  <c r="D16" i="13"/>
  <c r="B15" i="13"/>
  <c r="F15" i="13"/>
  <c r="E15" i="13"/>
  <c r="D15" i="13"/>
  <c r="B14" i="13"/>
  <c r="F14" i="13"/>
  <c r="E14" i="13"/>
  <c r="D14" i="13"/>
  <c r="B13" i="13"/>
  <c r="F13" i="13"/>
  <c r="E13" i="13"/>
  <c r="D13" i="13"/>
  <c r="B12" i="13"/>
  <c r="F12" i="13"/>
  <c r="E12" i="13"/>
  <c r="D12" i="13"/>
  <c r="B11" i="13"/>
  <c r="F11" i="13"/>
  <c r="E11" i="13"/>
  <c r="D11" i="13"/>
  <c r="B10" i="13"/>
  <c r="F10" i="13"/>
  <c r="E10" i="13"/>
  <c r="D10" i="13"/>
  <c r="B9" i="13"/>
  <c r="F9" i="13"/>
  <c r="E9" i="13"/>
  <c r="D9" i="13"/>
  <c r="B8" i="13"/>
  <c r="F8" i="13"/>
  <c r="E8" i="13"/>
  <c r="D8" i="13"/>
  <c r="B7" i="13"/>
  <c r="F7" i="13"/>
  <c r="E7" i="13"/>
  <c r="D7" i="13"/>
  <c r="B6" i="13"/>
  <c r="F6" i="13"/>
  <c r="E6" i="13"/>
  <c r="D6" i="13"/>
  <c r="B5" i="13"/>
  <c r="F5" i="13"/>
  <c r="E5" i="13"/>
  <c r="D5" i="13"/>
  <c r="B4" i="13"/>
  <c r="F4" i="13"/>
  <c r="E4" i="13"/>
  <c r="D4" i="13"/>
  <c r="B3" i="13"/>
  <c r="F3" i="13"/>
  <c r="E3" i="13"/>
  <c r="D3" i="13"/>
  <c r="B2" i="13"/>
  <c r="F2" i="13"/>
  <c r="E2" i="13"/>
  <c r="D2" i="13"/>
  <c r="I130" i="11"/>
  <c r="I129" i="11"/>
  <c r="I128" i="11"/>
  <c r="I127" i="11"/>
  <c r="I126" i="11"/>
  <c r="I125" i="11"/>
  <c r="I124" i="11"/>
  <c r="I123" i="11"/>
  <c r="I122" i="11"/>
  <c r="I121" i="11"/>
  <c r="I120" i="11"/>
  <c r="I119" i="11"/>
  <c r="I118" i="11"/>
  <c r="I117" i="11"/>
  <c r="I116" i="11"/>
  <c r="I115" i="11"/>
  <c r="I114" i="11"/>
  <c r="I113" i="11"/>
  <c r="I112" i="11"/>
  <c r="I111" i="11"/>
  <c r="I110" i="11"/>
  <c r="I109" i="11"/>
  <c r="I108" i="11"/>
  <c r="I107" i="11"/>
  <c r="I106" i="11"/>
  <c r="I105" i="11"/>
  <c r="I104" i="11"/>
  <c r="I103" i="11"/>
  <c r="I102" i="11"/>
  <c r="I101" i="11"/>
  <c r="I100" i="11"/>
  <c r="I99" i="11"/>
  <c r="I98" i="11"/>
  <c r="I97" i="11"/>
  <c r="I96" i="11"/>
  <c r="I95" i="11"/>
  <c r="I94" i="11"/>
  <c r="I93" i="11"/>
  <c r="I92" i="11"/>
  <c r="I91" i="11"/>
  <c r="I90" i="11"/>
  <c r="I89" i="11"/>
  <c r="I88" i="11"/>
  <c r="I87" i="11"/>
  <c r="I86" i="11"/>
  <c r="I85" i="11"/>
  <c r="I84" i="11"/>
  <c r="I83" i="11"/>
  <c r="I82" i="11"/>
  <c r="I81" i="11"/>
  <c r="I80" i="11"/>
  <c r="I79" i="11"/>
  <c r="I78" i="11"/>
  <c r="I77" i="11"/>
  <c r="I76" i="11"/>
  <c r="I75" i="11"/>
  <c r="I74" i="11"/>
  <c r="I73" i="11"/>
  <c r="I72" i="11"/>
  <c r="I71" i="11"/>
  <c r="I70" i="11"/>
  <c r="I69" i="11"/>
  <c r="I68" i="11"/>
  <c r="I67" i="11"/>
  <c r="I66" i="11"/>
  <c r="I65" i="11"/>
  <c r="I64" i="11"/>
  <c r="I63" i="11"/>
  <c r="I62" i="11"/>
  <c r="I61" i="11"/>
  <c r="I60" i="11"/>
  <c r="I59" i="11"/>
  <c r="I58" i="11"/>
  <c r="I57" i="11"/>
  <c r="I56" i="11"/>
  <c r="I55" i="11"/>
  <c r="I54" i="11"/>
  <c r="I53" i="11"/>
  <c r="I52" i="11"/>
  <c r="I51" i="11"/>
  <c r="I50" i="11"/>
  <c r="I49" i="11"/>
  <c r="I48" i="11"/>
  <c r="I47" i="11"/>
  <c r="F47" i="11"/>
  <c r="E47" i="11"/>
  <c r="I46" i="11"/>
  <c r="F46" i="11"/>
  <c r="E46" i="11"/>
  <c r="I45" i="11"/>
  <c r="F45" i="11"/>
  <c r="E45" i="11"/>
  <c r="I44" i="11"/>
  <c r="F44" i="11"/>
  <c r="E44" i="11"/>
  <c r="I43" i="11"/>
  <c r="F43" i="11"/>
  <c r="E43" i="11"/>
  <c r="I42" i="11"/>
  <c r="F42" i="11"/>
  <c r="E42" i="11"/>
  <c r="C42" i="11"/>
  <c r="I41" i="11"/>
  <c r="F41" i="11"/>
  <c r="E41" i="11"/>
  <c r="C41" i="11"/>
  <c r="I40" i="11"/>
  <c r="F40" i="11"/>
  <c r="E40" i="11"/>
  <c r="C40" i="11"/>
  <c r="I39" i="11"/>
  <c r="F39" i="11"/>
  <c r="E39" i="11"/>
  <c r="C39" i="11"/>
  <c r="I38" i="11"/>
  <c r="F38" i="11"/>
  <c r="E38" i="11"/>
  <c r="C38" i="11"/>
  <c r="I37" i="11"/>
  <c r="F37" i="11"/>
  <c r="E37" i="11"/>
  <c r="C37" i="11"/>
  <c r="I36" i="11"/>
  <c r="F36" i="11"/>
  <c r="E36" i="11"/>
  <c r="C36" i="11"/>
  <c r="I35" i="11"/>
  <c r="F35" i="11"/>
  <c r="E35" i="11"/>
  <c r="C35" i="11"/>
  <c r="I34" i="11"/>
  <c r="F34" i="11"/>
  <c r="E34" i="11"/>
  <c r="C34" i="11"/>
  <c r="I33" i="11"/>
  <c r="F33" i="11"/>
  <c r="E33" i="11"/>
  <c r="C33" i="11"/>
  <c r="I32" i="11"/>
  <c r="F32" i="11"/>
  <c r="E32" i="11"/>
  <c r="I31" i="11"/>
  <c r="F31" i="11"/>
  <c r="E31" i="11"/>
  <c r="I30" i="11"/>
  <c r="F30" i="11"/>
  <c r="E30" i="11"/>
  <c r="I29" i="11"/>
  <c r="F29" i="11"/>
  <c r="E29" i="11"/>
  <c r="I28" i="11"/>
  <c r="F28" i="11"/>
  <c r="E28" i="11"/>
  <c r="I27" i="11"/>
  <c r="F27" i="11"/>
  <c r="E27" i="11"/>
  <c r="I26" i="11"/>
  <c r="F26" i="11"/>
  <c r="E26" i="11"/>
  <c r="I25" i="11"/>
  <c r="F25" i="11"/>
  <c r="E25" i="11"/>
  <c r="I24" i="11"/>
  <c r="F24" i="11"/>
  <c r="E24" i="11"/>
  <c r="I23" i="11"/>
  <c r="F23" i="11"/>
  <c r="E23" i="11"/>
  <c r="I22" i="11"/>
  <c r="F22" i="11"/>
  <c r="E22" i="11"/>
  <c r="I21" i="11"/>
  <c r="F21" i="11"/>
  <c r="E21" i="11"/>
  <c r="I20" i="11"/>
  <c r="F20" i="11"/>
  <c r="E20" i="11"/>
  <c r="I19" i="11"/>
  <c r="F19" i="11"/>
  <c r="E19" i="11"/>
  <c r="I18" i="11"/>
  <c r="F18" i="11"/>
  <c r="E18" i="11"/>
  <c r="I17" i="11"/>
  <c r="F17" i="11"/>
  <c r="E17" i="11"/>
  <c r="I16" i="11"/>
  <c r="F16" i="11"/>
  <c r="E16" i="11"/>
  <c r="I15" i="11"/>
  <c r="F15" i="11"/>
  <c r="E15" i="11"/>
  <c r="I14" i="11"/>
  <c r="F14" i="11"/>
  <c r="E14" i="11"/>
  <c r="I13" i="11"/>
  <c r="F13" i="11"/>
  <c r="E13" i="11"/>
  <c r="I12" i="11"/>
  <c r="F12" i="11"/>
  <c r="E12" i="11"/>
  <c r="I11" i="11"/>
  <c r="F11" i="11"/>
  <c r="E11" i="11"/>
  <c r="I10" i="11"/>
  <c r="F10" i="11"/>
  <c r="E10" i="11"/>
  <c r="I9" i="11"/>
  <c r="F9" i="11"/>
  <c r="E9" i="11"/>
  <c r="I8" i="11"/>
  <c r="F8" i="11"/>
  <c r="E8" i="11"/>
  <c r="I7" i="11"/>
  <c r="F7" i="11"/>
  <c r="E7" i="11"/>
  <c r="I6" i="11"/>
  <c r="F6" i="11"/>
  <c r="E6" i="11"/>
  <c r="I5" i="11"/>
  <c r="F5" i="11"/>
  <c r="E5" i="11"/>
  <c r="I4" i="11"/>
  <c r="F4" i="11"/>
  <c r="E4" i="11"/>
  <c r="I130" i="10"/>
  <c r="I129" i="10"/>
  <c r="I128" i="10"/>
  <c r="I127" i="10"/>
  <c r="I126" i="10"/>
  <c r="I125" i="10"/>
  <c r="I124" i="10"/>
  <c r="I123" i="10"/>
  <c r="I122" i="10"/>
  <c r="I121" i="10"/>
  <c r="I120" i="10"/>
  <c r="I119" i="10"/>
  <c r="I118" i="10"/>
  <c r="I117" i="10"/>
  <c r="I116" i="10"/>
  <c r="I115" i="10"/>
  <c r="I114" i="10"/>
  <c r="I113" i="10"/>
  <c r="I112" i="10"/>
  <c r="I111" i="10"/>
  <c r="I110" i="10"/>
  <c r="I109" i="10"/>
  <c r="I108" i="10"/>
  <c r="I107" i="10"/>
  <c r="I106" i="10"/>
  <c r="I105" i="10"/>
  <c r="I104" i="10"/>
  <c r="I103" i="10"/>
  <c r="I102" i="10"/>
  <c r="I101" i="10"/>
  <c r="I100" i="10"/>
  <c r="I99" i="10"/>
  <c r="I98" i="10"/>
  <c r="I97" i="10"/>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F47" i="10"/>
  <c r="E47" i="10"/>
  <c r="I46" i="10"/>
  <c r="F46" i="10"/>
  <c r="E46" i="10"/>
  <c r="I45" i="10"/>
  <c r="F45" i="10"/>
  <c r="E45" i="10"/>
  <c r="I44" i="10"/>
  <c r="F44" i="10"/>
  <c r="E44" i="10"/>
  <c r="I43" i="10"/>
  <c r="F43" i="10"/>
  <c r="E43" i="10"/>
  <c r="I42" i="10"/>
  <c r="F42" i="10"/>
  <c r="E42" i="10"/>
  <c r="C42" i="10"/>
  <c r="I41" i="10"/>
  <c r="F41" i="10"/>
  <c r="E41" i="10"/>
  <c r="C41" i="10"/>
  <c r="I40" i="10"/>
  <c r="F40" i="10"/>
  <c r="E40" i="10"/>
  <c r="C40" i="10"/>
  <c r="I39" i="10"/>
  <c r="F39" i="10"/>
  <c r="E39" i="10"/>
  <c r="C39" i="10"/>
  <c r="I38" i="10"/>
  <c r="F38" i="10"/>
  <c r="E38" i="10"/>
  <c r="C38" i="10"/>
  <c r="I37" i="10"/>
  <c r="F37" i="10"/>
  <c r="E37" i="10"/>
  <c r="C37" i="10"/>
  <c r="I36" i="10"/>
  <c r="F36" i="10"/>
  <c r="E36" i="10"/>
  <c r="C36" i="10"/>
  <c r="I35" i="10"/>
  <c r="F35" i="10"/>
  <c r="E35" i="10"/>
  <c r="C35" i="10"/>
  <c r="I34" i="10"/>
  <c r="F34" i="10"/>
  <c r="E34" i="10"/>
  <c r="C34" i="10"/>
  <c r="I33" i="10"/>
  <c r="F33" i="10"/>
  <c r="E33" i="10"/>
  <c r="C33" i="10"/>
  <c r="I32" i="10"/>
  <c r="F32" i="10"/>
  <c r="E32" i="10"/>
  <c r="I31" i="10"/>
  <c r="F31" i="10"/>
  <c r="E31" i="10"/>
  <c r="I30" i="10"/>
  <c r="F30" i="10"/>
  <c r="E30" i="10"/>
  <c r="I29" i="10"/>
  <c r="F29" i="10"/>
  <c r="E29" i="10"/>
  <c r="I28" i="10"/>
  <c r="F28" i="10"/>
  <c r="E28" i="10"/>
  <c r="I27" i="10"/>
  <c r="F27" i="10"/>
  <c r="E27" i="10"/>
  <c r="I26" i="10"/>
  <c r="F26" i="10"/>
  <c r="E26" i="10"/>
  <c r="I25" i="10"/>
  <c r="F25" i="10"/>
  <c r="E25" i="10"/>
  <c r="I24" i="10"/>
  <c r="F24" i="10"/>
  <c r="E24" i="10"/>
  <c r="I23" i="10"/>
  <c r="F23" i="10"/>
  <c r="E23" i="10"/>
  <c r="I22" i="10"/>
  <c r="F22" i="10"/>
  <c r="E22" i="10"/>
  <c r="I21" i="10"/>
  <c r="F21" i="10"/>
  <c r="E21" i="10"/>
  <c r="I20" i="10"/>
  <c r="F20" i="10"/>
  <c r="E20" i="10"/>
  <c r="I19" i="10"/>
  <c r="F19" i="10"/>
  <c r="E19" i="10"/>
  <c r="I18" i="10"/>
  <c r="F18" i="10"/>
  <c r="E18" i="10"/>
  <c r="I17" i="10"/>
  <c r="F17" i="10"/>
  <c r="E17" i="10"/>
  <c r="I16" i="10"/>
  <c r="F16" i="10"/>
  <c r="E16" i="10"/>
  <c r="I15" i="10"/>
  <c r="F15" i="10"/>
  <c r="E15" i="10"/>
  <c r="I14" i="10"/>
  <c r="F14" i="10"/>
  <c r="E14" i="10"/>
  <c r="I13" i="10"/>
  <c r="F13" i="10"/>
  <c r="E13" i="10"/>
  <c r="I12" i="10"/>
  <c r="F12" i="10"/>
  <c r="E12" i="10"/>
  <c r="I11" i="10"/>
  <c r="F11" i="10"/>
  <c r="E11" i="10"/>
  <c r="I10" i="10"/>
  <c r="F10" i="10"/>
  <c r="E10" i="10"/>
  <c r="I9" i="10"/>
  <c r="F9" i="10"/>
  <c r="E9" i="10"/>
  <c r="I8" i="10"/>
  <c r="F8" i="10"/>
  <c r="E8" i="10"/>
  <c r="I7" i="10"/>
  <c r="F7" i="10"/>
  <c r="E7" i="10"/>
  <c r="I6" i="10"/>
  <c r="F6" i="10"/>
  <c r="E6" i="10"/>
  <c r="I5" i="10"/>
  <c r="F5" i="10"/>
  <c r="E5" i="10"/>
  <c r="I4" i="10"/>
  <c r="F4" i="10"/>
  <c r="E4" i="10"/>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F47" i="9"/>
  <c r="E47" i="9"/>
  <c r="I46" i="9"/>
  <c r="F46" i="9"/>
  <c r="E46" i="9"/>
  <c r="I45" i="9"/>
  <c r="F45" i="9"/>
  <c r="E45" i="9"/>
  <c r="I44" i="9"/>
  <c r="F44" i="9"/>
  <c r="E44" i="9"/>
  <c r="I43" i="9"/>
  <c r="F43" i="9"/>
  <c r="E43" i="9"/>
  <c r="I42" i="9"/>
  <c r="F42" i="9"/>
  <c r="E42" i="9"/>
  <c r="C42" i="9"/>
  <c r="I41" i="9"/>
  <c r="F41" i="9"/>
  <c r="E41" i="9"/>
  <c r="C41" i="9"/>
  <c r="I40" i="9"/>
  <c r="F40" i="9"/>
  <c r="E40" i="9"/>
  <c r="C40" i="9"/>
  <c r="I39" i="9"/>
  <c r="F39" i="9"/>
  <c r="E39" i="9"/>
  <c r="C39" i="9"/>
  <c r="I38" i="9"/>
  <c r="F38" i="9"/>
  <c r="E38" i="9"/>
  <c r="C38" i="9"/>
  <c r="I37" i="9"/>
  <c r="F37" i="9"/>
  <c r="E37" i="9"/>
  <c r="C37" i="9"/>
  <c r="I36" i="9"/>
  <c r="F36" i="9"/>
  <c r="E36" i="9"/>
  <c r="C36" i="9"/>
  <c r="I35" i="9"/>
  <c r="F35" i="9"/>
  <c r="E35" i="9"/>
  <c r="C35" i="9"/>
  <c r="I34" i="9"/>
  <c r="F34" i="9"/>
  <c r="E34" i="9"/>
  <c r="C34" i="9"/>
  <c r="I33" i="9"/>
  <c r="F33" i="9"/>
  <c r="E33" i="9"/>
  <c r="C33" i="9"/>
  <c r="I32" i="9"/>
  <c r="F32" i="9"/>
  <c r="E32" i="9"/>
  <c r="I31" i="9"/>
  <c r="F31" i="9"/>
  <c r="E31" i="9"/>
  <c r="I30" i="9"/>
  <c r="F30" i="9"/>
  <c r="E30" i="9"/>
  <c r="I29" i="9"/>
  <c r="F29" i="9"/>
  <c r="E29" i="9"/>
  <c r="I28" i="9"/>
  <c r="F28" i="9"/>
  <c r="E28" i="9"/>
  <c r="I27" i="9"/>
  <c r="F27" i="9"/>
  <c r="E27" i="9"/>
  <c r="I26" i="9"/>
  <c r="F26" i="9"/>
  <c r="E26" i="9"/>
  <c r="I25" i="9"/>
  <c r="F25" i="9"/>
  <c r="E25" i="9"/>
  <c r="I24" i="9"/>
  <c r="F24" i="9"/>
  <c r="E24" i="9"/>
  <c r="I23" i="9"/>
  <c r="F23" i="9"/>
  <c r="E23" i="9"/>
  <c r="I22" i="9"/>
  <c r="F22" i="9"/>
  <c r="E22" i="9"/>
  <c r="I21" i="9"/>
  <c r="F21" i="9"/>
  <c r="E21" i="9"/>
  <c r="I20" i="9"/>
  <c r="F20" i="9"/>
  <c r="E20" i="9"/>
  <c r="I19" i="9"/>
  <c r="F19" i="9"/>
  <c r="E19" i="9"/>
  <c r="I18" i="9"/>
  <c r="F18" i="9"/>
  <c r="E18" i="9"/>
  <c r="I17" i="9"/>
  <c r="F17" i="9"/>
  <c r="E17" i="9"/>
  <c r="I16" i="9"/>
  <c r="F16" i="9"/>
  <c r="E16" i="9"/>
  <c r="I15" i="9"/>
  <c r="F15" i="9"/>
  <c r="E15" i="9"/>
  <c r="I14" i="9"/>
  <c r="F14" i="9"/>
  <c r="E14" i="9"/>
  <c r="I13" i="9"/>
  <c r="F13" i="9"/>
  <c r="E13" i="9"/>
  <c r="I12" i="9"/>
  <c r="F12" i="9"/>
  <c r="E12" i="9"/>
  <c r="I11" i="9"/>
  <c r="F11" i="9"/>
  <c r="E11" i="9"/>
  <c r="I10" i="9"/>
  <c r="F10" i="9"/>
  <c r="E10" i="9"/>
  <c r="I9" i="9"/>
  <c r="F9" i="9"/>
  <c r="E9" i="9"/>
  <c r="I8" i="9"/>
  <c r="F8" i="9"/>
  <c r="E8" i="9"/>
  <c r="I7" i="9"/>
  <c r="F7" i="9"/>
  <c r="E7" i="9"/>
  <c r="I6" i="9"/>
  <c r="F6" i="9"/>
  <c r="E6" i="9"/>
  <c r="I5" i="9"/>
  <c r="F5" i="9"/>
  <c r="E5" i="9"/>
  <c r="I4" i="9"/>
  <c r="F4" i="9"/>
  <c r="E4" i="9"/>
  <c r="H205" i="8"/>
  <c r="E205" i="8"/>
  <c r="D205" i="8"/>
  <c r="H204" i="8"/>
  <c r="E204" i="8"/>
  <c r="D204" i="8"/>
  <c r="H203" i="8"/>
  <c r="E203" i="8"/>
  <c r="D203" i="8"/>
  <c r="H202" i="8"/>
  <c r="E202" i="8"/>
  <c r="D202" i="8"/>
  <c r="H201" i="8"/>
  <c r="E201" i="8"/>
  <c r="D201" i="8"/>
  <c r="H200" i="8"/>
  <c r="E200" i="8"/>
  <c r="D200" i="8"/>
  <c r="H199" i="8"/>
  <c r="E199" i="8"/>
  <c r="D199" i="8"/>
  <c r="H198" i="8"/>
  <c r="E198" i="8"/>
  <c r="D198" i="8"/>
  <c r="H197" i="8"/>
  <c r="E197" i="8"/>
  <c r="D197" i="8"/>
  <c r="H196" i="8"/>
  <c r="E196" i="8"/>
  <c r="D196" i="8"/>
  <c r="H195" i="8"/>
  <c r="E195" i="8"/>
  <c r="D195" i="8"/>
  <c r="H194" i="8"/>
  <c r="E194" i="8"/>
  <c r="D194" i="8"/>
  <c r="H193" i="8"/>
  <c r="E193" i="8"/>
  <c r="D193" i="8"/>
  <c r="H192" i="8"/>
  <c r="E192" i="8"/>
  <c r="D192" i="8"/>
  <c r="H191" i="8"/>
  <c r="E191" i="8"/>
  <c r="D191" i="8"/>
  <c r="H190" i="8"/>
  <c r="E190" i="8"/>
  <c r="D190" i="8"/>
  <c r="H189" i="8"/>
  <c r="E189" i="8"/>
  <c r="D189" i="8"/>
  <c r="H188" i="8"/>
  <c r="E188" i="8"/>
  <c r="D188" i="8"/>
  <c r="H187" i="8"/>
  <c r="E187" i="8"/>
  <c r="D187" i="8"/>
  <c r="H186" i="8"/>
  <c r="E186" i="8"/>
  <c r="D186" i="8"/>
  <c r="H185" i="8"/>
  <c r="E185" i="8"/>
  <c r="D185" i="8"/>
  <c r="H184" i="8"/>
  <c r="E184" i="8"/>
  <c r="D184" i="8"/>
  <c r="H183" i="8"/>
  <c r="E183" i="8"/>
  <c r="D183" i="8"/>
  <c r="H182" i="8"/>
  <c r="E182" i="8"/>
  <c r="D182" i="8"/>
  <c r="H181" i="8"/>
  <c r="E181" i="8"/>
  <c r="D181" i="8"/>
  <c r="H180" i="8"/>
  <c r="E180" i="8"/>
  <c r="D180" i="8"/>
  <c r="H179" i="8"/>
  <c r="E179" i="8"/>
  <c r="D179" i="8"/>
  <c r="H178" i="8"/>
  <c r="E178" i="8"/>
  <c r="D178" i="8"/>
  <c r="H177" i="8"/>
  <c r="E177" i="8"/>
  <c r="D177" i="8"/>
  <c r="H176" i="8"/>
  <c r="E176" i="8"/>
  <c r="D176" i="8"/>
  <c r="H175" i="8"/>
  <c r="E175" i="8"/>
  <c r="D175" i="8"/>
  <c r="H174" i="8"/>
  <c r="E174" i="8"/>
  <c r="D174" i="8"/>
  <c r="H173" i="8"/>
  <c r="E173" i="8"/>
  <c r="D173" i="8"/>
  <c r="H172" i="8"/>
  <c r="E172" i="8"/>
  <c r="D172" i="8"/>
  <c r="H171" i="8"/>
  <c r="E171" i="8"/>
  <c r="D171" i="8"/>
  <c r="H170" i="8"/>
  <c r="E170" i="8"/>
  <c r="D170" i="8"/>
  <c r="H169" i="8"/>
  <c r="E169" i="8"/>
  <c r="D169" i="8"/>
  <c r="H168" i="8"/>
  <c r="E168" i="8"/>
  <c r="D168" i="8"/>
  <c r="H167" i="8"/>
  <c r="E167" i="8"/>
  <c r="D167" i="8"/>
  <c r="H166" i="8"/>
  <c r="E166" i="8"/>
  <c r="D166" i="8"/>
  <c r="H165" i="8"/>
  <c r="E165" i="8"/>
  <c r="D165" i="8"/>
  <c r="H164" i="8"/>
  <c r="E164" i="8"/>
  <c r="D164" i="8"/>
  <c r="H163" i="8"/>
  <c r="E163" i="8"/>
  <c r="D163" i="8"/>
  <c r="H162" i="8"/>
  <c r="E162" i="8"/>
  <c r="D162" i="8"/>
  <c r="H161" i="8"/>
  <c r="E161" i="8"/>
  <c r="D161" i="8"/>
  <c r="H160" i="8"/>
  <c r="E160" i="8"/>
  <c r="D160" i="8"/>
  <c r="H159" i="8"/>
  <c r="E159" i="8"/>
  <c r="D159" i="8"/>
  <c r="H158" i="8"/>
  <c r="E158" i="8"/>
  <c r="D158" i="8"/>
  <c r="H157" i="8"/>
  <c r="E157" i="8"/>
  <c r="D157" i="8"/>
  <c r="H156" i="8"/>
  <c r="E156" i="8"/>
  <c r="D156" i="8"/>
  <c r="H155" i="8"/>
  <c r="E155" i="8"/>
  <c r="D155" i="8"/>
  <c r="H154" i="8"/>
  <c r="E154" i="8"/>
  <c r="D154" i="8"/>
  <c r="H153" i="8"/>
  <c r="E153" i="8"/>
  <c r="D153" i="8"/>
  <c r="H152" i="8"/>
  <c r="E152" i="8"/>
  <c r="D152" i="8"/>
  <c r="H151" i="8"/>
  <c r="E151" i="8"/>
  <c r="D151" i="8"/>
  <c r="H150" i="8"/>
  <c r="E150" i="8"/>
  <c r="D150" i="8"/>
  <c r="H149" i="8"/>
  <c r="E149" i="8"/>
  <c r="D149" i="8"/>
  <c r="H148" i="8"/>
  <c r="E148" i="8"/>
  <c r="D148" i="8"/>
  <c r="H147" i="8"/>
  <c r="E147" i="8"/>
  <c r="D147" i="8"/>
  <c r="H146" i="8"/>
  <c r="E146" i="8"/>
  <c r="D146" i="8"/>
  <c r="H145" i="8"/>
  <c r="E145" i="8"/>
  <c r="D145" i="8"/>
  <c r="H144" i="8"/>
  <c r="E144" i="8"/>
  <c r="D144" i="8"/>
  <c r="H143" i="8"/>
  <c r="E143" i="8"/>
  <c r="D143" i="8"/>
  <c r="H142" i="8"/>
  <c r="E142" i="8"/>
  <c r="D142" i="8"/>
  <c r="H141" i="8"/>
  <c r="E141" i="8"/>
  <c r="D141" i="8"/>
  <c r="H140" i="8"/>
  <c r="E140" i="8"/>
  <c r="D140" i="8"/>
  <c r="H139" i="8"/>
  <c r="E139" i="8"/>
  <c r="D139" i="8"/>
  <c r="H138" i="8"/>
  <c r="E138" i="8"/>
  <c r="D138" i="8"/>
  <c r="H137" i="8"/>
  <c r="E137" i="8"/>
  <c r="D137" i="8"/>
  <c r="H136" i="8"/>
  <c r="E136" i="8"/>
  <c r="D136" i="8"/>
  <c r="H135" i="8"/>
  <c r="E135" i="8"/>
  <c r="D135" i="8"/>
  <c r="H134" i="8"/>
  <c r="E134" i="8"/>
  <c r="D134" i="8"/>
  <c r="H133" i="8"/>
  <c r="E133" i="8"/>
  <c r="D133" i="8"/>
  <c r="H132" i="8"/>
  <c r="E132" i="8"/>
  <c r="D132" i="8"/>
  <c r="H131" i="8"/>
  <c r="E131" i="8"/>
  <c r="D131" i="8"/>
  <c r="H130" i="8"/>
  <c r="E130" i="8"/>
  <c r="D130" i="8"/>
  <c r="H129" i="8"/>
  <c r="E129" i="8"/>
  <c r="D129" i="8"/>
  <c r="H128" i="8"/>
  <c r="E128" i="8"/>
  <c r="D128" i="8"/>
  <c r="H127" i="8"/>
  <c r="E127" i="8"/>
  <c r="D127" i="8"/>
  <c r="H126" i="8"/>
  <c r="E126" i="8"/>
  <c r="D126" i="8"/>
  <c r="H125" i="8"/>
  <c r="E125" i="8"/>
  <c r="D125" i="8"/>
  <c r="H124" i="8"/>
  <c r="E124" i="8"/>
  <c r="D124" i="8"/>
  <c r="H123" i="8"/>
  <c r="E123" i="8"/>
  <c r="D123" i="8"/>
  <c r="H122" i="8"/>
  <c r="E122" i="8"/>
  <c r="D122" i="8"/>
  <c r="H121" i="8"/>
  <c r="E121" i="8"/>
  <c r="D121" i="8"/>
  <c r="H120" i="8"/>
  <c r="E120" i="8"/>
  <c r="D120" i="8"/>
  <c r="H119" i="8"/>
  <c r="E119" i="8"/>
  <c r="D119" i="8"/>
  <c r="H118" i="8"/>
  <c r="E118" i="8"/>
  <c r="D118" i="8"/>
  <c r="H117" i="8"/>
  <c r="E117" i="8"/>
  <c r="D117" i="8"/>
  <c r="H116" i="8"/>
  <c r="E116" i="8"/>
  <c r="D116" i="8"/>
  <c r="H115" i="8"/>
  <c r="E115" i="8"/>
  <c r="D115" i="8"/>
  <c r="H114" i="8"/>
  <c r="E114" i="8"/>
  <c r="D114" i="8"/>
  <c r="H113" i="8"/>
  <c r="E113" i="8"/>
  <c r="D113" i="8"/>
  <c r="H112" i="8"/>
  <c r="E112" i="8"/>
  <c r="D112" i="8"/>
  <c r="H111" i="8"/>
  <c r="E111" i="8"/>
  <c r="D111" i="8"/>
  <c r="H110" i="8"/>
  <c r="E110" i="8"/>
  <c r="D110" i="8"/>
  <c r="H109" i="8"/>
  <c r="E109" i="8"/>
  <c r="D109" i="8"/>
  <c r="H108" i="8"/>
  <c r="E108" i="8"/>
  <c r="D108" i="8"/>
  <c r="H107" i="8"/>
  <c r="E107" i="8"/>
  <c r="D107" i="8"/>
  <c r="H106" i="8"/>
  <c r="E106" i="8"/>
  <c r="D106" i="8"/>
  <c r="H105" i="8"/>
  <c r="E105" i="8"/>
  <c r="D105" i="8"/>
  <c r="H104" i="8"/>
  <c r="E104" i="8"/>
  <c r="D104" i="8"/>
  <c r="H103" i="8"/>
  <c r="E103" i="8"/>
  <c r="D103" i="8"/>
  <c r="H102" i="8"/>
  <c r="E102" i="8"/>
  <c r="D102" i="8"/>
  <c r="H101" i="8"/>
  <c r="E101" i="8"/>
  <c r="D101" i="8"/>
  <c r="H100" i="8"/>
  <c r="E100" i="8"/>
  <c r="D100" i="8"/>
  <c r="H99" i="8"/>
  <c r="E99" i="8"/>
  <c r="D99" i="8"/>
  <c r="H98" i="8"/>
  <c r="E98" i="8"/>
  <c r="D98" i="8"/>
  <c r="H97" i="8"/>
  <c r="E97" i="8"/>
  <c r="D97" i="8"/>
  <c r="H96" i="8"/>
  <c r="E96" i="8"/>
  <c r="D96" i="8"/>
  <c r="H95" i="8"/>
  <c r="E95" i="8"/>
  <c r="D95" i="8"/>
  <c r="H94" i="8"/>
  <c r="E94" i="8"/>
  <c r="D94" i="8"/>
  <c r="H93" i="8"/>
  <c r="E93" i="8"/>
  <c r="D93" i="8"/>
  <c r="H92" i="8"/>
  <c r="E92" i="8"/>
  <c r="D92" i="8"/>
  <c r="H91" i="8"/>
  <c r="E91" i="8"/>
  <c r="D91" i="8"/>
  <c r="H90" i="8"/>
  <c r="E90" i="8"/>
  <c r="D90" i="8"/>
  <c r="H89" i="8"/>
  <c r="E89" i="8"/>
  <c r="D89" i="8"/>
  <c r="H88" i="8"/>
  <c r="E88" i="8"/>
  <c r="D88" i="8"/>
  <c r="H87" i="8"/>
  <c r="E87" i="8"/>
  <c r="D87" i="8"/>
  <c r="H86" i="8"/>
  <c r="E86" i="8"/>
  <c r="D86" i="8"/>
  <c r="H85" i="8"/>
  <c r="E85" i="8"/>
  <c r="D85" i="8"/>
  <c r="H84" i="8"/>
  <c r="E84" i="8"/>
  <c r="D84" i="8"/>
  <c r="P83" i="8"/>
  <c r="H83" i="8"/>
  <c r="E83" i="8"/>
  <c r="D83" i="8"/>
  <c r="P82" i="8"/>
  <c r="H82" i="8"/>
  <c r="E82" i="8"/>
  <c r="D82" i="8"/>
  <c r="P81" i="8"/>
  <c r="H81" i="8"/>
  <c r="E81" i="8"/>
  <c r="D81" i="8"/>
  <c r="P80" i="8"/>
  <c r="H80" i="8"/>
  <c r="E80" i="8"/>
  <c r="D80" i="8"/>
  <c r="P79" i="8"/>
  <c r="H79" i="8"/>
  <c r="E79" i="8"/>
  <c r="D79" i="8"/>
  <c r="P78" i="8"/>
  <c r="H78" i="8"/>
  <c r="E78" i="8"/>
  <c r="D78" i="8"/>
  <c r="P77" i="8"/>
  <c r="H77" i="8"/>
  <c r="E77" i="8"/>
  <c r="D77" i="8"/>
  <c r="P76" i="8"/>
  <c r="H76" i="8"/>
  <c r="E76" i="8"/>
  <c r="D76" i="8"/>
  <c r="P75" i="8"/>
  <c r="H75" i="8"/>
  <c r="E75" i="8"/>
  <c r="D75" i="8"/>
  <c r="P74" i="8"/>
  <c r="H74" i="8"/>
  <c r="E74" i="8"/>
  <c r="D74" i="8"/>
  <c r="P73" i="8"/>
  <c r="H73" i="8"/>
  <c r="E73" i="8"/>
  <c r="D73" i="8"/>
  <c r="P72" i="8"/>
  <c r="H72" i="8"/>
  <c r="E72" i="8"/>
  <c r="D72" i="8"/>
  <c r="P71" i="8"/>
  <c r="H71" i="8"/>
  <c r="E71" i="8"/>
  <c r="D71" i="8"/>
  <c r="P70" i="8"/>
  <c r="H70" i="8"/>
  <c r="E70" i="8"/>
  <c r="D70" i="8"/>
  <c r="P69" i="8"/>
  <c r="H69" i="8"/>
  <c r="E69" i="8"/>
  <c r="D69" i="8"/>
  <c r="P68" i="8"/>
  <c r="H68" i="8"/>
  <c r="E68" i="8"/>
  <c r="D68" i="8"/>
  <c r="P67" i="8"/>
  <c r="H67" i="8"/>
  <c r="E67" i="8"/>
  <c r="D67" i="8"/>
  <c r="P66" i="8"/>
  <c r="H66" i="8"/>
  <c r="E66" i="8"/>
  <c r="D66" i="8"/>
  <c r="P65" i="8"/>
  <c r="H65" i="8"/>
  <c r="E65" i="8"/>
  <c r="D65" i="8"/>
  <c r="P64" i="8"/>
  <c r="H64" i="8"/>
  <c r="E64" i="8"/>
  <c r="D64" i="8"/>
  <c r="P63" i="8"/>
  <c r="H63" i="8"/>
  <c r="E63" i="8"/>
  <c r="D63" i="8"/>
  <c r="P62" i="8"/>
  <c r="H62" i="8"/>
  <c r="E62" i="8"/>
  <c r="D62" i="8"/>
  <c r="P61" i="8"/>
  <c r="H61" i="8"/>
  <c r="E61" i="8"/>
  <c r="D61" i="8"/>
  <c r="P60" i="8"/>
  <c r="H60" i="8"/>
  <c r="E60" i="8"/>
  <c r="D60" i="8"/>
  <c r="P59" i="8"/>
  <c r="H59" i="8"/>
  <c r="E59" i="8"/>
  <c r="D59" i="8"/>
  <c r="P58" i="8"/>
  <c r="H58" i="8"/>
  <c r="E58" i="8"/>
  <c r="D58" i="8"/>
  <c r="P57" i="8"/>
  <c r="H57" i="8"/>
  <c r="E57" i="8"/>
  <c r="D57" i="8"/>
  <c r="P56" i="8"/>
  <c r="H56" i="8"/>
  <c r="E56" i="8"/>
  <c r="D56" i="8"/>
  <c r="P55" i="8"/>
  <c r="H55" i="8"/>
  <c r="E55" i="8"/>
  <c r="D55" i="8"/>
  <c r="P54" i="8"/>
  <c r="H54" i="8"/>
  <c r="E54" i="8"/>
  <c r="D54" i="8"/>
  <c r="P53" i="8"/>
  <c r="H53" i="8"/>
  <c r="E53" i="8"/>
  <c r="D53" i="8"/>
  <c r="P52" i="8"/>
  <c r="H52" i="8"/>
  <c r="E52" i="8"/>
  <c r="D52" i="8"/>
  <c r="P51" i="8"/>
  <c r="H51" i="8"/>
  <c r="E51" i="8"/>
  <c r="D51" i="8"/>
  <c r="P50" i="8"/>
  <c r="H50" i="8"/>
  <c r="E50" i="8"/>
  <c r="D50" i="8"/>
  <c r="P49" i="8"/>
  <c r="H49" i="8"/>
  <c r="E49" i="8"/>
  <c r="D49" i="8"/>
  <c r="P48" i="8"/>
  <c r="H48" i="8"/>
  <c r="E48" i="8"/>
  <c r="D48" i="8"/>
  <c r="P47" i="8"/>
  <c r="H47" i="8"/>
  <c r="E47" i="8"/>
  <c r="D47" i="8"/>
  <c r="P46" i="8"/>
  <c r="H46" i="8"/>
  <c r="E46" i="8"/>
  <c r="D46" i="8"/>
  <c r="P45" i="8"/>
  <c r="H45" i="8"/>
  <c r="E45" i="8"/>
  <c r="D45" i="8"/>
  <c r="P44" i="8"/>
  <c r="H44" i="8"/>
  <c r="E44" i="8"/>
  <c r="D44" i="8"/>
  <c r="P43" i="8"/>
  <c r="H43" i="8"/>
  <c r="E43" i="8"/>
  <c r="D43" i="8"/>
  <c r="P42" i="8"/>
  <c r="H42" i="8"/>
  <c r="E42" i="8"/>
  <c r="D42" i="8"/>
  <c r="P41" i="8"/>
  <c r="H41" i="8"/>
  <c r="E41" i="8"/>
  <c r="D41" i="8"/>
  <c r="P40" i="8"/>
  <c r="H40" i="8"/>
  <c r="E40" i="8"/>
  <c r="D40" i="8"/>
  <c r="P39" i="8"/>
  <c r="H39" i="8"/>
  <c r="E39" i="8"/>
  <c r="D39" i="8"/>
  <c r="P38" i="8"/>
  <c r="H38" i="8"/>
  <c r="E38" i="8"/>
  <c r="D38" i="8"/>
  <c r="P37" i="8"/>
  <c r="H37" i="8"/>
  <c r="E37" i="8"/>
  <c r="D37" i="8"/>
  <c r="N36" i="8"/>
  <c r="M36" i="8"/>
  <c r="L36" i="8"/>
  <c r="H36" i="8"/>
  <c r="E36" i="8"/>
  <c r="D36" i="8"/>
  <c r="N35" i="8"/>
  <c r="M35" i="8"/>
  <c r="L35" i="8"/>
  <c r="H35" i="8"/>
  <c r="E35" i="8"/>
  <c r="D35" i="8"/>
  <c r="N34" i="8"/>
  <c r="M34" i="8"/>
  <c r="L34" i="8"/>
  <c r="H34" i="8"/>
  <c r="E34" i="8"/>
  <c r="D34" i="8"/>
  <c r="Q33" i="8"/>
  <c r="N33" i="8"/>
  <c r="M33" i="8"/>
  <c r="L33" i="8"/>
  <c r="H33" i="8"/>
  <c r="E33" i="8"/>
  <c r="D33" i="8"/>
  <c r="Q32" i="8"/>
  <c r="N32" i="8"/>
  <c r="M32" i="8"/>
  <c r="L32" i="8"/>
  <c r="H32" i="8"/>
  <c r="E32" i="8"/>
  <c r="D32" i="8"/>
  <c r="Q31" i="8"/>
  <c r="N31" i="8"/>
  <c r="M31" i="8"/>
  <c r="L31" i="8"/>
  <c r="H31" i="8"/>
  <c r="E31" i="8"/>
  <c r="D31" i="8"/>
  <c r="Q30" i="8"/>
  <c r="N30" i="8"/>
  <c r="M30" i="8"/>
  <c r="L30" i="8"/>
  <c r="H30" i="8"/>
  <c r="E30" i="8"/>
  <c r="D30" i="8"/>
  <c r="Q29" i="8"/>
  <c r="N29" i="8"/>
  <c r="M29" i="8"/>
  <c r="L29" i="8"/>
  <c r="H29" i="8"/>
  <c r="E29" i="8"/>
  <c r="D29" i="8"/>
  <c r="Q28" i="8"/>
  <c r="N28" i="8"/>
  <c r="M28" i="8"/>
  <c r="L28" i="8"/>
  <c r="H28" i="8"/>
  <c r="E28" i="8"/>
  <c r="D28" i="8"/>
  <c r="Q27" i="8"/>
  <c r="N27" i="8"/>
  <c r="M27" i="8"/>
  <c r="L27" i="8"/>
  <c r="H27" i="8"/>
  <c r="E27" i="8"/>
  <c r="D27" i="8"/>
  <c r="Q26" i="8"/>
  <c r="N26" i="8"/>
  <c r="M26" i="8"/>
  <c r="L26" i="8"/>
  <c r="H26" i="8"/>
  <c r="E26" i="8"/>
  <c r="D26" i="8"/>
  <c r="Q25" i="8"/>
  <c r="N25" i="8"/>
  <c r="M25" i="8"/>
  <c r="L25" i="8"/>
  <c r="H25" i="8"/>
  <c r="E25" i="8"/>
  <c r="D25" i="8"/>
  <c r="Q24" i="8"/>
  <c r="N24" i="8"/>
  <c r="M24" i="8"/>
  <c r="L24" i="8"/>
  <c r="H24" i="8"/>
  <c r="E24" i="8"/>
  <c r="D24" i="8"/>
  <c r="Q23" i="8"/>
  <c r="N23" i="8"/>
  <c r="M23" i="8"/>
  <c r="L23" i="8"/>
  <c r="H23" i="8"/>
  <c r="E23" i="8"/>
  <c r="D23" i="8"/>
  <c r="Q22" i="8"/>
  <c r="N22" i="8"/>
  <c r="M22" i="8"/>
  <c r="L22" i="8"/>
  <c r="H22" i="8"/>
  <c r="E22" i="8"/>
  <c r="D22" i="8"/>
  <c r="Q21" i="8"/>
  <c r="N21" i="8"/>
  <c r="M21" i="8"/>
  <c r="L21" i="8"/>
  <c r="H21" i="8"/>
  <c r="E21" i="8"/>
  <c r="D21" i="8"/>
  <c r="Q20" i="8"/>
  <c r="N20" i="8"/>
  <c r="M20" i="8"/>
  <c r="L20" i="8"/>
  <c r="H20" i="8"/>
  <c r="E20" i="8"/>
  <c r="D20" i="8"/>
  <c r="Q19" i="8"/>
  <c r="N19" i="8"/>
  <c r="M19" i="8"/>
  <c r="L19" i="8"/>
  <c r="H19" i="8"/>
  <c r="E19" i="8"/>
  <c r="D19" i="8"/>
  <c r="Q18" i="8"/>
  <c r="N18" i="8"/>
  <c r="M18" i="8"/>
  <c r="L18" i="8"/>
  <c r="H18" i="8"/>
  <c r="E18" i="8"/>
  <c r="D18" i="8"/>
  <c r="Q17" i="8"/>
  <c r="N17" i="8"/>
  <c r="M17" i="8"/>
  <c r="L17" i="8"/>
  <c r="H17" i="8"/>
  <c r="E17" i="8"/>
  <c r="D17" i="8"/>
  <c r="Q16" i="8"/>
  <c r="N16" i="8"/>
  <c r="M16" i="8"/>
  <c r="L16" i="8"/>
  <c r="H16" i="8"/>
  <c r="E16" i="8"/>
  <c r="D16" i="8"/>
  <c r="Q15" i="8"/>
  <c r="N15" i="8"/>
  <c r="M15" i="8"/>
  <c r="L15" i="8"/>
  <c r="H15" i="8"/>
  <c r="E15" i="8"/>
  <c r="D15" i="8"/>
  <c r="Q14" i="8"/>
  <c r="N14" i="8"/>
  <c r="M14" i="8"/>
  <c r="L14" i="8"/>
  <c r="H14" i="8"/>
  <c r="E14" i="8"/>
  <c r="D14" i="8"/>
  <c r="Q13" i="8"/>
  <c r="N13" i="8"/>
  <c r="M13" i="8"/>
  <c r="L13" i="8"/>
  <c r="H13" i="8"/>
  <c r="E13" i="8"/>
  <c r="D13" i="8"/>
  <c r="Q12" i="8"/>
  <c r="N12" i="8"/>
  <c r="M12" i="8"/>
  <c r="L12" i="8"/>
  <c r="H12" i="8"/>
  <c r="E12" i="8"/>
  <c r="D12" i="8"/>
  <c r="Q11" i="8"/>
  <c r="N11" i="8"/>
  <c r="M11" i="8"/>
  <c r="L11" i="8"/>
  <c r="H11" i="8"/>
  <c r="E11" i="8"/>
  <c r="D11" i="8"/>
  <c r="Q10" i="8"/>
  <c r="N10" i="8"/>
  <c r="M10" i="8"/>
  <c r="L10" i="8"/>
  <c r="H10" i="8"/>
  <c r="E10" i="8"/>
  <c r="D10" i="8"/>
  <c r="Q9" i="8"/>
  <c r="N9" i="8"/>
  <c r="M9" i="8"/>
  <c r="L9" i="8"/>
  <c r="H9" i="8"/>
  <c r="E9" i="8"/>
  <c r="D9" i="8"/>
  <c r="Q8" i="8"/>
  <c r="N8" i="8"/>
  <c r="M8" i="8"/>
  <c r="L8" i="8"/>
  <c r="H8" i="8"/>
  <c r="E8" i="8"/>
  <c r="D8" i="8"/>
  <c r="Q7" i="8"/>
  <c r="N7" i="8"/>
  <c r="M7" i="8"/>
  <c r="L7" i="8"/>
  <c r="H7" i="8"/>
  <c r="E7" i="8"/>
  <c r="D7" i="8"/>
  <c r="Q6" i="8"/>
  <c r="N6" i="8"/>
  <c r="M6" i="8"/>
  <c r="L6" i="8"/>
  <c r="H6" i="8"/>
  <c r="E6" i="8"/>
  <c r="D6" i="8"/>
  <c r="Q5" i="8"/>
  <c r="N5" i="8"/>
  <c r="M5" i="8"/>
  <c r="L5" i="8"/>
  <c r="H5" i="8"/>
  <c r="E5" i="8"/>
  <c r="D5" i="8"/>
  <c r="Q4" i="8"/>
  <c r="N4" i="8"/>
  <c r="M4" i="8"/>
  <c r="L4" i="8"/>
  <c r="H4" i="8"/>
  <c r="E4" i="8"/>
  <c r="D4" i="8"/>
  <c r="I105" i="7"/>
  <c r="I104" i="7"/>
  <c r="I103" i="7"/>
  <c r="I102" i="7"/>
  <c r="G103" i="6"/>
  <c r="J103" i="6"/>
  <c r="D102" i="7"/>
  <c r="I101" i="7"/>
  <c r="G102" i="6"/>
  <c r="J102" i="6"/>
  <c r="D101" i="7"/>
  <c r="I100" i="7"/>
  <c r="G101" i="6"/>
  <c r="J101" i="6"/>
  <c r="D100" i="7"/>
  <c r="I99" i="7"/>
  <c r="G100" i="6"/>
  <c r="J100" i="6"/>
  <c r="D99" i="7"/>
  <c r="I98" i="7"/>
  <c r="G99" i="6"/>
  <c r="J99" i="6"/>
  <c r="D98" i="7"/>
  <c r="I97" i="7"/>
  <c r="G98" i="6"/>
  <c r="J98" i="6"/>
  <c r="D97" i="7"/>
  <c r="I96" i="7"/>
  <c r="G97" i="6"/>
  <c r="J97" i="6"/>
  <c r="D96" i="7"/>
  <c r="I95" i="7"/>
  <c r="G96" i="6"/>
  <c r="J96" i="6"/>
  <c r="D95" i="7"/>
  <c r="I94" i="7"/>
  <c r="G95" i="6"/>
  <c r="J95" i="6"/>
  <c r="D94" i="7"/>
  <c r="I93" i="7"/>
  <c r="G94" i="6"/>
  <c r="J94" i="6"/>
  <c r="D93" i="7"/>
  <c r="I92" i="7"/>
  <c r="G93" i="6"/>
  <c r="J93" i="6"/>
  <c r="D92" i="7"/>
  <c r="I91" i="7"/>
  <c r="G92" i="6"/>
  <c r="J92" i="6"/>
  <c r="D91" i="7"/>
  <c r="I90" i="7"/>
  <c r="G91" i="6"/>
  <c r="J91" i="6"/>
  <c r="D90" i="7"/>
  <c r="I89" i="7"/>
  <c r="G90" i="6"/>
  <c r="J90" i="6"/>
  <c r="D89" i="7"/>
  <c r="I88" i="7"/>
  <c r="G89" i="6"/>
  <c r="J89" i="6"/>
  <c r="D88" i="7"/>
  <c r="I87" i="7"/>
  <c r="G88" i="6"/>
  <c r="J88" i="6"/>
  <c r="D87" i="7"/>
  <c r="I86" i="7"/>
  <c r="G87" i="6"/>
  <c r="J87" i="6"/>
  <c r="D86" i="7"/>
  <c r="I85" i="7"/>
  <c r="G86" i="6"/>
  <c r="J86" i="6"/>
  <c r="D85" i="7"/>
  <c r="I84" i="7"/>
  <c r="G85" i="6"/>
  <c r="J85" i="6"/>
  <c r="D84" i="7"/>
  <c r="I83" i="7"/>
  <c r="G84" i="6"/>
  <c r="J84" i="6"/>
  <c r="D83" i="7"/>
  <c r="I82" i="7"/>
  <c r="G83" i="6"/>
  <c r="J83" i="6"/>
  <c r="D82" i="7"/>
  <c r="I81" i="7"/>
  <c r="G82" i="6"/>
  <c r="J82" i="6"/>
  <c r="D81" i="7"/>
  <c r="I80" i="7"/>
  <c r="G81" i="6"/>
  <c r="J81" i="6"/>
  <c r="D80" i="7"/>
  <c r="I79" i="7"/>
  <c r="G80" i="6"/>
  <c r="J80" i="6"/>
  <c r="D79" i="7"/>
  <c r="I78" i="7"/>
  <c r="G79" i="6"/>
  <c r="J79" i="6"/>
  <c r="D78" i="7"/>
  <c r="I77" i="7"/>
  <c r="G78" i="6"/>
  <c r="J78" i="6"/>
  <c r="D77" i="7"/>
  <c r="I76" i="7"/>
  <c r="G77" i="6"/>
  <c r="J77" i="6"/>
  <c r="D76" i="7"/>
  <c r="I75" i="7"/>
  <c r="G76" i="6"/>
  <c r="J76" i="6"/>
  <c r="D75" i="7"/>
  <c r="I74" i="7"/>
  <c r="G75" i="6"/>
  <c r="J75" i="6"/>
  <c r="D74" i="7"/>
  <c r="I73" i="7"/>
  <c r="G74" i="6"/>
  <c r="J74" i="6"/>
  <c r="D73" i="7"/>
  <c r="I72" i="7"/>
  <c r="G73" i="6"/>
  <c r="J73" i="6"/>
  <c r="D72" i="7"/>
  <c r="I71" i="7"/>
  <c r="G72" i="6"/>
  <c r="J72" i="6"/>
  <c r="D71" i="7"/>
  <c r="I70" i="7"/>
  <c r="G71" i="6"/>
  <c r="J71" i="6"/>
  <c r="D70" i="7"/>
  <c r="I69" i="7"/>
  <c r="G70" i="6"/>
  <c r="J70" i="6"/>
  <c r="D69" i="7"/>
  <c r="I68" i="7"/>
  <c r="G69" i="6"/>
  <c r="J69" i="6"/>
  <c r="D68" i="7"/>
  <c r="I67" i="7"/>
  <c r="G68" i="6"/>
  <c r="J68" i="6"/>
  <c r="D67" i="7"/>
  <c r="I66" i="7"/>
  <c r="G67" i="6"/>
  <c r="J67" i="6"/>
  <c r="D66" i="7"/>
  <c r="I65" i="7"/>
  <c r="G66" i="6"/>
  <c r="J66" i="6"/>
  <c r="D65" i="7"/>
  <c r="I64" i="7"/>
  <c r="G65" i="6"/>
  <c r="J65" i="6"/>
  <c r="D64" i="7"/>
  <c r="I63" i="7"/>
  <c r="G64" i="6"/>
  <c r="J64" i="6"/>
  <c r="D63" i="7"/>
  <c r="I62" i="7"/>
  <c r="G63" i="6"/>
  <c r="J63" i="6"/>
  <c r="D62" i="7"/>
  <c r="I61" i="7"/>
  <c r="G62" i="6"/>
  <c r="J62" i="6"/>
  <c r="D61" i="7"/>
  <c r="I60" i="7"/>
  <c r="G61" i="6"/>
  <c r="J61" i="6"/>
  <c r="D60" i="7"/>
  <c r="I59" i="7"/>
  <c r="G60" i="6"/>
  <c r="J60" i="6"/>
  <c r="D59" i="7"/>
  <c r="I58" i="7"/>
  <c r="G59" i="6"/>
  <c r="J59" i="6"/>
  <c r="D58" i="7"/>
  <c r="I57" i="7"/>
  <c r="G58" i="6"/>
  <c r="J58" i="6"/>
  <c r="D57" i="7"/>
  <c r="I56" i="7"/>
  <c r="G57" i="6"/>
  <c r="J57" i="6"/>
  <c r="D56" i="7"/>
  <c r="I55" i="7"/>
  <c r="G56" i="6"/>
  <c r="J56" i="6"/>
  <c r="D55" i="7"/>
  <c r="I54" i="7"/>
  <c r="G55" i="6"/>
  <c r="J55" i="6"/>
  <c r="D54" i="7"/>
  <c r="I53" i="7"/>
  <c r="G54" i="6"/>
  <c r="J54" i="6"/>
  <c r="D53" i="7"/>
  <c r="I52" i="7"/>
  <c r="G53" i="6"/>
  <c r="J53" i="6"/>
  <c r="D52" i="7"/>
  <c r="I51" i="7"/>
  <c r="G52" i="6"/>
  <c r="J52" i="6"/>
  <c r="D51" i="7"/>
  <c r="I50" i="7"/>
  <c r="G51" i="6"/>
  <c r="J51" i="6"/>
  <c r="D50" i="7"/>
  <c r="I49" i="7"/>
  <c r="G50" i="6"/>
  <c r="J50" i="6"/>
  <c r="D49" i="7"/>
  <c r="I48" i="7"/>
  <c r="G49" i="6"/>
  <c r="J49" i="6"/>
  <c r="D48" i="7"/>
  <c r="I47" i="7"/>
  <c r="G48" i="6"/>
  <c r="J48" i="6"/>
  <c r="D47" i="7"/>
  <c r="I46" i="7"/>
  <c r="G47" i="6"/>
  <c r="J47" i="6"/>
  <c r="D46" i="7"/>
  <c r="I45" i="7"/>
  <c r="G46" i="6"/>
  <c r="J46" i="6"/>
  <c r="D45" i="7"/>
  <c r="I44" i="7"/>
  <c r="G45" i="6"/>
  <c r="J45" i="6"/>
  <c r="D44" i="7"/>
  <c r="I43" i="7"/>
  <c r="G44" i="6"/>
  <c r="J44" i="6"/>
  <c r="D43" i="7"/>
  <c r="I42" i="7"/>
  <c r="G43" i="6"/>
  <c r="J43" i="6"/>
  <c r="D42" i="7"/>
  <c r="C41" i="7"/>
  <c r="H41" i="7"/>
  <c r="I41" i="7"/>
  <c r="C40" i="7"/>
  <c r="I40" i="7"/>
  <c r="C39" i="7"/>
  <c r="I39" i="7"/>
  <c r="C38" i="7"/>
  <c r="I38" i="7"/>
  <c r="C37" i="7"/>
  <c r="H37" i="7"/>
  <c r="I37" i="7"/>
  <c r="C36" i="7"/>
  <c r="I36" i="7"/>
  <c r="C35" i="7"/>
  <c r="H35" i="7"/>
  <c r="I35" i="7"/>
  <c r="C34" i="7"/>
  <c r="I34" i="7"/>
  <c r="C33" i="7"/>
  <c r="I33" i="7"/>
  <c r="C32" i="7"/>
  <c r="I32" i="7"/>
  <c r="C31" i="7"/>
  <c r="I31" i="7"/>
  <c r="C30" i="7"/>
  <c r="I30" i="7"/>
  <c r="C29" i="7"/>
  <c r="I29" i="7"/>
  <c r="C28" i="7"/>
  <c r="I28" i="7"/>
  <c r="C27" i="7"/>
  <c r="I27" i="7"/>
  <c r="C26" i="7"/>
  <c r="H26" i="7"/>
  <c r="I26" i="7"/>
  <c r="C25" i="7"/>
  <c r="I25" i="7"/>
  <c r="C24" i="7"/>
  <c r="I24" i="7"/>
  <c r="C23" i="7"/>
  <c r="I23" i="7"/>
  <c r="C22" i="7"/>
  <c r="H22" i="7"/>
  <c r="I22" i="7"/>
  <c r="C21" i="7"/>
  <c r="H21" i="7"/>
  <c r="I21" i="7"/>
  <c r="C20" i="7"/>
  <c r="I20" i="7"/>
  <c r="C19" i="7"/>
  <c r="I19" i="7"/>
  <c r="C18" i="7"/>
  <c r="I18" i="7"/>
  <c r="C17" i="7"/>
  <c r="I17" i="7"/>
  <c r="C16" i="7"/>
  <c r="H16" i="7"/>
  <c r="I16" i="7"/>
  <c r="C15" i="7"/>
  <c r="I15" i="7"/>
  <c r="C14" i="7"/>
  <c r="I14" i="7"/>
  <c r="C13" i="7"/>
  <c r="I13" i="7"/>
  <c r="C12" i="7"/>
  <c r="H12" i="7"/>
  <c r="I12" i="7"/>
  <c r="C11" i="7"/>
  <c r="I11" i="7"/>
  <c r="C10" i="7"/>
  <c r="I10" i="7"/>
  <c r="C9" i="7"/>
  <c r="I9" i="7"/>
  <c r="C8" i="7"/>
  <c r="I8" i="7"/>
  <c r="C7" i="7"/>
  <c r="H7" i="7"/>
  <c r="I7" i="7"/>
  <c r="C6" i="7"/>
  <c r="I6" i="7"/>
  <c r="C5" i="7"/>
  <c r="I5" i="7"/>
  <c r="C4" i="7"/>
  <c r="I4" i="7"/>
  <c r="D4" i="7"/>
  <c r="C3" i="7"/>
  <c r="H3" i="7"/>
  <c r="I3" i="7"/>
  <c r="D3" i="7"/>
  <c r="E3" i="7"/>
  <c r="F3" i="7"/>
  <c r="K3" i="7"/>
  <c r="J3" i="7"/>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B4" i="6"/>
  <c r="B5" i="6"/>
  <c r="B6" i="6"/>
  <c r="B7"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E46" i="6"/>
  <c r="I45" i="6"/>
  <c r="E45" i="6"/>
  <c r="I44" i="6"/>
  <c r="E44" i="6"/>
  <c r="I43" i="6"/>
  <c r="E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6" i="6"/>
  <c r="D6" i="6"/>
  <c r="I5" i="6"/>
  <c r="E5" i="6"/>
  <c r="D5" i="6"/>
  <c r="J4" i="6"/>
  <c r="I4" i="6"/>
  <c r="E4" i="6"/>
  <c r="D4" i="6"/>
  <c r="H2" i="6"/>
  <c r="G2" i="6"/>
  <c r="A241" i="5"/>
  <c r="A237" i="5"/>
  <c r="A233" i="5"/>
  <c r="A229" i="5"/>
  <c r="A225" i="5"/>
  <c r="A221" i="5"/>
  <c r="A217" i="5"/>
  <c r="A213" i="5"/>
  <c r="A209" i="5"/>
  <c r="A205" i="5"/>
  <c r="A201" i="5"/>
  <c r="A197" i="5"/>
  <c r="B193" i="5"/>
  <c r="A193" i="5"/>
  <c r="B192" i="5"/>
  <c r="B191" i="5"/>
  <c r="B190" i="5"/>
  <c r="B189" i="5"/>
  <c r="A189" i="5"/>
  <c r="B188" i="5"/>
  <c r="B187" i="5"/>
  <c r="B186" i="5"/>
  <c r="B185" i="5"/>
  <c r="A185" i="5"/>
  <c r="B184" i="5"/>
  <c r="B183" i="5"/>
  <c r="B182" i="5"/>
  <c r="B181" i="5"/>
  <c r="A181" i="5"/>
  <c r="B180" i="5"/>
  <c r="B179" i="5"/>
  <c r="B178" i="5"/>
  <c r="B177" i="5"/>
  <c r="A177" i="5"/>
  <c r="B176" i="5"/>
  <c r="B175" i="5"/>
  <c r="B174" i="5"/>
  <c r="B173" i="5"/>
  <c r="A173" i="5"/>
  <c r="B172" i="5"/>
  <c r="B171" i="5"/>
  <c r="B170" i="5"/>
  <c r="B169" i="5"/>
  <c r="A169" i="5"/>
  <c r="B168" i="5"/>
  <c r="B167" i="5"/>
  <c r="B166" i="5"/>
  <c r="B165" i="5"/>
  <c r="A165" i="5"/>
  <c r="B164" i="5"/>
  <c r="B163" i="5"/>
  <c r="B162" i="5"/>
  <c r="B161" i="5"/>
  <c r="A161" i="5"/>
  <c r="B160" i="5"/>
  <c r="B159" i="5"/>
  <c r="B158" i="5"/>
  <c r="B157" i="5"/>
  <c r="A157" i="5"/>
  <c r="B156" i="5"/>
  <c r="B155" i="5"/>
  <c r="B154" i="5"/>
  <c r="B153" i="5"/>
  <c r="A153" i="5"/>
  <c r="B152" i="5"/>
  <c r="B151" i="5"/>
  <c r="B150" i="5"/>
  <c r="B149" i="5"/>
  <c r="A149" i="5"/>
  <c r="B148" i="5"/>
  <c r="B147" i="5"/>
  <c r="B146" i="5"/>
  <c r="B145" i="5"/>
  <c r="A145" i="5"/>
  <c r="B144" i="5"/>
  <c r="B143" i="5"/>
  <c r="B142" i="5"/>
  <c r="B141" i="5"/>
  <c r="A141" i="5"/>
  <c r="B140" i="5"/>
  <c r="B139" i="5"/>
  <c r="B138" i="5"/>
  <c r="B137" i="5"/>
  <c r="A137" i="5"/>
  <c r="B136" i="5"/>
  <c r="B135" i="5"/>
  <c r="B134" i="5"/>
  <c r="B133" i="5"/>
  <c r="A133" i="5"/>
  <c r="B132" i="5"/>
  <c r="B131" i="5"/>
  <c r="B130" i="5"/>
  <c r="B129" i="5"/>
  <c r="A129" i="5"/>
  <c r="B128" i="5"/>
  <c r="B127" i="5"/>
  <c r="B126" i="5"/>
  <c r="B125" i="5"/>
  <c r="A125" i="5"/>
  <c r="B124" i="5"/>
  <c r="B123" i="5"/>
  <c r="B122" i="5"/>
  <c r="B121" i="5"/>
  <c r="A121" i="5"/>
  <c r="B120" i="5"/>
  <c r="B119" i="5"/>
  <c r="B118" i="5"/>
  <c r="B117" i="5"/>
  <c r="A117" i="5"/>
  <c r="B116" i="5"/>
  <c r="B115" i="5"/>
  <c r="B114" i="5"/>
  <c r="B113" i="5"/>
  <c r="A113" i="5"/>
  <c r="B112" i="5"/>
  <c r="B111" i="5"/>
  <c r="B110" i="5"/>
  <c r="B109" i="5"/>
  <c r="A109" i="5"/>
  <c r="B108" i="5"/>
  <c r="B107" i="5"/>
  <c r="B106" i="5"/>
  <c r="B105" i="5"/>
  <c r="A105" i="5"/>
  <c r="B104" i="5"/>
  <c r="B103" i="5"/>
  <c r="B102" i="5"/>
  <c r="B101" i="5"/>
  <c r="A101" i="5"/>
  <c r="B100" i="5"/>
  <c r="B99" i="5"/>
  <c r="B98" i="5"/>
  <c r="B97" i="5"/>
  <c r="A97" i="5"/>
  <c r="B96" i="5"/>
  <c r="B95" i="5"/>
  <c r="B94" i="5"/>
  <c r="B93" i="5"/>
  <c r="A93" i="5"/>
  <c r="B92" i="5"/>
  <c r="B91" i="5"/>
  <c r="B90" i="5"/>
  <c r="B89" i="5"/>
  <c r="A89" i="5"/>
  <c r="B88" i="5"/>
  <c r="B87" i="5"/>
  <c r="B86" i="5"/>
  <c r="B85" i="5"/>
  <c r="A85" i="5"/>
  <c r="B84" i="5"/>
  <c r="B83" i="5"/>
  <c r="B82" i="5"/>
  <c r="B81" i="5"/>
  <c r="A81" i="5"/>
  <c r="B80" i="5"/>
  <c r="B79" i="5"/>
  <c r="B78" i="5"/>
  <c r="B77" i="5"/>
  <c r="A77" i="5"/>
  <c r="B76" i="5"/>
  <c r="B75" i="5"/>
  <c r="B74" i="5"/>
  <c r="B73" i="5"/>
  <c r="A73" i="5"/>
  <c r="B72" i="5"/>
  <c r="B71" i="5"/>
  <c r="B70" i="5"/>
  <c r="B69" i="5"/>
  <c r="A69" i="5"/>
  <c r="B68" i="5"/>
  <c r="B67" i="5"/>
  <c r="B66" i="5"/>
  <c r="B65" i="5"/>
  <c r="A65" i="5"/>
  <c r="B64" i="5"/>
  <c r="B63" i="5"/>
  <c r="B62" i="5"/>
  <c r="AK4" i="5"/>
  <c r="AK5" i="5"/>
  <c r="AK6" i="5"/>
  <c r="AK7" i="5"/>
  <c r="AK8" i="5"/>
  <c r="AK9" i="5"/>
  <c r="AK10" i="5"/>
  <c r="AK11" i="5"/>
  <c r="AK12" i="5"/>
  <c r="AK13" i="5"/>
  <c r="AK14" i="5"/>
  <c r="AK15" i="5"/>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46" i="5"/>
  <c r="AK47" i="5"/>
  <c r="AK48" i="5"/>
  <c r="AK49" i="5"/>
  <c r="AK50" i="5"/>
  <c r="AK51" i="5"/>
  <c r="AK52" i="5"/>
  <c r="AK53" i="5"/>
  <c r="AK54" i="5"/>
  <c r="AK55" i="5"/>
  <c r="AK56" i="5"/>
  <c r="AK57" i="5"/>
  <c r="AK58" i="5"/>
  <c r="AK59" i="5"/>
  <c r="AK60" i="5"/>
  <c r="AK61" i="5"/>
  <c r="B61" i="5"/>
  <c r="A61" i="5"/>
  <c r="B60" i="5"/>
  <c r="B59" i="5"/>
  <c r="B58" i="5"/>
  <c r="B57" i="5"/>
  <c r="A57" i="5"/>
  <c r="B56" i="5"/>
  <c r="B55" i="5"/>
  <c r="B54" i="5"/>
  <c r="B53" i="5"/>
  <c r="A53" i="5"/>
  <c r="B52" i="5"/>
  <c r="B51" i="5"/>
  <c r="B50" i="5"/>
  <c r="B49" i="5"/>
  <c r="A49" i="5"/>
  <c r="B48" i="5"/>
  <c r="B47" i="5"/>
  <c r="B46" i="5"/>
  <c r="B45" i="5"/>
  <c r="A45" i="5"/>
  <c r="B44" i="5"/>
  <c r="B43" i="5"/>
  <c r="B42" i="5"/>
  <c r="B41" i="5"/>
  <c r="A41" i="5"/>
  <c r="B40" i="5"/>
  <c r="B39" i="5"/>
  <c r="B38" i="5"/>
  <c r="B37" i="5"/>
  <c r="A37" i="5"/>
  <c r="B36" i="5"/>
  <c r="B35" i="5"/>
  <c r="B34" i="5"/>
  <c r="B33" i="5"/>
  <c r="A33" i="5"/>
  <c r="B32" i="5"/>
  <c r="B31" i="5"/>
  <c r="B30" i="5"/>
  <c r="B29" i="5"/>
  <c r="A29" i="5"/>
  <c r="B28" i="5"/>
  <c r="B27" i="5"/>
  <c r="B26" i="5"/>
  <c r="B25" i="5"/>
  <c r="A25" i="5"/>
  <c r="B24" i="5"/>
  <c r="B23" i="5"/>
  <c r="B22" i="5"/>
  <c r="B21" i="5"/>
  <c r="A21" i="5"/>
  <c r="B20" i="5"/>
  <c r="B19" i="5"/>
  <c r="B18" i="5"/>
  <c r="B17" i="5"/>
  <c r="A17" i="5"/>
  <c r="B16" i="5"/>
  <c r="B15" i="5"/>
  <c r="AL4" i="5"/>
  <c r="AL5" i="5"/>
  <c r="AL6" i="5"/>
  <c r="AL7" i="5"/>
  <c r="AL8" i="5"/>
  <c r="AL9" i="5"/>
  <c r="AL10" i="5"/>
  <c r="AL11" i="5"/>
  <c r="AL12" i="5"/>
  <c r="AL13" i="5"/>
  <c r="AL14" i="5"/>
  <c r="B14" i="5"/>
  <c r="B13" i="5"/>
  <c r="B12" i="5"/>
  <c r="B11" i="5"/>
  <c r="B10" i="5"/>
  <c r="B9" i="5"/>
  <c r="A9" i="5"/>
  <c r="A5" i="5"/>
  <c r="C3" i="5"/>
  <c r="D3" i="5"/>
  <c r="E3" i="5"/>
  <c r="F3" i="5"/>
  <c r="G3" i="5"/>
  <c r="H3" i="5"/>
  <c r="I3" i="5"/>
  <c r="J3" i="5"/>
  <c r="K3" i="5"/>
  <c r="L3" i="5"/>
  <c r="M3" i="5"/>
  <c r="N3" i="5"/>
  <c r="O3" i="5"/>
  <c r="P3" i="5"/>
  <c r="Q3" i="5"/>
  <c r="R3" i="5"/>
  <c r="S3" i="5"/>
  <c r="T3" i="5"/>
  <c r="U3" i="5"/>
  <c r="V3" i="5"/>
  <c r="W3" i="5"/>
  <c r="X3" i="5"/>
  <c r="Y3" i="5"/>
  <c r="Z3" i="5"/>
  <c r="AA3" i="5"/>
  <c r="AB3" i="5"/>
  <c r="AC3" i="5"/>
  <c r="AD3" i="5"/>
  <c r="AE3" i="5"/>
  <c r="AF3" i="5"/>
  <c r="AG3" i="5"/>
  <c r="AG4" i="5"/>
  <c r="AF4" i="5"/>
  <c r="AE4" i="5"/>
  <c r="AD4" i="5"/>
  <c r="AC4" i="5"/>
  <c r="AB4" i="5"/>
  <c r="AA4" i="5"/>
  <c r="Z4" i="5"/>
  <c r="Y4" i="5"/>
  <c r="X4" i="5"/>
  <c r="W4" i="5"/>
  <c r="V4" i="5"/>
  <c r="U4" i="5"/>
  <c r="T4" i="5"/>
  <c r="S4" i="5"/>
  <c r="R4" i="5"/>
  <c r="Q4" i="5"/>
  <c r="P4" i="5"/>
  <c r="O4" i="5"/>
  <c r="N4" i="5"/>
  <c r="M4" i="5"/>
  <c r="L4" i="5"/>
  <c r="K4" i="5"/>
  <c r="J4" i="5"/>
  <c r="I4" i="5"/>
  <c r="H4" i="5"/>
  <c r="G4" i="5"/>
  <c r="F4" i="5"/>
  <c r="E4" i="5"/>
  <c r="D4" i="5"/>
  <c r="C4" i="5"/>
  <c r="A1" i="5"/>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H66" i="4"/>
  <c r="D66" i="4"/>
  <c r="D65" i="4"/>
  <c r="D64" i="4"/>
  <c r="D63" i="4"/>
  <c r="D62" i="4"/>
  <c r="D61" i="4"/>
  <c r="D60" i="4"/>
  <c r="D59" i="4"/>
  <c r="D58" i="4"/>
  <c r="D57" i="4"/>
  <c r="D56" i="4"/>
  <c r="D55" i="4"/>
  <c r="D54" i="4"/>
  <c r="D53" i="4"/>
  <c r="D52" i="4"/>
  <c r="H51" i="4"/>
  <c r="D51" i="4"/>
  <c r="H50" i="4"/>
  <c r="D50" i="4"/>
  <c r="D49" i="4"/>
  <c r="D48" i="4"/>
  <c r="D47" i="4"/>
  <c r="D46" i="4"/>
  <c r="D45" i="4"/>
  <c r="D44" i="4"/>
  <c r="D43" i="4"/>
  <c r="D42" i="4"/>
  <c r="D41" i="4"/>
  <c r="D40" i="4"/>
  <c r="D39" i="4"/>
  <c r="D38" i="4"/>
  <c r="D37" i="4"/>
  <c r="D36" i="4"/>
  <c r="H35" i="4"/>
  <c r="D35" i="4"/>
  <c r="D34" i="4"/>
  <c r="H33"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E33" i="2" a="1"/>
  <c r="E33" i="2"/>
  <c r="D33" i="2" a="1"/>
  <c r="D33" i="2"/>
  <c r="C33" i="2" a="1"/>
  <c r="C33" i="2"/>
  <c r="B33" i="2" a="1"/>
  <c r="B33" i="2"/>
  <c r="E32" i="2" a="1"/>
  <c r="E32" i="2"/>
  <c r="D32" i="2" a="1"/>
  <c r="D32" i="2"/>
  <c r="C32" i="2" a="1"/>
  <c r="C32" i="2"/>
  <c r="B32" i="2" a="1"/>
  <c r="B32" i="2"/>
  <c r="E31" i="2" a="1"/>
  <c r="E31" i="2"/>
  <c r="D31" i="2" a="1"/>
  <c r="D31" i="2"/>
  <c r="C31" i="2" a="1"/>
  <c r="C31" i="2"/>
  <c r="B31" i="2" a="1"/>
  <c r="B31" i="2"/>
  <c r="E30" i="2" a="1"/>
  <c r="E30" i="2"/>
  <c r="D30" i="2" a="1"/>
  <c r="D30" i="2"/>
  <c r="C30" i="2" a="1"/>
  <c r="C30" i="2"/>
  <c r="B30" i="2" a="1"/>
  <c r="B30" i="2"/>
  <c r="E29" i="2" a="1"/>
  <c r="E29" i="2"/>
  <c r="D29" i="2" a="1"/>
  <c r="D29" i="2"/>
  <c r="C29" i="2" a="1"/>
  <c r="C29" i="2"/>
  <c r="B29" i="2" a="1"/>
  <c r="B29" i="2"/>
  <c r="E28" i="2" a="1"/>
  <c r="E28" i="2"/>
  <c r="D28" i="2" a="1"/>
  <c r="D28" i="2"/>
  <c r="C28" i="2" a="1"/>
  <c r="C28" i="2"/>
  <c r="B28" i="2" a="1"/>
  <c r="B28" i="2"/>
  <c r="E27" i="2" a="1"/>
  <c r="E27" i="2"/>
  <c r="D27" i="2" a="1"/>
  <c r="D27" i="2"/>
  <c r="C27" i="2" a="1"/>
  <c r="C27" i="2"/>
  <c r="B27" i="2" a="1"/>
  <c r="B27" i="2"/>
  <c r="E26" i="2" a="1"/>
  <c r="E26" i="2"/>
  <c r="D26" i="2" a="1"/>
  <c r="D26" i="2"/>
  <c r="C26" i="2" a="1"/>
  <c r="C26" i="2"/>
  <c r="B26" i="2" a="1"/>
  <c r="B26" i="2"/>
  <c r="E25" i="2" a="1"/>
  <c r="E25" i="2"/>
  <c r="D25" i="2" a="1"/>
  <c r="D25" i="2"/>
  <c r="C25" i="2" a="1"/>
  <c r="C25" i="2"/>
  <c r="B25" i="2" a="1"/>
  <c r="B25" i="2"/>
  <c r="E24" i="2" a="1"/>
  <c r="E24" i="2"/>
  <c r="D24" i="2" a="1"/>
  <c r="D24" i="2"/>
  <c r="C24" i="2" a="1"/>
  <c r="C24" i="2"/>
  <c r="B24" i="2" a="1"/>
  <c r="B24" i="2"/>
  <c r="E23" i="2" a="1"/>
  <c r="E23" i="2"/>
  <c r="D23" i="2" a="1"/>
  <c r="D23" i="2"/>
  <c r="C23" i="2" a="1"/>
  <c r="C23" i="2"/>
  <c r="B23" i="2" a="1"/>
  <c r="B23" i="2"/>
  <c r="E22" i="2" a="1"/>
  <c r="E22" i="2"/>
  <c r="D22" i="2" a="1"/>
  <c r="D22" i="2"/>
  <c r="C22" i="2" a="1"/>
  <c r="C22" i="2"/>
  <c r="B22" i="2" a="1"/>
  <c r="B22" i="2"/>
  <c r="E21" i="2" a="1"/>
  <c r="E21" i="2"/>
  <c r="D21" i="2" a="1"/>
  <c r="D21" i="2"/>
  <c r="C21" i="2" a="1"/>
  <c r="C21" i="2"/>
  <c r="B21" i="2" a="1"/>
  <c r="B21" i="2"/>
  <c r="E20" i="2" a="1"/>
  <c r="E20" i="2"/>
  <c r="D20" i="2" a="1"/>
  <c r="D20" i="2"/>
  <c r="C20" i="2" a="1"/>
  <c r="C20" i="2"/>
  <c r="B20" i="2" a="1"/>
  <c r="B20" i="2"/>
  <c r="E19" i="2" a="1"/>
  <c r="E19" i="2"/>
  <c r="D19" i="2" a="1"/>
  <c r="D19" i="2"/>
  <c r="C19" i="2" a="1"/>
  <c r="C19" i="2"/>
  <c r="B19" i="2" a="1"/>
  <c r="B19" i="2"/>
  <c r="E18" i="2" a="1"/>
  <c r="E18" i="2"/>
  <c r="D18" i="2" a="1"/>
  <c r="D18" i="2"/>
  <c r="C18" i="2" a="1"/>
  <c r="C18" i="2"/>
  <c r="B18" i="2" a="1"/>
  <c r="B18" i="2"/>
  <c r="E17" i="2" a="1"/>
  <c r="E17" i="2"/>
  <c r="D17" i="2" a="1"/>
  <c r="D17" i="2"/>
  <c r="C17" i="2" a="1"/>
  <c r="C17" i="2"/>
  <c r="B17" i="2" a="1"/>
  <c r="B17" i="2"/>
  <c r="E16" i="2" a="1"/>
  <c r="E16" i="2"/>
  <c r="D16" i="2" a="1"/>
  <c r="D16" i="2"/>
  <c r="C16" i="2" a="1"/>
  <c r="C16" i="2"/>
  <c r="B16" i="2" a="1"/>
  <c r="B16" i="2"/>
  <c r="E15" i="2" a="1"/>
  <c r="E15" i="2"/>
  <c r="D15" i="2" a="1"/>
  <c r="D15" i="2"/>
  <c r="C15" i="2" a="1"/>
  <c r="C15" i="2"/>
  <c r="B15" i="2" a="1"/>
  <c r="B15" i="2"/>
  <c r="E14" i="2" a="1"/>
  <c r="E14" i="2"/>
  <c r="D14" i="2" a="1"/>
  <c r="D14" i="2"/>
  <c r="C14" i="2" a="1"/>
  <c r="C14" i="2"/>
  <c r="B14" i="2" a="1"/>
  <c r="B14" i="2"/>
  <c r="E13" i="2" a="1"/>
  <c r="E13" i="2"/>
  <c r="D13" i="2" a="1"/>
  <c r="D13" i="2"/>
  <c r="C13" i="2" a="1"/>
  <c r="C13" i="2"/>
  <c r="B13" i="2" a="1"/>
  <c r="B13" i="2"/>
  <c r="E12" i="2" a="1"/>
  <c r="E12" i="2"/>
  <c r="D12" i="2" a="1"/>
  <c r="D12" i="2"/>
  <c r="C12" i="2" a="1"/>
  <c r="C12" i="2"/>
  <c r="B12" i="2" a="1"/>
  <c r="B12" i="2"/>
  <c r="E11" i="2" a="1"/>
  <c r="E11" i="2"/>
  <c r="D11" i="2" a="1"/>
  <c r="D11" i="2"/>
  <c r="C11" i="2" a="1"/>
  <c r="C11" i="2"/>
  <c r="B11" i="2" a="1"/>
  <c r="B11" i="2"/>
  <c r="E10" i="2" a="1"/>
  <c r="E10" i="2"/>
  <c r="D10" i="2" a="1"/>
  <c r="D10" i="2"/>
  <c r="C10" i="2" a="1"/>
  <c r="C10" i="2"/>
  <c r="B10" i="2" a="1"/>
  <c r="B10" i="2"/>
  <c r="D9" i="2" a="1"/>
  <c r="D9" i="2"/>
  <c r="C9" i="2" a="1"/>
  <c r="C9" i="2"/>
  <c r="B9" i="2" a="1"/>
  <c r="B9" i="2"/>
  <c r="D8" i="2" a="1"/>
  <c r="D8" i="2"/>
  <c r="C8" i="2" a="1"/>
  <c r="C8" i="2"/>
  <c r="B8" i="2" a="1"/>
  <c r="B8" i="2"/>
  <c r="D7" i="2" a="1"/>
  <c r="D7" i="2"/>
  <c r="C7" i="2" a="1"/>
  <c r="C7" i="2"/>
  <c r="B7" i="2" a="1"/>
  <c r="B7" i="2"/>
  <c r="C27" i="1"/>
  <c r="C24" i="1"/>
  <c r="C21" i="1"/>
  <c r="C15" i="1"/>
  <c r="C14" i="1"/>
  <c r="C42" i="6"/>
  <c r="F42" i="6"/>
  <c r="C41" i="6"/>
  <c r="F41" i="6"/>
  <c r="C40" i="6"/>
  <c r="F40" i="6"/>
  <c r="C39" i="6"/>
  <c r="F39" i="6"/>
  <c r="C38" i="6"/>
  <c r="F38" i="6"/>
  <c r="C37" i="6"/>
  <c r="F37" i="6"/>
  <c r="C36" i="6"/>
  <c r="F36" i="6"/>
  <c r="C35" i="6"/>
  <c r="F35" i="6"/>
  <c r="C34" i="6"/>
  <c r="F34" i="6"/>
  <c r="C33" i="6"/>
  <c r="F33" i="6"/>
  <c r="C32" i="6"/>
  <c r="F32" i="6"/>
  <c r="C31" i="6"/>
  <c r="F31" i="6"/>
  <c r="C30" i="6"/>
  <c r="F30" i="6"/>
  <c r="C29" i="6"/>
  <c r="F29" i="6"/>
  <c r="C28" i="6"/>
  <c r="F28" i="6"/>
  <c r="C27" i="6"/>
  <c r="F27" i="6"/>
  <c r="C26" i="6"/>
  <c r="F26" i="6"/>
  <c r="C25" i="6"/>
  <c r="F25" i="6"/>
  <c r="C24" i="6"/>
  <c r="F24" i="6"/>
  <c r="C23" i="6"/>
  <c r="F23" i="6"/>
  <c r="C22" i="6"/>
  <c r="F22" i="6"/>
  <c r="C21" i="6"/>
  <c r="F21" i="6"/>
  <c r="C20" i="6"/>
  <c r="F20" i="6"/>
  <c r="C19" i="6"/>
  <c r="F19" i="6"/>
  <c r="C18" i="6"/>
  <c r="F18" i="6"/>
  <c r="C17" i="6"/>
  <c r="F17" i="6"/>
  <c r="C16" i="6"/>
  <c r="F16" i="6"/>
  <c r="C15" i="6"/>
  <c r="F15" i="6"/>
  <c r="C14" i="6"/>
  <c r="F14" i="6"/>
  <c r="C13" i="6"/>
  <c r="F13" i="6"/>
  <c r="C12" i="6"/>
  <c r="F12" i="6"/>
  <c r="C11" i="6"/>
  <c r="F11" i="6"/>
  <c r="C10" i="6"/>
  <c r="F10" i="6"/>
  <c r="C9" i="6"/>
  <c r="F9" i="6"/>
  <c r="C8" i="6"/>
  <c r="F8" i="6"/>
  <c r="C7" i="6"/>
  <c r="F7" i="6"/>
  <c r="C6" i="6"/>
  <c r="F6" i="6"/>
  <c r="F5" i="6"/>
  <c r="K3" i="14"/>
  <c r="K4" i="14"/>
  <c r="K5" i="14"/>
  <c r="K6" i="14"/>
  <c r="K7" i="14"/>
  <c r="K39" i="14"/>
  <c r="K38" i="14"/>
  <c r="K37" i="14"/>
  <c r="K36" i="14"/>
  <c r="K35" i="14"/>
  <c r="K34" i="14"/>
  <c r="K33" i="14"/>
  <c r="K32" i="14"/>
  <c r="K31" i="14"/>
  <c r="K30" i="14"/>
  <c r="K29" i="14"/>
  <c r="K28" i="14"/>
  <c r="K27" i="14"/>
  <c r="K26" i="14"/>
  <c r="K25" i="14"/>
  <c r="K24" i="14"/>
  <c r="K23" i="14"/>
  <c r="K22" i="14"/>
  <c r="K21" i="14"/>
  <c r="K20" i="14"/>
  <c r="K19" i="14"/>
  <c r="K18" i="14"/>
  <c r="K17" i="14"/>
  <c r="K16" i="14"/>
  <c r="K15" i="14"/>
  <c r="K14" i="14"/>
  <c r="K13" i="14"/>
  <c r="K12" i="14"/>
  <c r="K11" i="14"/>
  <c r="K10" i="14"/>
  <c r="K9" i="14"/>
  <c r="K8" i="14"/>
  <c r="K41" i="14"/>
  <c r="I3" i="14"/>
  <c r="I4" i="14"/>
  <c r="G6" i="6"/>
  <c r="I5" i="14"/>
  <c r="G7" i="6"/>
  <c r="I6" i="14"/>
  <c r="G8" i="6"/>
  <c r="I7" i="14"/>
  <c r="G40" i="6"/>
  <c r="I39" i="14"/>
  <c r="G39" i="6"/>
  <c r="I38" i="14"/>
  <c r="G38" i="6"/>
  <c r="I37" i="14"/>
  <c r="G37" i="6"/>
  <c r="I36" i="14"/>
  <c r="G36" i="6"/>
  <c r="I35" i="14"/>
  <c r="G35" i="6"/>
  <c r="I34" i="14"/>
  <c r="G34" i="6"/>
  <c r="I33" i="14"/>
  <c r="G33" i="6"/>
  <c r="I32" i="14"/>
  <c r="G32" i="6"/>
  <c r="I31" i="14"/>
  <c r="G31" i="6"/>
  <c r="I30" i="14"/>
  <c r="G30" i="6"/>
  <c r="I29" i="14"/>
  <c r="G29" i="6"/>
  <c r="I28" i="14"/>
  <c r="G28" i="6"/>
  <c r="I27" i="14"/>
  <c r="G27" i="6"/>
  <c r="I26" i="14"/>
  <c r="G26" i="6"/>
  <c r="I25" i="14"/>
  <c r="G25" i="6"/>
  <c r="I24" i="14"/>
  <c r="G24" i="6"/>
  <c r="I23" i="14"/>
  <c r="G23" i="6"/>
  <c r="I22" i="14"/>
  <c r="G22" i="6"/>
  <c r="I21" i="14"/>
  <c r="G21" i="6"/>
  <c r="I20" i="14"/>
  <c r="G20" i="6"/>
  <c r="I19" i="14"/>
  <c r="G19" i="6"/>
  <c r="I18" i="14"/>
  <c r="G18" i="6"/>
  <c r="I17" i="14"/>
  <c r="G17" i="6"/>
  <c r="I16" i="14"/>
  <c r="G16" i="6"/>
  <c r="I15" i="14"/>
  <c r="G15" i="6"/>
  <c r="I14" i="14"/>
  <c r="G14" i="6"/>
  <c r="I13" i="14"/>
  <c r="G13" i="6"/>
  <c r="I12" i="14"/>
  <c r="G12" i="6"/>
  <c r="I11" i="14"/>
  <c r="G11" i="6"/>
  <c r="I10" i="14"/>
  <c r="G10" i="6"/>
  <c r="I9" i="14"/>
  <c r="G9" i="6"/>
  <c r="I8" i="14"/>
  <c r="I41" i="14"/>
  <c r="K40" i="14"/>
  <c r="G41" i="6"/>
  <c r="I40" i="14"/>
  <c r="E105" i="7"/>
  <c r="F105" i="7"/>
  <c r="K105" i="7"/>
  <c r="E104" i="7"/>
  <c r="F104" i="7"/>
  <c r="K104" i="7"/>
  <c r="J104" i="7"/>
  <c r="E103" i="7"/>
  <c r="F103" i="7"/>
  <c r="K103" i="7"/>
  <c r="J103" i="7"/>
  <c r="E102" i="7"/>
  <c r="F102" i="7"/>
  <c r="K102" i="7"/>
  <c r="J102" i="7"/>
  <c r="E101" i="7"/>
  <c r="F101" i="7"/>
  <c r="K101" i="7"/>
  <c r="J101" i="7"/>
  <c r="E100" i="7"/>
  <c r="F100" i="7"/>
  <c r="K100" i="7"/>
  <c r="J100" i="7"/>
  <c r="E99" i="7"/>
  <c r="F99" i="7"/>
  <c r="K99" i="7"/>
  <c r="J99" i="7"/>
  <c r="E98" i="7"/>
  <c r="F98" i="7"/>
  <c r="K98" i="7"/>
  <c r="J98" i="7"/>
  <c r="E97" i="7"/>
  <c r="F97" i="7"/>
  <c r="K97" i="7"/>
  <c r="J97" i="7"/>
  <c r="E96" i="7"/>
  <c r="F96" i="7"/>
  <c r="K96" i="7"/>
  <c r="J96" i="7"/>
  <c r="E95" i="7"/>
  <c r="F95" i="7"/>
  <c r="K95" i="7"/>
  <c r="J95" i="7"/>
  <c r="E94" i="7"/>
  <c r="F94" i="7"/>
  <c r="K94" i="7"/>
  <c r="J94" i="7"/>
  <c r="E93" i="7"/>
  <c r="F93" i="7"/>
  <c r="K93" i="7"/>
  <c r="J93" i="7"/>
  <c r="E92" i="7"/>
  <c r="F92" i="7"/>
  <c r="K92" i="7"/>
  <c r="J92" i="7"/>
  <c r="E91" i="7"/>
  <c r="F91" i="7"/>
  <c r="K91" i="7"/>
  <c r="J91" i="7"/>
  <c r="E90" i="7"/>
  <c r="F90" i="7"/>
  <c r="K90" i="7"/>
  <c r="J90" i="7"/>
  <c r="E89" i="7"/>
  <c r="F89" i="7"/>
  <c r="K89" i="7"/>
  <c r="J89" i="7"/>
  <c r="E88" i="7"/>
  <c r="F88" i="7"/>
  <c r="K88" i="7"/>
  <c r="J88" i="7"/>
  <c r="E87" i="7"/>
  <c r="F87" i="7"/>
  <c r="K87" i="7"/>
  <c r="J87" i="7"/>
  <c r="E86" i="7"/>
  <c r="F86" i="7"/>
  <c r="K86" i="7"/>
  <c r="J86" i="7"/>
  <c r="E85" i="7"/>
  <c r="F85" i="7"/>
  <c r="K85" i="7"/>
  <c r="J85" i="7"/>
  <c r="E84" i="7"/>
  <c r="F84" i="7"/>
  <c r="K84" i="7"/>
  <c r="J84" i="7"/>
  <c r="E83" i="7"/>
  <c r="F83" i="7"/>
  <c r="K83" i="7"/>
  <c r="J83" i="7"/>
  <c r="E82" i="7"/>
  <c r="F82" i="7"/>
  <c r="K82" i="7"/>
  <c r="J82" i="7"/>
  <c r="E81" i="7"/>
  <c r="F81" i="7"/>
  <c r="K81" i="7"/>
  <c r="J81" i="7"/>
  <c r="E80" i="7"/>
  <c r="F80" i="7"/>
  <c r="K80" i="7"/>
  <c r="J80" i="7"/>
  <c r="E79" i="7"/>
  <c r="F79" i="7"/>
  <c r="K79" i="7"/>
  <c r="J79" i="7"/>
  <c r="E78" i="7"/>
  <c r="F78" i="7"/>
  <c r="K78" i="7"/>
  <c r="J78" i="7"/>
  <c r="E77" i="7"/>
  <c r="F77" i="7"/>
  <c r="K77" i="7"/>
  <c r="J77" i="7"/>
  <c r="E76" i="7"/>
  <c r="F76" i="7"/>
  <c r="K76" i="7"/>
  <c r="J76" i="7"/>
  <c r="E75" i="7"/>
  <c r="F75" i="7"/>
  <c r="K75" i="7"/>
  <c r="J75" i="7"/>
  <c r="E74" i="7"/>
  <c r="F74" i="7"/>
  <c r="K74" i="7"/>
  <c r="J74" i="7"/>
  <c r="E73" i="7"/>
  <c r="F73" i="7"/>
  <c r="K73" i="7"/>
  <c r="J73" i="7"/>
  <c r="E72" i="7"/>
  <c r="F72" i="7"/>
  <c r="K72" i="7"/>
  <c r="J72" i="7"/>
  <c r="E71" i="7"/>
  <c r="F71" i="7"/>
  <c r="K71" i="7"/>
  <c r="J71" i="7"/>
  <c r="E70" i="7"/>
  <c r="F70" i="7"/>
  <c r="K70" i="7"/>
  <c r="J70" i="7"/>
  <c r="E69" i="7"/>
  <c r="F69" i="7"/>
  <c r="K69" i="7"/>
  <c r="J69" i="7"/>
  <c r="E68" i="7"/>
  <c r="F68" i="7"/>
  <c r="K68" i="7"/>
  <c r="J68" i="7"/>
  <c r="E67" i="7"/>
  <c r="F67" i="7"/>
  <c r="K67" i="7"/>
  <c r="J67" i="7"/>
  <c r="E66" i="7"/>
  <c r="F66" i="7"/>
  <c r="K66" i="7"/>
  <c r="J66" i="7"/>
  <c r="E65" i="7"/>
  <c r="F65" i="7"/>
  <c r="K65" i="7"/>
  <c r="J65" i="7"/>
  <c r="E64" i="7"/>
  <c r="F64" i="7"/>
  <c r="K64" i="7"/>
  <c r="J64" i="7"/>
  <c r="E63" i="7"/>
  <c r="F63" i="7"/>
  <c r="K63" i="7"/>
  <c r="J63" i="7"/>
  <c r="E62" i="7"/>
  <c r="F62" i="7"/>
  <c r="K62" i="7"/>
  <c r="J62" i="7"/>
  <c r="E61" i="7"/>
  <c r="F61" i="7"/>
  <c r="K61" i="7"/>
  <c r="J61" i="7"/>
  <c r="E60" i="7"/>
  <c r="F60" i="7"/>
  <c r="K60" i="7"/>
  <c r="J60" i="7"/>
  <c r="E59" i="7"/>
  <c r="F59" i="7"/>
  <c r="K59" i="7"/>
  <c r="J59" i="7"/>
  <c r="E58" i="7"/>
  <c r="F58" i="7"/>
  <c r="K58" i="7"/>
  <c r="J58" i="7"/>
  <c r="E57" i="7"/>
  <c r="F57" i="7"/>
  <c r="K57" i="7"/>
  <c r="J57" i="7"/>
  <c r="E56" i="7"/>
  <c r="F56" i="7"/>
  <c r="K56" i="7"/>
  <c r="J56" i="7"/>
  <c r="E55" i="7"/>
  <c r="F55" i="7"/>
  <c r="K55" i="7"/>
  <c r="J55" i="7"/>
  <c r="E54" i="7"/>
  <c r="F54" i="7"/>
  <c r="K54" i="7"/>
  <c r="J54" i="7"/>
  <c r="E53" i="7"/>
  <c r="F53" i="7"/>
  <c r="K53" i="7"/>
  <c r="J53" i="7"/>
  <c r="E52" i="7"/>
  <c r="F52" i="7"/>
  <c r="K52" i="7"/>
  <c r="J52" i="7"/>
  <c r="E51" i="7"/>
  <c r="F51" i="7"/>
  <c r="K51" i="7"/>
  <c r="J51" i="7"/>
  <c r="E50" i="7"/>
  <c r="F50" i="7"/>
  <c r="K50" i="7"/>
  <c r="J50" i="7"/>
  <c r="E49" i="7"/>
  <c r="F49" i="7"/>
  <c r="K49" i="7"/>
  <c r="J49" i="7"/>
  <c r="E48" i="7"/>
  <c r="F48" i="7"/>
  <c r="K48" i="7"/>
  <c r="J48" i="7"/>
  <c r="E47" i="7"/>
  <c r="F47" i="7"/>
  <c r="K47" i="7"/>
  <c r="J47" i="7"/>
  <c r="E46" i="7"/>
  <c r="F46" i="7"/>
  <c r="K46" i="7"/>
  <c r="J46" i="7"/>
  <c r="E45" i="7"/>
  <c r="F45" i="7"/>
  <c r="K45" i="7"/>
  <c r="J45" i="7"/>
  <c r="E44" i="7"/>
  <c r="F44" i="7"/>
  <c r="K44" i="7"/>
  <c r="J44" i="7"/>
  <c r="E43" i="7"/>
  <c r="F43" i="7"/>
  <c r="K43" i="7"/>
  <c r="J43" i="7"/>
  <c r="E42" i="7"/>
  <c r="F42" i="7"/>
  <c r="K42" i="7"/>
  <c r="J42" i="7"/>
  <c r="G42" i="6"/>
  <c r="D41" i="7"/>
  <c r="E41" i="7"/>
  <c r="F41" i="7"/>
  <c r="K41" i="7"/>
  <c r="J41" i="7"/>
  <c r="D40" i="7"/>
  <c r="E40" i="7"/>
  <c r="F40" i="7"/>
  <c r="K40" i="7"/>
  <c r="J40" i="7"/>
  <c r="D39" i="7"/>
  <c r="E39" i="7"/>
  <c r="F39" i="7"/>
  <c r="K39" i="7"/>
  <c r="J39" i="7"/>
  <c r="D38" i="7"/>
  <c r="E38" i="7"/>
  <c r="F38" i="7"/>
  <c r="K38" i="7"/>
  <c r="J38" i="7"/>
  <c r="D37" i="7"/>
  <c r="E37" i="7"/>
  <c r="F37" i="7"/>
  <c r="K37" i="7"/>
  <c r="J37" i="7"/>
  <c r="D36" i="7"/>
  <c r="E36" i="7"/>
  <c r="F36" i="7"/>
  <c r="K36" i="7"/>
  <c r="J36" i="7"/>
  <c r="D35" i="7"/>
  <c r="E35" i="7"/>
  <c r="F35" i="7"/>
  <c r="K35" i="7"/>
  <c r="J35" i="7"/>
  <c r="D34" i="7"/>
  <c r="E34" i="7"/>
  <c r="F34" i="7"/>
  <c r="K34" i="7"/>
  <c r="J34" i="7"/>
  <c r="D33" i="7"/>
  <c r="E33" i="7"/>
  <c r="F33" i="7"/>
  <c r="K33" i="7"/>
  <c r="J33" i="7"/>
  <c r="D32" i="7"/>
  <c r="E32" i="7"/>
  <c r="F32" i="7"/>
  <c r="K32" i="7"/>
  <c r="J32" i="7"/>
  <c r="D31" i="7"/>
  <c r="E31" i="7"/>
  <c r="F31" i="7"/>
  <c r="K31" i="7"/>
  <c r="J31" i="7"/>
  <c r="D30" i="7"/>
  <c r="E30" i="7"/>
  <c r="F30" i="7"/>
  <c r="K30" i="7"/>
  <c r="J30" i="7"/>
  <c r="D29" i="7"/>
  <c r="E29" i="7"/>
  <c r="F29" i="7"/>
  <c r="K29" i="7"/>
  <c r="J29" i="7"/>
  <c r="D28" i="7"/>
  <c r="E28" i="7"/>
  <c r="F28" i="7"/>
  <c r="K28" i="7"/>
  <c r="J28" i="7"/>
  <c r="D27" i="7"/>
  <c r="E27" i="7"/>
  <c r="F27" i="7"/>
  <c r="K27" i="7"/>
  <c r="J27" i="7"/>
  <c r="D26" i="7"/>
  <c r="E26" i="7"/>
  <c r="F26" i="7"/>
  <c r="K26" i="7"/>
  <c r="J26" i="7"/>
  <c r="D25" i="7"/>
  <c r="E25" i="7"/>
  <c r="F25" i="7"/>
  <c r="K25" i="7"/>
  <c r="J25" i="7"/>
  <c r="D24" i="7"/>
  <c r="E24" i="7"/>
  <c r="F24" i="7"/>
  <c r="K24" i="7"/>
  <c r="J24" i="7"/>
  <c r="D23" i="7"/>
  <c r="E23" i="7"/>
  <c r="F23" i="7"/>
  <c r="K23" i="7"/>
  <c r="J23" i="7"/>
  <c r="D22" i="7"/>
  <c r="E22" i="7"/>
  <c r="F22" i="7"/>
  <c r="K22" i="7"/>
  <c r="J22" i="7"/>
  <c r="D21" i="7"/>
  <c r="E21" i="7"/>
  <c r="F21" i="7"/>
  <c r="K21" i="7"/>
  <c r="J21" i="7"/>
  <c r="D20" i="7"/>
  <c r="E20" i="7"/>
  <c r="F20" i="7"/>
  <c r="K20" i="7"/>
  <c r="J20" i="7"/>
  <c r="D19" i="7"/>
  <c r="E19" i="7"/>
  <c r="F19" i="7"/>
  <c r="K19" i="7"/>
  <c r="J19" i="7"/>
  <c r="D18" i="7"/>
  <c r="E18" i="7"/>
  <c r="F18" i="7"/>
  <c r="K18" i="7"/>
  <c r="J18" i="7"/>
  <c r="D17" i="7"/>
  <c r="E17" i="7"/>
  <c r="F17" i="7"/>
  <c r="K17" i="7"/>
  <c r="J17" i="7"/>
  <c r="D16" i="7"/>
  <c r="E16" i="7"/>
  <c r="F16" i="7"/>
  <c r="K16" i="7"/>
  <c r="J16" i="7"/>
  <c r="D15" i="7"/>
  <c r="E15" i="7"/>
  <c r="F15" i="7"/>
  <c r="K15" i="7"/>
  <c r="J15" i="7"/>
  <c r="D14" i="7"/>
  <c r="E14" i="7"/>
  <c r="F14" i="7"/>
  <c r="K14" i="7"/>
  <c r="J14" i="7"/>
  <c r="D13" i="7"/>
  <c r="E13" i="7"/>
  <c r="F13" i="7"/>
  <c r="K13" i="7"/>
  <c r="J13" i="7"/>
  <c r="D12" i="7"/>
  <c r="E12" i="7"/>
  <c r="F12" i="7"/>
  <c r="K12" i="7"/>
  <c r="J12" i="7"/>
  <c r="D11" i="7"/>
  <c r="E11" i="7"/>
  <c r="F11" i="7"/>
  <c r="K11" i="7"/>
  <c r="J11" i="7"/>
  <c r="D10" i="7"/>
  <c r="E10" i="7"/>
  <c r="F10" i="7"/>
  <c r="K10" i="7"/>
  <c r="J10" i="7"/>
  <c r="D9" i="7"/>
  <c r="E9" i="7"/>
  <c r="F9" i="7"/>
  <c r="K9" i="7"/>
  <c r="J9" i="7"/>
  <c r="D8" i="7"/>
  <c r="E8" i="7"/>
  <c r="F8" i="7"/>
  <c r="K8" i="7"/>
  <c r="J8" i="7"/>
  <c r="D7" i="7"/>
  <c r="E7" i="7"/>
  <c r="F7" i="7"/>
  <c r="K7" i="7"/>
  <c r="J7" i="7"/>
  <c r="D6" i="7"/>
  <c r="E6" i="7"/>
  <c r="F6" i="7"/>
  <c r="K6" i="7"/>
  <c r="J6" i="7"/>
  <c r="D5" i="7"/>
  <c r="E5" i="7"/>
  <c r="F5" i="7"/>
  <c r="K5" i="7"/>
  <c r="J5" i="7"/>
  <c r="E4" i="7"/>
  <c r="F4" i="7"/>
  <c r="K4" i="7"/>
  <c r="J4" i="7"/>
  <c r="B8" i="6"/>
  <c r="B9" i="6"/>
  <c r="B10" i="6"/>
  <c r="B11" i="6"/>
  <c r="J42" i="6"/>
  <c r="I42" i="6"/>
  <c r="J41" i="6"/>
  <c r="I41" i="6"/>
  <c r="J40" i="6"/>
  <c r="I40" i="6"/>
  <c r="J39" i="6"/>
  <c r="I39" i="6"/>
  <c r="J38" i="6"/>
  <c r="I38" i="6"/>
  <c r="J37" i="6"/>
  <c r="I37" i="6"/>
  <c r="J36" i="6"/>
  <c r="I36" i="6"/>
  <c r="J35" i="6"/>
  <c r="I35" i="6"/>
  <c r="J34" i="6"/>
  <c r="I34" i="6"/>
  <c r="J33" i="6"/>
  <c r="I33" i="6"/>
  <c r="J32" i="6"/>
  <c r="I32" i="6"/>
  <c r="J31" i="6"/>
  <c r="I31" i="6"/>
  <c r="J30" i="6"/>
  <c r="I30" i="6"/>
  <c r="J29" i="6"/>
  <c r="I29" i="6"/>
  <c r="J28" i="6"/>
  <c r="I28" i="6"/>
  <c r="J27" i="6"/>
  <c r="I27" i="6"/>
  <c r="J26" i="6"/>
  <c r="I26" i="6"/>
  <c r="J25" i="6"/>
  <c r="I25" i="6"/>
  <c r="J24" i="6"/>
  <c r="I24" i="6"/>
  <c r="J23" i="6"/>
  <c r="I23" i="6"/>
  <c r="J22" i="6"/>
  <c r="I22" i="6"/>
  <c r="J21" i="6"/>
  <c r="I21" i="6"/>
  <c r="J20" i="6"/>
  <c r="I20" i="6"/>
  <c r="J19" i="6"/>
  <c r="I19" i="6"/>
  <c r="J18" i="6"/>
  <c r="I18" i="6"/>
  <c r="J17" i="6"/>
  <c r="I17" i="6"/>
  <c r="J16" i="6"/>
  <c r="I16" i="6"/>
  <c r="J15" i="6"/>
  <c r="I15" i="6"/>
  <c r="J14" i="6"/>
  <c r="I14" i="6"/>
  <c r="J13" i="6"/>
  <c r="I13" i="6"/>
  <c r="J12" i="6"/>
  <c r="I12" i="6"/>
  <c r="J11" i="6"/>
  <c r="I11" i="6"/>
  <c r="J10" i="6"/>
  <c r="I10" i="6"/>
  <c r="J9" i="6"/>
  <c r="I9" i="6"/>
  <c r="J8" i="6"/>
  <c r="I8" i="6"/>
  <c r="J7" i="6"/>
  <c r="I7" i="6"/>
  <c r="J6" i="6"/>
  <c r="I6" i="6"/>
  <c r="J5" i="6"/>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9" i="2" a="1"/>
  <c r="E9" i="2"/>
  <c r="E8" i="2" a="1"/>
  <c r="E8" i="2"/>
  <c r="E7" i="2" a="1"/>
  <c r="E7" i="2"/>
  <c r="C17" i="1"/>
  <c r="C18" i="1"/>
  <c r="C19" i="1"/>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<sst xmlns="http://schemas.openxmlformats.org/spreadsheetml/2006/main" count="9564" uniqueCount="452">
  <si>
    <t>庫存查詢表</t>
  </si>
  <si>
    <t>選擇粉烤色號：</t>
  </si>
  <si>
    <t>4950-502</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</si>
  <si>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</si>
  <si>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</si>
  <si>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</si>
  <si>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</si>
  <si>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</si>
  <si>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</si>
  <si>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</si>
  <si>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</si>
  <si>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</si>
  <si>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</si>
  <si>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</si>
  <si>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</si>
  <si>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</si>
  <si>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</si>
  <si>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</si>
  <si>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</si>
  <si>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庫存</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</si>
  <si>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</si>
  <si>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</si>
  <si>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</si>
  <si>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</si>
  <si>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</si>
  <si>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</si>
  <si>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</si>
  <si>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</si>
  <si>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</si>
  <si>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</si>
  <si>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</si>
  <si>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</si>
  <si>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</si>
  <si>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</si>
  <si>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</si>
  <si>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</si>
  <si>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</si>
  <si>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</si>
  <si>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</si>
  <si>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</si>
  <si>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</si>
  <si>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</si>
  <si>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</si>
  <si>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</si>
  <si>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</si>
  <si>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</si>
  <si>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</si>
  <si>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</si>
  <si>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</si>
  <si>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</si>
  <si>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</si>
  <si>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</si>
  <si>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</si>
  <si>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</si>
  <si>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</si>
  <si>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</si>
  <si>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</si>
  <si>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</si>
  <si>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</si>
  <si>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</si>
  <si>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</si>
  <si>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</si>
  <si>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</si>
  <si>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</si>
  <si>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</si>
  <si>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</si>
  <si>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</si>
  <si>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</si>
  <si>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</si>
  <si>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</si>
  <si>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</si>
  <si>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</si>
  <si>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</si>
  <si>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</si>
  <si>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</si>
  <si>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</si>
  <si>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</si>
  <si>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</si>
  <si>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</si>
  <si>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</si>
  <si>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</si>
  <si>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</si>
  <si>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</si>
  <si>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</si>
  <si>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</si>
  <si>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</si>
  <si>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</si>
  <si>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</si>
  <si>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</si>
  <si>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</si>
  <si>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</si>
  <si>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</si>
  <si>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</si>
  <si>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</si>
  <si>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</si>
  <si>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</si>
  <si>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</si>
  <si>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</si>
  <si>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</si>
  <si>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</si>
  <si>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</si>
  <si>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</si>
  <si>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</si>
  <si>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</si>
  <si>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</si>
  <si>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</si>
  <si>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</si>
  <si>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</si>
  <si>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</si>
  <si>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</si>
  <si>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</si>
  <si>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</si>
  <si>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</si>
  <si>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</si>
  <si>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</si>
  <si>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</si>
  <si>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</si>
  <si>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</si>
  <si>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</si>
  <si>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</si>
  <si>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</si>
  <si>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</si>
  <si>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</si>
  <si>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</si>
  <si>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</si>
  <si>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</si>
  <si>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</si>
  <si>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</si>
  <si>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</si>
  <si>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</si>
  <si>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</si>
  <si>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</si>
  <si>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</si>
  <si>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</si>
  <si>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</si>
  <si>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</si>
  <si>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</si>
  <si>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</si>
  <si>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</si>
  <si>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</si>
  <si>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</si>
  <si>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</si>
  <si>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</si>
  <si>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</si>
  <si>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</si>
  <si>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</si>
  <si>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</si>
  <si>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</si>
  <si>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</si>
  <si>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</si>
  <si>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</si>
  <si>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</si>
  <si>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</si>
  <si>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</si>
  <si>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</si>
  <si>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</si>
  <si>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</si>
  <si>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</si>
  <si>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</si>
  <si>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</si>
  <si>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</si>
  <si>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</si>
  <si>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</si>
  <si>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</si>
  <si>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</si>
  <si>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</si>
  <si>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</si>
  <si>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</si>
  <si>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</si>
  <si>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</si>
  <si>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</si>
  <si>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</si>
  <si>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</si>
  <si>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</si>
  <si>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</si>
  <si>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</si>
  <si>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</si>
  <si>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</si>
  <si>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</si>
  <si>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</si>
  <si>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</si>
  <si>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</si>
  <si>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</si>
  <si>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</si>
  <si>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</si>
  <si>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</si>
  <si>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</si>
  <si>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</si>
  <si>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</si>
  <si>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</si>
  <si>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</si>
  <si>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</si>
  <si>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</si>
  <si>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</si>
  <si>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</si>
  <si>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</si>
  <si>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</si>
  <si>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</si>
  <si>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</si>
  <si>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</si>
  <si>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</si>
  <si>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</si>
  <si>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</si>
  <si>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</si>
  <si>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</si>
  <si>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</si>
  <si>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</si>
  <si>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</si>
  <si>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</si>
  <si>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</si>
  <si>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</si>
  <si>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</si>
  <si>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</si>
  <si>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</si>
  <si>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</si>
  <si>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</si>
  <si>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</si>
  <si>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</si>
  <si>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</si>
  <si>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</si>
  <si>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</si>
  <si>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</si>
  <si>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</si>
  <si>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</si>
  <si>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</si>
  <si>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</si>
  <si>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</si>
  <si>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</si>
  <si>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</si>
  <si>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</si>
  <si>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</si>
  <si>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</si>
  <si>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</si>
  <si>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</si>
  <si>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</si>
  <si>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</si>
  <si>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</si>
  <si>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</si>
  <si>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</si>
  <si>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</si>
  <si>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</si>
  <si>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</si>
  <si>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</si>
  <si>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</si>
  <si>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</si>
  <si>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</si>
  <si>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</si>
  <si>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</si>
  <si>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</si>
  <si>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</si>
  <si>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</si>
  <si>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</si>
  <si>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</si>
  <si>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</si>
  <si>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</si>
  <si>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</si>
  <si>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</si>
  <si>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</si>
  <si>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</si>
  <si>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</si>
  <si>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</si>
  <si>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</si>
  <si>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</si>
  <si>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</si>
  <si>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</si>
  <si>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</si>
  <si>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</si>
  <si>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</si>
  <si>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</si>
  <si>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</si>
  <si>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</si>
  <si>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</si>
  <si>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</si>
  <si>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</si>
  <si>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</si>
  <si>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</si>
  <si>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</si>
  <si>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</si>
  <si>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</si>
  <si>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</si>
  <si>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</si>
  <si>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</si>
  <si>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</si>
  <si>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</si>
  <si>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</si>
  <si>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</si>
  <si>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</si>
  <si>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</si>
  <si>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</si>
  <si>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</si>
  <si>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</si>
  <si>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</si>
  <si>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</si>
  <si>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</si>
  <si>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</si>
  <si>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</si>
  <si>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</si>
  <si>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</si>
  <si>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</si>
  <si>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</si>
  <si>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</si>
  <si>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</si>
  <si>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</si>
  <si>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</si>
  <si>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</si>
  <si>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</si>
  <si>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</si>
  <si>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</si>
  <si>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</si>
  <si>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</si>
  <si>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</si>
  <si>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</si>
  <si>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</si>
  <si>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</si>
  <si>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</si>
  <si>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</si>
  <si>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</si>
  <si>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</si>
  <si>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</si>
  <si>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</si>
  <si>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</si>
  <si>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寶凱噴房用粉2025年11月紀錄表</t>
  </si>
  <si>
    <t>日期</t>
  </si>
  <si>
    <t>出</t>
  </si>
  <si>
    <t>散粉</t>
  </si>
  <si>
    <t>重量(Kg)</t>
  </si>
  <si>
    <t>回庫</t>
  </si>
  <si>
    <t>時段</t>
  </si>
  <si>
    <t>烤漆日期</t>
  </si>
  <si>
    <t>回收/不回收</t>
  </si>
  <si>
    <t>備註</t>
  </si>
  <si>
    <t>欄1</t>
  </si>
  <si>
    <t>008/1H174</t>
  </si>
  <si>
    <t>廢粉</t>
  </si>
  <si>
    <t>770-739</t>
  </si>
  <si>
    <t>EN-402T</t>
  </si>
  <si>
    <t>4605-505</t>
  </si>
  <si>
    <t>4605-702A</t>
  </si>
  <si>
    <t>008/2H056</t>
  </si>
  <si>
    <t>K-91097G</t>
  </si>
  <si>
    <t>例假日</t>
  </si>
  <si>
    <t>780-310AT</t>
  </si>
  <si>
    <t>EL-0365T</t>
  </si>
  <si>
    <t>無烤漆</t>
  </si>
  <si>
    <t>樣粉</t>
  </si>
  <si>
    <t>3909BS</t>
  </si>
  <si>
    <t>K-9287S</t>
  </si>
  <si>
    <t>9262G</t>
  </si>
  <si>
    <t>3909SB</t>
  </si>
  <si>
    <t>D-42-2PT010A</t>
  </si>
  <si>
    <t>颱風假</t>
  </si>
  <si>
    <t>174樣粉</t>
  </si>
  <si>
    <t>選擇日期</t>
  </si>
  <si>
    <t>年</t>
  </si>
  <si>
    <t>月</t>
  </si>
  <si>
    <t>資料年份</t>
  </si>
  <si>
    <t>資料月份</t>
  </si>
  <si>
    <t>紀錄表</t>
  </si>
  <si>
    <t>當前庫存</t>
  </si>
  <si>
    <t>期初庫存</t>
  </si>
  <si>
    <t>採購入庫</t>
  </si>
  <si>
    <r>
      <rPr>
        <b/>
        <sz val="11"/>
        <color rgb="FFFFFFFF"/>
        <rFont val="宋体"/>
      </rPr>
      <t>NO:</t>
    </r>
  </si>
  <si>
    <t>色系</t>
  </si>
  <si>
    <t>散粉(KG)</t>
  </si>
  <si>
    <t>安全庫存（設置）</t>
  </si>
  <si>
    <t>建議購入</t>
  </si>
  <si>
    <t>總數量</t>
  </si>
  <si>
    <r>
      <rPr>
        <b/>
        <sz val="10"/>
        <color rgb="FF000000"/>
        <rFont val="宋体"/>
      </rPr>
      <t>-</t>
    </r>
  </si>
  <si>
    <t>-</t>
  </si>
  <si>
    <r>
      <rPr>
        <b/>
        <sz val="10"/>
        <color rgb="FF000000"/>
        <rFont val="宋体"/>
      </rPr>
      <t>否</t>
    </r>
  </si>
  <si>
    <t>NO:</t>
  </si>
  <si>
    <t>箱數</t>
  </si>
  <si>
    <t>散粉2</t>
  </si>
  <si>
    <t>本期盤存</t>
  </si>
  <si>
    <t>誤差類別</t>
  </si>
  <si>
    <t>誤差值</t>
  </si>
  <si>
    <t>重盤</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</si>
  <si>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</si>
  <si>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</si>
  <si>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</si>
  <si>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</si>
  <si>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</si>
  <si>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</si>
  <si>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</si>
  <si>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</si>
  <si>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</si>
  <si>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</si>
  <si>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</si>
  <si>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</si>
  <si>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淨重</t>
  </si>
  <si>
    <t>白亮光</t>
  </si>
  <si>
    <t>灰白</t>
  </si>
  <si>
    <t>O-5905</t>
  </si>
  <si>
    <t>換粉</t>
  </si>
  <si>
    <t>New O-5905</t>
  </si>
  <si>
    <t>790-41540H</t>
  </si>
  <si>
    <t>豔藍-孔雀藍</t>
  </si>
  <si>
    <t>長誠</t>
  </si>
  <si>
    <t>BKSA1</t>
  </si>
  <si>
    <t>O-22170G</t>
  </si>
  <si>
    <t>DGS</t>
  </si>
  <si>
    <t>深灰砂</t>
  </si>
  <si>
    <t>O-200SB</t>
  </si>
  <si>
    <t>無粉</t>
  </si>
  <si>
    <t>閃銀</t>
  </si>
  <si>
    <t>K-5257CSB</t>
  </si>
  <si>
    <t>新閃銀</t>
  </si>
  <si>
    <t>K-4654</t>
  </si>
  <si>
    <t>PEL</t>
  </si>
  <si>
    <t>780-9B65</t>
  </si>
  <si>
    <t>780-9Q70</t>
  </si>
  <si>
    <t>780-6902</t>
  </si>
  <si>
    <t>A-10067</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</si>
  <si>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</si>
  <si>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</si>
  <si>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</si>
  <si>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</si>
  <si>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</si>
  <si>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</si>
  <si>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</si>
  <si>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</si>
  <si>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</si>
  <si>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</si>
  <si>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</si>
  <si>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</si>
  <si>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</si>
  <si>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</si>
  <si>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</si>
  <si>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</si>
  <si>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</si>
  <si>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</si>
  <si>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</si>
  <si>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008/35624</t>
  </si>
  <si>
    <t>OE2</t>
  </si>
  <si>
    <t>780-7847AT</t>
  </si>
  <si>
    <t>07146D</t>
  </si>
  <si>
    <t>國定假日</t>
  </si>
  <si>
    <t>年假</t>
  </si>
  <si>
    <t>顏色</t>
  </si>
  <si>
    <t>黃色</t>
  </si>
  <si>
    <t>紅色</t>
  </si>
  <si>
    <t>黑色</t>
  </si>
  <si>
    <t>黃金色</t>
  </si>
  <si>
    <t>序号</t>
  </si>
  <si>
    <t>入庫統計</t>
  </si>
  <si>
    <t>單位</t>
  </si>
  <si>
    <t>出庫統計</t>
  </si>
  <si>
    <t>剩餘庫存</t>
  </si>
  <si>
    <t>剩餘散粉</t>
  </si>
  <si>
    <t>當月用粉</t>
  </si>
  <si>
    <t>#NAME?</t>
  </si>
  <si>
    <t>總用量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</si>
</sst>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quot;月&quot;d&quot;日&quot;"/>
    <numFmt numFmtId="177" formatCode="0_ "/>
    <numFmt numFmtId="178" formatCode="yyyy/m/d\ dddd"/>
    <numFmt numFmtId="179" formatCode="[$-404]aaaa"/>
    <numFmt numFmtId="180" formatCode="d"/>
    <numFmt numFmtId="181" formatCode="aaa"/>
    <numFmt numFmtId="182" formatCode="0_);[Red]\(0\)"/>
    <numFmt numFmtId="183" formatCode="&quot;￥&quot;#,##0.00_);[Red]\(&quot;￥&quot;#,##0.00\)"/>
  </numFmts>
  <fonts count="50" x14ac:knownFonts="1">
    <font>
      <sz val="11"/>
      <name val="Arial"/>
    </font>
    <font>
      <b/>
      <sz val="36"/>
      <name val="Arial"/>
    </font>
    <font>
      <sz val="36"/>
      <name val="Arial"/>
    </font>
    <font>
      <sz val="11"/>
      <name val="Arial"/>
    </font>
    <font>
      <sz val="18"/>
      <name val="Arial"/>
    </font>
    <font>
      <sz val="16"/>
      <name val="Arial"/>
    </font>
    <font>
      <b/>
      <sz val="18"/>
      <name val="Arial"/>
    </font>
    <font>
      <b/>
      <sz val="18"/>
      <color rgb="FF000000"/>
      <name val="Arial"/>
    </font>
    <font>
      <b/>
      <sz val="18"/>
      <color rgb="FFFF0000"/>
      <name val="Arial"/>
    </font>
    <font>
      <b/>
      <sz val="16"/>
      <color rgb="FFFF0000"/>
      <name val="Quattrocento Sans"/>
    </font>
    <font>
      <b/>
      <sz val="11"/>
      <color rgb="FF000000"/>
      <name val="Arial"/>
    </font>
    <font>
      <b/>
      <sz val="20"/>
      <color rgb="FF000000"/>
      <name val="Arial"/>
    </font>
    <font>
      <sz val="11"/>
      <name val="Arial"/>
    </font>
    <font>
      <b/>
      <sz val="14"/>
      <name val="Arial"/>
    </font>
    <font>
      <b/>
      <sz val="11"/>
      <name val="Arial"/>
    </font>
    <font>
      <b/>
      <sz val="11"/>
      <color rgb="FFFF0000"/>
      <name val="Arial"/>
    </font>
    <font>
      <b/>
      <sz val="11"/>
      <color rgb="FF0070C0"/>
      <name val="Arial"/>
    </font>
    <font>
      <sz val="12"/>
      <color rgb="FF000000"/>
      <name val="PMingLiu"/>
    </font>
    <font>
      <b/>
      <sz val="11"/>
      <color rgb="FF0000FF"/>
      <name val="Arial"/>
    </font>
    <font>
      <b/>
      <sz val="11"/>
      <color rgb="FF7030A0"/>
      <name val="Arial"/>
    </font>
    <font>
      <b/>
      <sz val="22"/>
      <color rgb="FF0070C0"/>
      <name val="Arial"/>
    </font>
    <font>
      <sz val="12"/>
      <color rgb="FFFFFFFF"/>
      <name val="Arial"/>
    </font>
    <font>
      <b/>
      <sz val="12"/>
      <color rgb="FFFFFFFF"/>
      <name val="Arial"/>
    </font>
    <font>
      <sz val="11"/>
      <color rgb="FFFFFFFF"/>
      <name val="Arial"/>
    </font>
    <font>
      <sz val="18"/>
      <name val="Arial"/>
    </font>
    <font>
      <b/>
      <sz val="11"/>
      <color rgb="FFFFFFFF"/>
      <name val="Arial"/>
    </font>
    <font>
      <b/>
      <sz val="14"/>
      <color rgb="FFFFFFFF"/>
      <name val="SimSun"/>
    </font>
    <font>
      <u/>
      <sz val="11"/>
      <color rgb="FF800080"/>
      <name val="Arial"/>
    </font>
    <font>
      <b/>
      <sz val="14"/>
      <color rgb="FFFFFFFF"/>
      <name val="Arial"/>
    </font>
    <font>
      <b/>
      <sz val="14"/>
      <color rgb="FFFF0000"/>
      <name val="Arial"/>
    </font>
    <font>
      <b/>
      <sz val="14"/>
      <color rgb="FFFF0000"/>
      <name val="SimSun"/>
    </font>
    <font>
      <b/>
      <sz val="11"/>
      <color rgb="FFFFFFFF"/>
      <name val="SimSun"/>
    </font>
    <font>
      <b/>
      <sz val="11"/>
      <color rgb="FF000000"/>
      <name val="SimSun"/>
    </font>
    <font>
      <b/>
      <sz val="10"/>
      <color rgb="FF000000"/>
      <name val="SimSun"/>
    </font>
    <font>
      <b/>
      <sz val="10"/>
      <color rgb="FFFF0000"/>
      <name val="SimSun"/>
    </font>
    <font>
      <sz val="11"/>
      <color rgb="FF000000"/>
      <name val="Arial"/>
    </font>
    <font>
      <b/>
      <sz val="12"/>
      <color rgb="FFFFFFFF"/>
      <name val="PMingLiu"/>
    </font>
    <font>
      <sz val="11"/>
      <color rgb="FFFFFFFF"/>
      <name val="MingLiu"/>
    </font>
    <font>
      <sz val="11"/>
      <color rgb="FF000000"/>
      <name val="MingLiu"/>
    </font>
    <font>
      <u/>
      <sz val="11"/>
      <color rgb="FF800080"/>
      <name val="Arial"/>
    </font>
    <font>
      <u/>
      <sz val="11"/>
      <color rgb="FF0000FF"/>
      <name val="Arial"/>
    </font>
    <font>
      <b/>
      <sz val="12"/>
      <color rgb="FF000000"/>
      <name val="PMingLiu"/>
    </font>
    <font>
      <b/>
      <sz val="16"/>
      <name val="Arial"/>
    </font>
    <font>
      <b/>
      <sz val="16"/>
      <color rgb="FF000000"/>
      <name val="Arial"/>
    </font>
    <font>
      <b/>
      <sz val="12"/>
      <name val="Arial"/>
    </font>
    <font>
      <sz val="11"/>
      <color rgb="FFE36C09"/>
      <name val="Arial"/>
    </font>
    <font>
      <sz val="18"/>
      <color rgb="FF000000"/>
      <name val="Arial"/>
    </font>
    <font>
      <sz val="18"/>
      <color rgb="FFFF0000"/>
      <name val="Arial"/>
    </font>
    <font>
      <b/>
      <sz val="11"/>
      <color rgb="FFFFFFFF"/>
      <name val="宋体"/>
    </font>
    <font>
      <b/>
      <sz val="10"/>
      <color rgb="FF000000"/>
      <name val="宋体"/>
    </font>
  </fonts>
  <fills count="32">
    <fill>
      <patternFill patternType="none"/>
    </fill>
    <fill>
      <patternFill patternType="gray125"/>
    </fill>
    <fill>
      <patternFill patternType="solid">
        <fgColor rgb="FF92D050"/>
        <bgColor rgb="FF92D050"/>
      </patternFill>
    </fill>
    <fill>
      <patternFill patternType="solid">
        <fgColor rgb="FFFFFF00"/>
        <bgColor rgb="FFFFFF00"/>
      </patternFill>
    </fill>
    <fill>
      <patternFill patternType="solid">
        <fgColor rgb="FFE9EDF4"/>
        <bgColor rgb="FFE9EDF4"/>
      </patternFill>
    </fill>
    <fill>
      <patternFill patternType="solid">
        <fgColor rgb="FFFF0000"/>
        <bgColor rgb="FFFF0000"/>
      </patternFill>
    </fill>
    <fill>
      <patternFill patternType="solid">
        <fgColor rgb="FFC6D9F0"/>
        <bgColor rgb="FFC6D9F0"/>
      </patternFill>
    </fill>
    <fill>
      <patternFill patternType="solid">
        <fgColor rgb="FF95B3D7"/>
        <bgColor rgb="FF95B3D7"/>
      </patternFill>
    </fill>
    <fill>
      <patternFill patternType="solid">
        <fgColor rgb="FFFFCC99"/>
        <bgColor rgb="FFFFCC99"/>
      </patternFill>
    </fill>
    <fill>
      <patternFill patternType="solid">
        <fgColor rgb="FFFFE5E5"/>
        <bgColor rgb="FFFFE5E5"/>
      </patternFill>
    </fill>
    <fill>
      <patternFill patternType="solid">
        <fgColor rgb="FFFFCB00"/>
        <bgColor rgb="FFFFCB00"/>
      </patternFill>
    </fill>
    <fill>
      <patternFill patternType="solid">
        <fgColor rgb="FFFF9900"/>
        <bgColor rgb="FFFF9900"/>
      </patternFill>
    </fill>
    <fill>
      <patternFill patternType="solid">
        <fgColor rgb="FF4F81BD"/>
        <bgColor rgb="FF4F81BD"/>
      </patternFill>
    </fill>
    <fill>
      <patternFill patternType="solid">
        <fgColor rgb="FFCCFECC"/>
      </patternFill>
    </fill>
    <fill>
      <patternFill patternType="solid">
        <fgColor rgb="FFCCFECC"/>
        <bgColor rgb="FFD6E3BC"/>
      </patternFill>
    </fill>
    <fill>
      <patternFill patternType="solid">
        <fgColor rgb="FF99CCFF"/>
      </patternFill>
    </fill>
    <fill>
      <patternFill patternType="solid">
        <fgColor rgb="FF99CCFF"/>
        <bgColor rgb="FFC6D9F0"/>
      </patternFill>
    </fill>
    <fill>
      <patternFill patternType="solid">
        <fgColor rgb="FFFFFFFF"/>
        <bgColor rgb="FFFFFFFF"/>
      </patternFill>
    </fill>
    <fill>
      <patternFill patternType="solid">
        <fgColor rgb="FFCCFECC"/>
        <bgColor rgb="FFCCFECC"/>
      </patternFill>
    </fill>
    <fill>
      <patternFill patternType="solid">
        <fgColor rgb="FF0070C0"/>
        <bgColor rgb="FF0070C0"/>
      </patternFill>
    </fill>
    <fill>
      <patternFill patternType="solid">
        <fgColor rgb="FFFF6600"/>
        <bgColor rgb="FFFF6600"/>
      </patternFill>
    </fill>
    <fill>
      <patternFill patternType="solid">
        <fgColor rgb="FFA5A5A5"/>
        <bgColor rgb="FFA5A5A5"/>
      </patternFill>
    </fill>
    <fill>
      <patternFill patternType="solid">
        <fgColor rgb="FFD0D8E8"/>
        <bgColor rgb="FFD0D8E8"/>
      </patternFill>
    </fill>
    <fill>
      <patternFill patternType="solid">
        <fgColor rgb="FFA9D08E"/>
        <bgColor rgb="FFA9D08E"/>
      </patternFill>
    </fill>
    <fill>
      <patternFill patternType="solid">
        <fgColor rgb="FF00CC00"/>
        <bgColor rgb="FF00CC00"/>
      </patternFill>
    </fill>
    <fill>
      <patternFill patternType="solid">
        <fgColor rgb="FFC0504D"/>
        <bgColor rgb="FFC0504D"/>
      </patternFill>
    </fill>
    <fill>
      <patternFill patternType="solid">
        <fgColor rgb="FFE8D0D0"/>
        <bgColor rgb="FFE8D0D0"/>
      </patternFill>
    </fill>
    <fill>
      <patternFill patternType="solid">
        <fgColor rgb="FFF4E9E9"/>
        <bgColor rgb="FFF4E9E9"/>
      </patternFill>
    </fill>
    <fill>
      <patternFill patternType="solid">
        <fgColor rgb="FF548DD4"/>
        <bgColor rgb="FF548DD4"/>
      </patternFill>
    </fill>
    <fill>
      <patternFill patternType="solid">
        <fgColor rgb="FFDAEEF3"/>
        <bgColor rgb="FFDAEEF3"/>
      </patternFill>
    </fill>
    <fill>
      <patternFill patternType="solid">
        <fgColor rgb="FF8DB3E2"/>
        <bgColor rgb="FF8DB3E2"/>
      </patternFill>
    </fill>
    <fill>
      <patternFill patternType="solid">
        <fgColor rgb="FFEEECE1"/>
        <bgColor rgb="FFEEECE1"/>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style="medium">
        <color rgb="FFE36C09"/>
      </bottom>
      <diagonal/>
    </border>
    <border>
      <left style="thin">
        <color rgb="FF505050"/>
      </left>
      <right/>
      <top style="thin">
        <color rgb="FF505050"/>
      </top>
      <bottom style="thin">
        <color rgb="FF505050"/>
      </bottom>
      <diagonal/>
    </border>
    <border>
      <left style="thin">
        <color rgb="FF505050"/>
      </left>
      <right style="double">
        <color rgb="FF3F3F3F"/>
      </right>
      <top style="thin">
        <color rgb="FF505050"/>
      </top>
      <bottom/>
      <diagonal/>
    </border>
    <border>
      <left style="double">
        <color rgb="FF3F3F3F"/>
      </left>
      <right/>
      <top/>
      <bottom/>
      <diagonal/>
    </border>
    <border>
      <left style="thin">
        <color rgb="FF505050"/>
      </left>
      <right style="double">
        <color rgb="FF3F3F3F"/>
      </right>
      <top/>
      <bottom style="thin">
        <color rgb="FF505050"/>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style="thin">
        <color rgb="FF505050"/>
      </bottom>
      <diagonal/>
    </border>
    <border>
      <left/>
      <right style="thin">
        <color rgb="FF50505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50505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double">
        <color rgb="FF3F3F3F"/>
      </right>
      <top style="double">
        <color rgb="FF3F3F3F"/>
      </top>
      <bottom style="double">
        <color rgb="FF3F3F3F"/>
      </bottom>
      <diagonal/>
    </border>
    <border>
      <left/>
      <right style="thin">
        <color rgb="FFFFFFFF"/>
      </right>
      <top style="thin">
        <color rgb="FFFFFFFF"/>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s>
  <cellStyleXfs count="1">
    <xf numFmtId="0" fontId="0" fillId="0" borderId="0">
      <alignment vertical="center"/>
    </xf>
  </cellStyleXfs>
  <cellXfs count="219">
    <xf numFmtId="0" fontId="0" fillId="0" borderId="0" xfId="0">
      <alignment vertical="center"/>
    </xf>
    <xf numFmtId="0" fontId="2" fillId="2" borderId="0" xfId="0" applyFont="1" applyFill="1" applyBorder="1">
      <alignment vertical="center"/>
    </xf>
    <xf numFmtId="0" fontId="3" fillId="2" borderId="0" xfId="0" applyFont="1" applyFill="1" applyBorder="1">
      <alignment vertical="center"/>
    </xf>
    <xf numFmtId="0" fontId="4" fillId="2" borderId="0" xfId="0" applyFont="1" applyFill="1" applyBorder="1">
      <alignment vertical="center"/>
    </xf>
    <xf numFmtId="0" fontId="5" fillId="2" borderId="0" xfId="0" applyFont="1" applyFill="1" applyBorder="1" applyAlignment="1">
      <alignment horizontal="center" vertical="center"/>
    </xf>
    <xf numFmtId="0" fontId="6" fillId="3" borderId="0" xfId="0" applyFont="1" applyFill="1" applyBorder="1" applyAlignment="1">
      <alignment horizontal="right"/>
    </xf>
    <xf numFmtId="0" fontId="7" fillId="4" borderId="1" xfId="0" applyFont="1" applyFill="1" applyBorder="1" applyAlignment="1">
      <alignment horizontal="center" vertical="center"/>
    </xf>
    <xf numFmtId="0" fontId="4" fillId="2" borderId="0" xfId="0" applyFont="1" applyFill="1" applyBorder="1" applyAlignment="1">
      <alignment horizontal="center" vertical="center"/>
    </xf>
    <xf numFmtId="0" fontId="6" fillId="2" borderId="0" xfId="0" applyFont="1" applyFill="1" applyBorder="1">
      <alignment vertical="center"/>
    </xf>
    <xf numFmtId="0" fontId="8" fillId="0" borderId="1" xfId="0" applyFont="1" applyBorder="1" applyAlignment="1">
      <alignment horizontal="center" vertical="center"/>
    </xf>
    <xf numFmtId="0" fontId="6" fillId="3" borderId="0" xfId="0" applyFont="1" applyFill="1" applyBorder="1" applyAlignment="1">
      <alignment horizontal="left" vertical="top"/>
    </xf>
    <xf numFmtId="0" fontId="9" fillId="2" borderId="2" xfId="0" applyFont="1" applyFill="1" applyBorder="1">
      <alignment vertical="center"/>
    </xf>
    <xf numFmtId="0" fontId="8" fillId="0" borderId="3" xfId="0" applyFont="1" applyBorder="1" applyAlignment="1">
      <alignment horizontal="center" vertical="center"/>
    </xf>
    <xf numFmtId="0" fontId="10" fillId="2" borderId="0" xfId="0" applyFont="1" applyFill="1" applyBorder="1" applyAlignment="1">
      <alignment horizontal="center" vertical="center"/>
    </xf>
    <xf numFmtId="0" fontId="3" fillId="0" borderId="0" xfId="0" applyFont="1">
      <alignment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14" fontId="14" fillId="6" borderId="7" xfId="0" applyNumberFormat="1" applyFont="1" applyFill="1" applyBorder="1" applyAlignment="1">
      <alignment horizontal="center" vertical="center"/>
    </xf>
    <xf numFmtId="0" fontId="14" fillId="6" borderId="7" xfId="0" applyFont="1" applyFill="1" applyBorder="1" applyAlignment="1">
      <alignment horizontal="center" vertical="center"/>
    </xf>
    <xf numFmtId="0" fontId="15" fillId="6" borderId="7" xfId="0" applyFont="1" applyFill="1" applyBorder="1" applyAlignment="1">
      <alignment horizontal="center" vertical="center"/>
    </xf>
    <xf numFmtId="0" fontId="16" fillId="6" borderId="7" xfId="0" applyFont="1" applyFill="1" applyBorder="1" applyAlignment="1">
      <alignment horizontal="center" vertical="center"/>
    </xf>
    <xf numFmtId="0" fontId="17" fillId="7" borderId="0" xfId="0" applyFont="1" applyFill="1" applyBorder="1" applyAlignment="1">
      <alignment horizontal="center" vertical="center"/>
    </xf>
    <xf numFmtId="0" fontId="3" fillId="0" borderId="0" xfId="0" applyFont="1" applyAlignment="1">
      <alignment horizontal="center" vertical="center"/>
    </xf>
    <xf numFmtId="0" fontId="3" fillId="0" borderId="9" xfId="0" applyFont="1" applyBorder="1">
      <alignment vertical="center"/>
    </xf>
    <xf numFmtId="176" fontId="10" fillId="8" borderId="10" xfId="0" applyNumberFormat="1" applyFont="1" applyFill="1" applyBorder="1" applyAlignment="1">
      <alignment horizontal="center" vertical="center"/>
    </xf>
    <xf numFmtId="0" fontId="10" fillId="9" borderId="1" xfId="0" applyFont="1" applyFill="1" applyBorder="1" applyAlignment="1">
      <alignment horizontal="center" vertical="center"/>
    </xf>
    <xf numFmtId="0" fontId="10" fillId="8" borderId="1" xfId="0" applyFont="1" applyFill="1" applyBorder="1" applyAlignment="1">
      <alignment horizontal="center" vertical="center"/>
    </xf>
    <xf numFmtId="0" fontId="15" fillId="8" borderId="1" xfId="0" applyFont="1" applyFill="1" applyBorder="1" applyAlignment="1">
      <alignment horizontal="center" vertical="center"/>
    </xf>
    <xf numFmtId="0" fontId="15" fillId="9" borderId="1" xfId="0" applyFont="1" applyFill="1" applyBorder="1" applyAlignment="1">
      <alignment horizontal="center" vertical="center"/>
    </xf>
    <xf numFmtId="0" fontId="18" fillId="9" borderId="1" xfId="0" applyFont="1" applyFill="1" applyBorder="1" applyAlignment="1">
      <alignment horizontal="center" vertical="center"/>
    </xf>
    <xf numFmtId="177" fontId="19" fillId="8" borderId="1" xfId="0" applyNumberFormat="1" applyFont="1" applyFill="1" applyBorder="1" applyAlignment="1">
      <alignment horizontal="center" vertical="center"/>
    </xf>
    <xf numFmtId="178" fontId="10" fillId="9" borderId="1" xfId="0" applyNumberFormat="1" applyFont="1" applyFill="1" applyBorder="1" applyAlignment="1">
      <alignment horizontal="center" vertical="center" wrapText="1"/>
    </xf>
    <xf numFmtId="179" fontId="15" fillId="10" borderId="1" xfId="0" applyNumberFormat="1" applyFont="1" applyFill="1" applyBorder="1" applyAlignment="1">
      <alignment horizontal="center" vertical="center"/>
    </xf>
    <xf numFmtId="0" fontId="10" fillId="10" borderId="1" xfId="0" applyFont="1" applyFill="1" applyBorder="1" applyAlignment="1">
      <alignment horizontal="center" vertical="center"/>
    </xf>
    <xf numFmtId="0" fontId="10" fillId="10" borderId="11" xfId="0" applyFont="1" applyFill="1" applyBorder="1" applyAlignment="1">
      <alignment horizontal="center" vertical="center"/>
    </xf>
    <xf numFmtId="0" fontId="10" fillId="11" borderId="11" xfId="0" applyFont="1" applyFill="1" applyBorder="1" applyAlignment="1">
      <alignment horizontal="center" vertical="center"/>
    </xf>
    <xf numFmtId="177" fontId="19" fillId="0" borderId="1" xfId="0" applyNumberFormat="1" applyFont="1" applyBorder="1" applyAlignment="1">
      <alignment horizontal="center" vertical="center"/>
    </xf>
    <xf numFmtId="178" fontId="10" fillId="0" borderId="1" xfId="0" applyNumberFormat="1" applyFont="1" applyBorder="1" applyAlignment="1">
      <alignment horizontal="center" vertical="center" wrapText="1"/>
    </xf>
    <xf numFmtId="179" fontId="15"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1" xfId="0" applyFont="1" applyBorder="1" applyAlignment="1">
      <alignment horizontal="center" vertical="center"/>
    </xf>
    <xf numFmtId="176" fontId="20" fillId="0" borderId="0" xfId="0" applyNumberFormat="1" applyFont="1" applyAlignment="1">
      <alignment horizontal="left" vertical="center"/>
    </xf>
    <xf numFmtId="177" fontId="19" fillId="0" borderId="0" xfId="0" applyNumberFormat="1" applyFont="1" applyAlignment="1">
      <alignment horizontal="center" vertical="center"/>
    </xf>
    <xf numFmtId="178" fontId="10" fillId="0" borderId="0" xfId="0" applyNumberFormat="1" applyFont="1" applyAlignment="1">
      <alignment horizontal="center" vertical="center" wrapText="1"/>
    </xf>
    <xf numFmtId="179" fontId="15" fillId="0" borderId="0" xfId="0" applyNumberFormat="1" applyFont="1" applyAlignment="1">
      <alignment horizontal="center" vertical="center"/>
    </xf>
    <xf numFmtId="0" fontId="10" fillId="0" borderId="0" xfId="0" applyFont="1" applyAlignment="1">
      <alignment horizontal="center" vertical="center"/>
    </xf>
    <xf numFmtId="0" fontId="21" fillId="12" borderId="9" xfId="0" applyFont="1" applyFill="1" applyBorder="1" applyAlignment="1">
      <alignment horizontal="center" vertical="center"/>
    </xf>
    <xf numFmtId="176" fontId="22" fillId="12" borderId="10" xfId="0" applyNumberFormat="1" applyFont="1" applyFill="1" applyBorder="1" applyAlignment="1">
      <alignment horizontal="center" vertical="center"/>
    </xf>
    <xf numFmtId="0" fontId="22" fillId="12" borderId="1" xfId="0" applyFont="1" applyFill="1" applyBorder="1" applyAlignment="1">
      <alignment horizontal="center" vertical="center"/>
    </xf>
    <xf numFmtId="177" fontId="22" fillId="12" borderId="1" xfId="0" applyNumberFormat="1" applyFont="1" applyFill="1" applyBorder="1" applyAlignment="1">
      <alignment horizontal="center" vertical="center"/>
    </xf>
    <xf numFmtId="178" fontId="22" fillId="12" borderId="1" xfId="0" applyNumberFormat="1" applyFont="1" applyFill="1" applyBorder="1" applyAlignment="1">
      <alignment horizontal="center" vertical="center" wrapText="1"/>
    </xf>
    <xf numFmtId="0" fontId="22" fillId="11" borderId="1" xfId="0" applyFont="1" applyFill="1" applyBorder="1" applyAlignment="1">
      <alignment horizontal="center" vertical="center"/>
    </xf>
    <xf numFmtId="0" fontId="22" fillId="11" borderId="10" xfId="0" applyFont="1" applyFill="1" applyBorder="1" applyAlignment="1">
      <alignment horizontal="center" vertical="center"/>
    </xf>
    <xf numFmtId="0" fontId="23" fillId="12" borderId="9" xfId="0" applyFont="1" applyFill="1" applyBorder="1">
      <alignment vertical="center"/>
    </xf>
    <xf numFmtId="176" fontId="10" fillId="4" borderId="10" xfId="0" applyNumberFormat="1" applyFont="1" applyFill="1" applyBorder="1" applyAlignment="1">
      <alignment horizontal="center" vertical="center"/>
    </xf>
    <xf numFmtId="0" fontId="10" fillId="4" borderId="1" xfId="0" applyFont="1" applyFill="1" applyBorder="1" applyAlignment="1">
      <alignment horizontal="center" vertical="center"/>
    </xf>
    <xf numFmtId="0" fontId="15" fillId="4" borderId="1" xfId="0" applyFont="1" applyFill="1" applyBorder="1" applyAlignment="1">
      <alignment horizontal="center" vertical="center"/>
    </xf>
    <xf numFmtId="177" fontId="18" fillId="4" borderId="1" xfId="0" applyNumberFormat="1" applyFont="1" applyFill="1" applyBorder="1" applyAlignment="1">
      <alignment horizontal="center" vertical="center"/>
    </xf>
    <xf numFmtId="177" fontId="15" fillId="4" borderId="1" xfId="0" applyNumberFormat="1" applyFont="1" applyFill="1" applyBorder="1" applyAlignment="1">
      <alignment horizontal="center" vertical="center"/>
    </xf>
    <xf numFmtId="177" fontId="10" fillId="4" borderId="1" xfId="0" applyNumberFormat="1" applyFont="1" applyFill="1" applyBorder="1" applyAlignment="1">
      <alignment horizontal="center" vertical="center"/>
    </xf>
    <xf numFmtId="178" fontId="10" fillId="4" borderId="1" xfId="0" applyNumberFormat="1" applyFont="1" applyFill="1" applyBorder="1" applyAlignment="1">
      <alignment horizontal="center" vertical="center" wrapText="1"/>
    </xf>
    <xf numFmtId="179" fontId="10" fillId="4" borderId="1" xfId="0" applyNumberFormat="1" applyFont="1" applyFill="1" applyBorder="1" applyAlignment="1">
      <alignment horizontal="center" vertical="center"/>
    </xf>
    <xf numFmtId="0" fontId="10" fillId="11"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10" fillId="4" borderId="11" xfId="0" applyFont="1" applyFill="1" applyBorder="1" applyAlignment="1">
      <alignment horizontal="center" vertical="center"/>
    </xf>
    <xf numFmtId="0" fontId="10" fillId="4" borderId="7"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0" xfId="0" applyFont="1" applyFill="1" applyBorder="1" applyAlignment="1">
      <alignment horizontal="center" vertical="center" wrapText="1"/>
    </xf>
    <xf numFmtId="0" fontId="10" fillId="4" borderId="14" xfId="0" applyFont="1" applyFill="1" applyBorder="1" applyAlignment="1">
      <alignment horizontal="center" vertical="center"/>
    </xf>
    <xf numFmtId="176" fontId="10" fillId="4" borderId="15" xfId="0" applyNumberFormat="1" applyFont="1" applyFill="1" applyBorder="1" applyAlignment="1">
      <alignment horizontal="center" vertical="center"/>
    </xf>
    <xf numFmtId="0" fontId="15" fillId="4" borderId="11" xfId="0" applyFont="1" applyFill="1" applyBorder="1" applyAlignment="1">
      <alignment horizontal="center" vertical="center"/>
    </xf>
    <xf numFmtId="177" fontId="18" fillId="4" borderId="11" xfId="0" applyNumberFormat="1" applyFont="1" applyFill="1" applyBorder="1" applyAlignment="1">
      <alignment horizontal="center" vertical="center"/>
    </xf>
    <xf numFmtId="177" fontId="15" fillId="4" borderId="11" xfId="0" applyNumberFormat="1" applyFont="1" applyFill="1" applyBorder="1" applyAlignment="1">
      <alignment horizontal="center" vertical="center"/>
    </xf>
    <xf numFmtId="177" fontId="10" fillId="4" borderId="11" xfId="0" applyNumberFormat="1" applyFont="1" applyFill="1" applyBorder="1" applyAlignment="1">
      <alignment horizontal="center" vertical="center"/>
    </xf>
    <xf numFmtId="178" fontId="10" fillId="4" borderId="11" xfId="0" applyNumberFormat="1" applyFont="1" applyFill="1" applyBorder="1" applyAlignment="1">
      <alignment horizontal="center" vertical="center" wrapText="1"/>
    </xf>
    <xf numFmtId="179" fontId="10" fillId="4" borderId="11" xfId="0" applyNumberFormat="1" applyFont="1" applyFill="1" applyBorder="1" applyAlignment="1">
      <alignment horizontal="center" vertical="center"/>
    </xf>
    <xf numFmtId="0" fontId="23" fillId="12" borderId="11" xfId="0" applyFont="1" applyFill="1" applyBorder="1">
      <alignment vertical="center"/>
    </xf>
    <xf numFmtId="176" fontId="10" fillId="4" borderId="11" xfId="0" applyNumberFormat="1" applyFont="1" applyFill="1" applyBorder="1" applyAlignment="1">
      <alignment horizontal="center" vertical="center"/>
    </xf>
    <xf numFmtId="0" fontId="23" fillId="12" borderId="1" xfId="0" applyFont="1" applyFill="1" applyBorder="1">
      <alignment vertical="center"/>
    </xf>
    <xf numFmtId="176" fontId="10" fillId="4" borderId="1" xfId="0" applyNumberFormat="1" applyFont="1" applyFill="1" applyBorder="1" applyAlignment="1">
      <alignment horizontal="center" vertical="center"/>
    </xf>
    <xf numFmtId="176" fontId="10" fillId="4" borderId="16" xfId="0" applyNumberFormat="1" applyFont="1" applyFill="1" applyBorder="1" applyAlignment="1">
      <alignment horizontal="center" vertical="center"/>
    </xf>
    <xf numFmtId="0" fontId="15" fillId="4" borderId="14" xfId="0" applyFont="1" applyFill="1" applyBorder="1" applyAlignment="1">
      <alignment horizontal="center" vertical="center"/>
    </xf>
    <xf numFmtId="177" fontId="18" fillId="4" borderId="14" xfId="0" applyNumberFormat="1" applyFont="1" applyFill="1" applyBorder="1" applyAlignment="1">
      <alignment horizontal="center" vertical="center"/>
    </xf>
    <xf numFmtId="177" fontId="15" fillId="4" borderId="14" xfId="0" applyNumberFormat="1" applyFont="1" applyFill="1" applyBorder="1" applyAlignment="1">
      <alignment horizontal="center" vertical="center"/>
    </xf>
    <xf numFmtId="177" fontId="10" fillId="4" borderId="14" xfId="0" applyNumberFormat="1" applyFont="1" applyFill="1" applyBorder="1" applyAlignment="1">
      <alignment horizontal="center" vertical="center"/>
    </xf>
    <xf numFmtId="178" fontId="10" fillId="4" borderId="14" xfId="0" applyNumberFormat="1" applyFont="1" applyFill="1" applyBorder="1" applyAlignment="1">
      <alignment horizontal="center" vertical="center" wrapText="1"/>
    </xf>
    <xf numFmtId="179" fontId="10" fillId="4" borderId="14" xfId="0" applyNumberFormat="1" applyFont="1" applyFill="1" applyBorder="1" applyAlignment="1">
      <alignment horizontal="center" vertical="center"/>
    </xf>
    <xf numFmtId="0" fontId="10" fillId="11" borderId="14" xfId="0" applyFont="1" applyFill="1" applyBorder="1" applyAlignment="1">
      <alignment horizontal="center" vertical="center"/>
    </xf>
    <xf numFmtId="0" fontId="10" fillId="10" borderId="14" xfId="0" applyFont="1" applyFill="1" applyBorder="1" applyAlignment="1">
      <alignment horizontal="center" vertical="center"/>
    </xf>
    <xf numFmtId="0" fontId="0" fillId="0" borderId="0" xfId="0" applyAlignment="1">
      <alignment horizontal="center" vertical="center"/>
    </xf>
    <xf numFmtId="180" fontId="0" fillId="0" borderId="0" xfId="0" applyNumberFormat="1">
      <alignment vertical="center"/>
    </xf>
    <xf numFmtId="0" fontId="24" fillId="13" borderId="0" xfId="0" applyFont="1" applyFill="1">
      <alignment vertical="center"/>
    </xf>
    <xf numFmtId="0" fontId="0" fillId="15" borderId="0" xfId="0" applyFill="1">
      <alignment vertical="center"/>
    </xf>
    <xf numFmtId="0" fontId="3" fillId="16" borderId="0" xfId="0" applyFont="1" applyFill="1" applyBorder="1" applyAlignment="1">
      <alignment horizontal="center" vertical="center"/>
    </xf>
    <xf numFmtId="0" fontId="3" fillId="16" borderId="0" xfId="0" applyFont="1" applyFill="1" applyBorder="1">
      <alignment vertical="center"/>
    </xf>
    <xf numFmtId="0" fontId="0" fillId="0" borderId="17" xfId="0" applyBorder="1" applyAlignment="1">
      <alignment horizontal="center" vertical="center"/>
    </xf>
    <xf numFmtId="0" fontId="3" fillId="0" borderId="17" xfId="0" applyFont="1" applyBorder="1" applyAlignment="1">
      <alignment horizontal="center" vertical="center"/>
    </xf>
    <xf numFmtId="180" fontId="3" fillId="0" borderId="17" xfId="0" applyNumberFormat="1" applyFont="1" applyBorder="1" applyAlignment="1">
      <alignment horizontal="center" vertical="center"/>
    </xf>
    <xf numFmtId="180" fontId="0" fillId="0" borderId="17" xfId="0" applyNumberFormat="1" applyBorder="1" applyAlignment="1">
      <alignment horizontal="center" vertical="center"/>
    </xf>
    <xf numFmtId="0" fontId="0" fillId="0" borderId="17" xfId="0" applyNumberFormat="1" applyBorder="1" applyAlignment="1">
      <alignment horizontal="center" vertical="center"/>
    </xf>
    <xf numFmtId="181" fontId="3" fillId="0" borderId="17" xfId="0" applyNumberFormat="1" applyFont="1" applyBorder="1" applyAlignment="1">
      <alignment horizontal="center" vertical="center"/>
    </xf>
    <xf numFmtId="0" fontId="0" fillId="0" borderId="17" xfId="0" applyBorder="1">
      <alignment vertical="center"/>
    </xf>
    <xf numFmtId="180" fontId="0" fillId="0" borderId="17" xfId="0" applyNumberFormat="1" applyBorder="1">
      <alignment vertical="center"/>
    </xf>
    <xf numFmtId="0" fontId="0" fillId="0" borderId="0" xfId="0" applyBorder="1">
      <alignment vertical="center"/>
    </xf>
    <xf numFmtId="0" fontId="23" fillId="17" borderId="0" xfId="0" applyFont="1" applyFill="1" applyBorder="1">
      <alignment vertical="center"/>
    </xf>
    <xf numFmtId="0" fontId="23" fillId="17" borderId="0" xfId="0" applyFont="1" applyFill="1" applyBorder="1" applyAlignment="1">
      <alignment horizontal="center" vertical="center"/>
    </xf>
    <xf numFmtId="0" fontId="25" fillId="17" borderId="0" xfId="0" applyFont="1" applyFill="1" applyBorder="1" applyAlignment="1">
      <alignment horizontal="center" vertical="center"/>
    </xf>
    <xf numFmtId="182" fontId="26" fillId="18" borderId="0" xfId="0" applyNumberFormat="1" applyFont="1" applyFill="1" applyBorder="1" applyAlignment="1">
      <alignment horizontal="center" vertical="center"/>
    </xf>
    <xf numFmtId="182" fontId="27" fillId="18" borderId="0" xfId="0" applyNumberFormat="1" applyFont="1" applyFill="1" applyBorder="1" applyAlignment="1">
      <alignment horizontal="center" vertical="center"/>
    </xf>
    <xf numFmtId="182" fontId="28" fillId="19" borderId="0" xfId="0" applyNumberFormat="1" applyFont="1" applyFill="1" applyBorder="1" applyAlignment="1">
      <alignment horizontal="center" vertical="center"/>
    </xf>
    <xf numFmtId="14" fontId="29" fillId="18" borderId="0" xfId="0" applyNumberFormat="1" applyFont="1" applyFill="1" applyBorder="1" applyAlignment="1">
      <alignment horizontal="center" vertical="center"/>
    </xf>
    <xf numFmtId="182" fontId="30" fillId="18" borderId="0" xfId="0" applyNumberFormat="1" applyFont="1" applyFill="1" applyBorder="1" applyAlignment="1">
      <alignment horizontal="center" vertical="center"/>
    </xf>
    <xf numFmtId="0" fontId="23" fillId="18" borderId="0" xfId="0" applyFont="1" applyFill="1" applyBorder="1" applyAlignment="1">
      <alignment horizontal="center" vertical="center"/>
    </xf>
    <xf numFmtId="0" fontId="23" fillId="20" borderId="0" xfId="0" applyFont="1" applyFill="1" applyBorder="1">
      <alignment vertical="center"/>
    </xf>
    <xf numFmtId="0" fontId="23" fillId="20" borderId="0" xfId="0" applyFont="1" applyFill="1" applyBorder="1" applyAlignment="1">
      <alignment horizontal="center" vertical="center"/>
    </xf>
    <xf numFmtId="0" fontId="23" fillId="12" borderId="18" xfId="0" applyFont="1" applyFill="1" applyBorder="1" applyAlignment="1">
      <alignment horizontal="center" vertical="center"/>
    </xf>
    <xf numFmtId="0" fontId="31" fillId="12" borderId="19" xfId="0" applyFont="1" applyFill="1" applyBorder="1" applyAlignment="1">
      <alignment horizontal="center" vertical="center"/>
    </xf>
    <xf numFmtId="0" fontId="23" fillId="12" borderId="20" xfId="0" applyFont="1" applyFill="1" applyBorder="1">
      <alignment vertical="center"/>
    </xf>
    <xf numFmtId="0" fontId="32" fillId="4" borderId="1" xfId="0" applyFont="1" applyFill="1" applyBorder="1" applyAlignment="1">
      <alignment horizontal="center" vertical="center"/>
    </xf>
    <xf numFmtId="0" fontId="33" fillId="4" borderId="1" xfId="0" applyFont="1" applyFill="1" applyBorder="1" applyAlignment="1">
      <alignment horizontal="center" vertical="center"/>
    </xf>
    <xf numFmtId="0" fontId="34" fillId="4" borderId="1" xfId="0" applyFont="1" applyFill="1" applyBorder="1" applyAlignment="1">
      <alignment horizontal="center" vertical="center"/>
    </xf>
    <xf numFmtId="183" fontId="33" fillId="4" borderId="1" xfId="0" applyNumberFormat="1" applyFont="1" applyFill="1" applyBorder="1" applyAlignment="1">
      <alignment horizontal="center" vertical="center"/>
    </xf>
    <xf numFmtId="0" fontId="35" fillId="4" borderId="1" xfId="0" applyFont="1" applyFill="1" applyBorder="1" applyAlignment="1">
      <alignment horizontal="center" vertical="center"/>
    </xf>
    <xf numFmtId="0" fontId="3" fillId="17" borderId="0" xfId="0" applyFont="1" applyFill="1" applyBorder="1">
      <alignment vertical="center"/>
    </xf>
    <xf numFmtId="0" fontId="31" fillId="12" borderId="21" xfId="0" applyFont="1" applyFill="1" applyBorder="1" applyAlignment="1">
      <alignment horizontal="center" vertical="center"/>
    </xf>
    <xf numFmtId="0" fontId="33" fillId="10" borderId="21" xfId="0" applyFont="1" applyFill="1" applyBorder="1" applyAlignment="1">
      <alignment horizontal="center" vertical="center"/>
    </xf>
    <xf numFmtId="0" fontId="14" fillId="10" borderId="21" xfId="0" applyFont="1" applyFill="1" applyBorder="1" applyAlignment="1">
      <alignment horizontal="center" vertical="center"/>
    </xf>
    <xf numFmtId="0" fontId="3" fillId="10" borderId="21" xfId="0" applyFont="1" applyFill="1" applyBorder="1" applyAlignment="1">
      <alignment horizontal="center" vertical="center"/>
    </xf>
    <xf numFmtId="183" fontId="33" fillId="10" borderId="21" xfId="0" applyNumberFormat="1" applyFont="1" applyFill="1" applyBorder="1" applyAlignment="1">
      <alignment horizontal="center" vertical="center"/>
    </xf>
    <xf numFmtId="0" fontId="3" fillId="10" borderId="0" xfId="0" applyFont="1" applyFill="1" applyBorder="1">
      <alignment vertical="center"/>
    </xf>
    <xf numFmtId="0" fontId="3" fillId="10" borderId="0" xfId="0" applyFont="1" applyFill="1" applyBorder="1" applyAlignment="1">
      <alignment horizontal="center" vertical="center"/>
    </xf>
    <xf numFmtId="0" fontId="31" fillId="12" borderId="18" xfId="0" applyFont="1" applyFill="1" applyBorder="1" applyAlignment="1">
      <alignment horizontal="center" vertical="center"/>
    </xf>
    <xf numFmtId="0" fontId="31" fillId="11" borderId="18" xfId="0" applyFont="1" applyFill="1" applyBorder="1" applyAlignment="1">
      <alignment horizontal="center" vertical="center"/>
    </xf>
    <xf numFmtId="0" fontId="23" fillId="11" borderId="0" xfId="0" applyFont="1" applyFill="1" applyBorder="1" applyAlignment="1">
      <alignment horizontal="center" vertical="center"/>
    </xf>
    <xf numFmtId="14" fontId="35" fillId="17" borderId="0" xfId="0" applyNumberFormat="1" applyFont="1" applyFill="1" applyBorder="1" applyAlignment="1">
      <alignment horizontal="center" vertical="center"/>
    </xf>
    <xf numFmtId="0" fontId="23" fillId="11" borderId="0" xfId="0" applyFont="1" applyFill="1" applyBorder="1" applyAlignment="1">
      <alignment horizontal="left" vertical="center"/>
    </xf>
    <xf numFmtId="0" fontId="35" fillId="10" borderId="0" xfId="0" applyFont="1" applyFill="1" applyBorder="1" applyAlignment="1">
      <alignment horizontal="center" vertical="center"/>
    </xf>
    <xf numFmtId="0" fontId="14" fillId="10" borderId="0" xfId="0" applyFont="1" applyFill="1" applyBorder="1" applyAlignment="1">
      <alignment horizontal="center" vertical="center"/>
    </xf>
    <xf numFmtId="0" fontId="31" fillId="12" borderId="1" xfId="0" applyFont="1" applyFill="1" applyBorder="1" applyAlignment="1">
      <alignment horizontal="center" vertical="center"/>
    </xf>
    <xf numFmtId="0" fontId="23" fillId="12" borderId="1" xfId="0" applyFont="1" applyFill="1" applyBorder="1" applyAlignment="1">
      <alignment horizontal="center" vertical="center"/>
    </xf>
    <xf numFmtId="0" fontId="36" fillId="21" borderId="22" xfId="0" applyFont="1" applyFill="1" applyBorder="1" applyAlignment="1">
      <alignment horizontal="center" vertical="center"/>
    </xf>
    <xf numFmtId="0" fontId="14" fillId="0" borderId="0" xfId="0" applyFont="1">
      <alignment vertical="center"/>
    </xf>
    <xf numFmtId="0" fontId="25" fillId="0" borderId="0" xfId="0" applyFont="1" applyAlignment="1">
      <alignment horizontal="center" vertical="center"/>
    </xf>
    <xf numFmtId="0" fontId="14" fillId="0" borderId="0" xfId="0" applyFont="1" applyAlignment="1">
      <alignment horizontal="center" vertical="center"/>
    </xf>
    <xf numFmtId="182" fontId="25" fillId="18" borderId="0" xfId="0" applyNumberFormat="1" applyFont="1" applyFill="1" applyBorder="1" applyAlignment="1">
      <alignment horizontal="center" vertical="center"/>
    </xf>
    <xf numFmtId="182" fontId="14" fillId="18" borderId="0" xfId="0" applyNumberFormat="1" applyFont="1" applyFill="1" applyBorder="1" applyAlignment="1">
      <alignment horizontal="center" vertical="center"/>
    </xf>
    <xf numFmtId="0" fontId="25" fillId="12" borderId="19" xfId="0" applyFont="1" applyFill="1" applyBorder="1" applyAlignment="1">
      <alignment horizontal="center" vertical="center"/>
    </xf>
    <xf numFmtId="0" fontId="25" fillId="5" borderId="0" xfId="0" applyFont="1" applyFill="1" applyBorder="1">
      <alignment vertical="center"/>
    </xf>
    <xf numFmtId="0" fontId="25" fillId="12" borderId="18" xfId="0" applyFont="1" applyFill="1" applyBorder="1" applyAlignment="1">
      <alignment horizontal="center" vertical="center"/>
    </xf>
    <xf numFmtId="0" fontId="25" fillId="12" borderId="20" xfId="0" applyFont="1" applyFill="1" applyBorder="1" applyAlignment="1">
      <alignment horizontal="center" vertical="center"/>
    </xf>
    <xf numFmtId="14" fontId="23" fillId="5" borderId="23" xfId="0" applyNumberFormat="1" applyFont="1" applyFill="1" applyBorder="1" applyAlignment="1">
      <alignment horizontal="center" vertical="center"/>
    </xf>
    <xf numFmtId="0" fontId="10" fillId="22" borderId="18" xfId="0" applyFont="1" applyFill="1" applyBorder="1" applyAlignment="1">
      <alignment horizontal="center" vertical="center"/>
    </xf>
    <xf numFmtId="0" fontId="10" fillId="4" borderId="18" xfId="0" applyFont="1" applyFill="1" applyBorder="1" applyAlignment="1">
      <alignment horizontal="center" vertical="center"/>
    </xf>
    <xf numFmtId="0" fontId="14" fillId="23" borderId="21" xfId="0" applyFont="1" applyFill="1" applyBorder="1" applyAlignment="1">
      <alignment horizontal="center" vertical="center"/>
    </xf>
    <xf numFmtId="0" fontId="25" fillId="0" borderId="0" xfId="0" applyFont="1">
      <alignment vertical="center"/>
    </xf>
    <xf numFmtId="0" fontId="14" fillId="24" borderId="21" xfId="0" applyFont="1" applyFill="1" applyBorder="1" applyAlignment="1">
      <alignment horizontal="center" vertical="center"/>
    </xf>
    <xf numFmtId="176" fontId="14" fillId="0" borderId="0" xfId="0" applyNumberFormat="1" applyFont="1" applyAlignment="1">
      <alignment horizontal="center" vertical="center"/>
    </xf>
    <xf numFmtId="182" fontId="15" fillId="18" borderId="0" xfId="0" applyNumberFormat="1" applyFont="1" applyFill="1" applyBorder="1" applyAlignment="1">
      <alignment horizontal="center" vertical="center"/>
    </xf>
    <xf numFmtId="176" fontId="25" fillId="12" borderId="19" xfId="0" applyNumberFormat="1" applyFont="1" applyFill="1" applyBorder="1" applyAlignment="1">
      <alignment horizontal="center" vertical="center"/>
    </xf>
    <xf numFmtId="0" fontId="10" fillId="22" borderId="23" xfId="0" applyFont="1" applyFill="1" applyBorder="1" applyAlignment="1">
      <alignment horizontal="center" vertical="center"/>
    </xf>
    <xf numFmtId="0" fontId="10" fillId="4" borderId="23" xfId="0" applyFont="1" applyFill="1" applyBorder="1" applyAlignment="1">
      <alignment horizontal="center" vertical="center"/>
    </xf>
    <xf numFmtId="176" fontId="10" fillId="4" borderId="21" xfId="0" applyNumberFormat="1" applyFont="1" applyFill="1" applyBorder="1" applyAlignment="1">
      <alignment horizontal="center" vertical="center"/>
    </xf>
    <xf numFmtId="0" fontId="10" fillId="4" borderId="21" xfId="0" applyFont="1" applyFill="1" applyBorder="1" applyAlignment="1">
      <alignment horizontal="center" vertical="center"/>
    </xf>
    <xf numFmtId="176" fontId="10" fillId="22" borderId="18" xfId="0" applyNumberFormat="1" applyFont="1" applyFill="1" applyBorder="1" applyAlignment="1">
      <alignment horizontal="center" vertical="center"/>
    </xf>
    <xf numFmtId="176" fontId="10" fillId="4" borderId="18" xfId="0" applyNumberFormat="1" applyFont="1" applyFill="1" applyBorder="1" applyAlignment="1">
      <alignment horizontal="center" vertical="center"/>
    </xf>
    <xf numFmtId="0" fontId="25" fillId="24" borderId="18" xfId="0" applyFont="1" applyFill="1" applyBorder="1" applyAlignment="1">
      <alignment horizontal="center" vertical="center"/>
    </xf>
    <xf numFmtId="176" fontId="14" fillId="23" borderId="21" xfId="0" applyNumberFormat="1" applyFont="1" applyFill="1" applyBorder="1" applyAlignment="1">
      <alignment horizontal="center" vertical="center"/>
    </xf>
    <xf numFmtId="0" fontId="37" fillId="25" borderId="18" xfId="0" applyFont="1" applyFill="1" applyBorder="1" applyAlignment="1">
      <alignment horizontal="center" vertical="center"/>
    </xf>
    <xf numFmtId="0" fontId="35" fillId="0" borderId="0" xfId="0" applyFont="1" applyAlignment="1">
      <alignment horizontal="center" vertical="center"/>
    </xf>
    <xf numFmtId="0" fontId="35" fillId="26" borderId="18" xfId="0" applyFont="1" applyFill="1" applyBorder="1" applyAlignment="1">
      <alignment horizontal="center" vertical="center"/>
    </xf>
    <xf numFmtId="0" fontId="35" fillId="27" borderId="18" xfId="0" applyFont="1" applyFill="1" applyBorder="1" applyAlignment="1">
      <alignment horizontal="center" vertical="center"/>
    </xf>
    <xf numFmtId="0" fontId="38" fillId="26" borderId="18" xfId="0" applyFont="1" applyFill="1" applyBorder="1" applyAlignment="1">
      <alignment horizontal="center" vertical="center"/>
    </xf>
    <xf numFmtId="0" fontId="38" fillId="27" borderId="18" xfId="0" applyFont="1" applyFill="1" applyBorder="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10" fillId="0" borderId="0" xfId="0" applyFont="1">
      <alignment vertical="center"/>
    </xf>
    <xf numFmtId="0" fontId="41" fillId="28" borderId="7" xfId="0" applyFont="1" applyFill="1" applyBorder="1" applyAlignment="1">
      <alignment horizontal="center" vertical="center"/>
    </xf>
    <xf numFmtId="0" fontId="41" fillId="29" borderId="7" xfId="0" applyFont="1" applyFill="1" applyBorder="1" applyAlignment="1">
      <alignment horizontal="center" vertical="center"/>
    </xf>
    <xf numFmtId="0" fontId="42" fillId="0" borderId="0" xfId="0" applyFont="1">
      <alignment vertical="center"/>
    </xf>
    <xf numFmtId="0" fontId="43" fillId="5" borderId="7" xfId="0" applyFont="1" applyFill="1" applyBorder="1" applyAlignment="1">
      <alignment horizontal="center" vertical="center"/>
    </xf>
    <xf numFmtId="0" fontId="44" fillId="0" borderId="7" xfId="0" applyFont="1" applyBorder="1" applyAlignment="1">
      <alignment horizontal="center" vertical="center"/>
    </xf>
    <xf numFmtId="0" fontId="4" fillId="2" borderId="7" xfId="0" applyFont="1" applyFill="1" applyBorder="1" applyAlignment="1">
      <alignment horizontal="center" vertical="center"/>
    </xf>
    <xf numFmtId="0" fontId="4" fillId="3" borderId="7" xfId="0" applyFont="1" applyFill="1" applyBorder="1" applyAlignment="1">
      <alignment horizontal="center" vertical="center"/>
    </xf>
    <xf numFmtId="0" fontId="4" fillId="0" borderId="7" xfId="0" applyFont="1" applyBorder="1" applyAlignment="1">
      <alignment horizontal="center" vertical="center"/>
    </xf>
    <xf numFmtId="0" fontId="45" fillId="0" borderId="0" xfId="0" applyFont="1" applyAlignment="1">
      <alignment horizontal="center" vertical="center"/>
    </xf>
    <xf numFmtId="0" fontId="3" fillId="6" borderId="7" xfId="0" applyFont="1" applyFill="1" applyBorder="1" applyAlignment="1">
      <alignment horizontal="center" vertical="center"/>
    </xf>
    <xf numFmtId="0" fontId="3" fillId="31" borderId="7" xfId="0" applyFont="1" applyFill="1" applyBorder="1" applyAlignment="1">
      <alignment horizontal="center" vertical="center"/>
    </xf>
    <xf numFmtId="0" fontId="3" fillId="6" borderId="29" xfId="0" applyFont="1" applyFill="1" applyBorder="1" applyAlignment="1">
      <alignment horizontal="center" vertical="center"/>
    </xf>
    <xf numFmtId="0" fontId="1" fillId="0" borderId="0" xfId="0" applyFont="1" applyAlignment="1">
      <alignment horizontal="center" vertical="center"/>
    </xf>
    <xf numFmtId="0" fontId="0" fillId="0" borderId="0" xfId="0">
      <alignment vertical="center"/>
    </xf>
    <xf numFmtId="0" fontId="11" fillId="5" borderId="0" xfId="0" applyFont="1" applyFill="1" applyBorder="1" applyAlignment="1">
      <alignment horizontal="center" vertical="center"/>
    </xf>
    <xf numFmtId="0" fontId="12" fillId="0" borderId="0" xfId="0" applyFont="1" applyBorder="1">
      <alignment vertical="center"/>
    </xf>
    <xf numFmtId="14" fontId="13" fillId="0" borderId="5" xfId="0" applyNumberFormat="1" applyFont="1" applyBorder="1" applyAlignment="1">
      <alignment horizontal="center" vertical="center"/>
    </xf>
    <xf numFmtId="0" fontId="12" fillId="0" borderId="5" xfId="0" applyFont="1" applyBorder="1">
      <alignment vertical="center"/>
    </xf>
    <xf numFmtId="0" fontId="13" fillId="3" borderId="4" xfId="0" applyFont="1" applyFill="1" applyBorder="1" applyAlignment="1">
      <alignment horizontal="center" vertical="center"/>
    </xf>
    <xf numFmtId="0" fontId="12" fillId="0" borderId="6" xfId="0" applyFont="1" applyBorder="1">
      <alignment vertical="center"/>
    </xf>
    <xf numFmtId="14" fontId="6" fillId="0" borderId="0" xfId="0" applyNumberFormat="1" applyFont="1" applyAlignment="1">
      <alignment horizontal="center" vertical="center"/>
    </xf>
    <xf numFmtId="0" fontId="3" fillId="0" borderId="0" xfId="0" applyFont="1" applyAlignment="1">
      <alignment horizontal="center" vertical="center"/>
    </xf>
    <xf numFmtId="176" fontId="20" fillId="0" borderId="12" xfId="0" applyNumberFormat="1" applyFont="1" applyBorder="1" applyAlignment="1">
      <alignment horizontal="left" vertical="center"/>
    </xf>
    <xf numFmtId="0" fontId="12" fillId="0" borderId="13" xfId="0" applyFont="1" applyBorder="1">
      <alignment vertical="center"/>
    </xf>
    <xf numFmtId="0" fontId="12" fillId="0" borderId="10" xfId="0" applyFont="1" applyBorder="1">
      <alignment vertical="center"/>
    </xf>
    <xf numFmtId="0" fontId="0" fillId="0" borderId="17" xfId="0" applyBorder="1">
      <alignment vertical="center"/>
    </xf>
    <xf numFmtId="0" fontId="3" fillId="0" borderId="17" xfId="0" applyFont="1" applyBorder="1" applyAlignment="1">
      <alignment horizontal="center" vertical="center"/>
    </xf>
    <xf numFmtId="0" fontId="3" fillId="16" borderId="0" xfId="0" applyFont="1" applyFill="1" applyBorder="1" applyAlignment="1">
      <alignment horizontal="center" vertical="center"/>
    </xf>
    <xf numFmtId="180" fontId="3" fillId="15" borderId="0" xfId="0" applyNumberFormat="1" applyFont="1" applyFill="1" applyBorder="1">
      <alignment vertical="center"/>
    </xf>
    <xf numFmtId="0" fontId="3" fillId="15" borderId="0" xfId="0" applyFont="1" applyFill="1" applyBorder="1">
      <alignment vertical="center"/>
    </xf>
    <xf numFmtId="0" fontId="4" fillId="14" borderId="0" xfId="0" applyFont="1" applyFill="1" applyBorder="1" applyAlignment="1">
      <alignment horizontal="left" vertical="center"/>
    </xf>
    <xf numFmtId="0" fontId="4" fillId="14" borderId="0" xfId="0" applyFont="1" applyFill="1" applyBorder="1" applyAlignment="1">
      <alignment horizontal="center" vertical="center"/>
    </xf>
    <xf numFmtId="180" fontId="4" fillId="13" borderId="0" xfId="0" applyNumberFormat="1" applyFont="1" applyFill="1" applyBorder="1">
      <alignment vertical="center"/>
    </xf>
    <xf numFmtId="0" fontId="4" fillId="13" borderId="0" xfId="0" applyFont="1" applyFill="1" applyBorder="1">
      <alignment vertical="center"/>
    </xf>
    <xf numFmtId="0" fontId="25" fillId="24" borderId="24" xfId="0" applyFont="1" applyFill="1" applyBorder="1" applyAlignment="1">
      <alignment horizontal="center" vertical="center"/>
    </xf>
    <xf numFmtId="0" fontId="12" fillId="0" borderId="25" xfId="0" applyFont="1" applyBorder="1">
      <alignment vertical="center"/>
    </xf>
    <xf numFmtId="0" fontId="12" fillId="0" borderId="26" xfId="0" applyFont="1" applyBorder="1">
      <alignment vertical="center"/>
    </xf>
    <xf numFmtId="0" fontId="46" fillId="30" borderId="3" xfId="0" applyFont="1" applyFill="1" applyBorder="1" applyAlignment="1">
      <alignment horizontal="center" vertical="center"/>
    </xf>
    <xf numFmtId="0" fontId="12" fillId="0" borderId="28" xfId="0" applyFont="1" applyBorder="1">
      <alignment vertical="center"/>
    </xf>
    <xf numFmtId="14" fontId="8" fillId="0" borderId="3" xfId="0" applyNumberFormat="1" applyFont="1" applyBorder="1" applyAlignment="1">
      <alignment horizontal="center" vertical="center"/>
    </xf>
    <xf numFmtId="0" fontId="12" fillId="0" borderId="27" xfId="0" applyFont="1" applyBorder="1">
      <alignment vertical="center"/>
    </xf>
    <xf numFmtId="0" fontId="47" fillId="30" borderId="3" xfId="0" applyFont="1" applyFill="1" applyBorder="1" applyAlignment="1">
      <alignment horizontal="center" vertical="center"/>
    </xf>
    <xf numFmtId="0" fontId="3" fillId="0" borderId="3" xfId="0" applyFont="1" applyBorder="1" applyAlignment="1">
      <alignment horizontal="center" vertical="center"/>
    </xf>
  </cellXfs>
  <cellStyles count="1">
    <cellStyle name="一般" xfId="0" builtinId="0"/>
  </cellStyles>
  <dxfs count="46">
    <dxf>
      <font>
        <color rgb="FFD0021B"/>
      </font>
      <fill>
        <patternFill patternType="solid">
          <fgColor rgb="FFF8CCCE"/>
          <bgColor rgb="FFF8CCCE"/>
        </patternFill>
      </fill>
      <border>
        <left/>
        <right/>
        <top/>
        <bottom/>
      </border>
    </dxf>
    <dxf>
      <font>
        <color rgb="FF12561A"/>
      </font>
      <fill>
        <patternFill patternType="solid">
          <fgColor rgb="FFC3F0CD"/>
          <bgColor rgb="FFC3F0CD"/>
        </patternFill>
      </fill>
      <border>
        <left/>
        <right/>
        <top/>
        <bottom/>
      </border>
    </dxf>
    <dxf>
      <font>
        <color rgb="FF83620E"/>
      </font>
      <fill>
        <patternFill patternType="solid">
          <fgColor rgb="FFFEEB9C"/>
          <bgColor rgb="FFFEEB9C"/>
        </patternFill>
      </fill>
      <border>
        <left/>
        <right/>
        <top/>
        <bottom/>
      </border>
    </dxf>
    <dxf>
      <font>
        <color rgb="FF000000"/>
      </font>
      <fill>
        <patternFill patternType="solid">
          <fgColor rgb="FFFEFFFF"/>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F8CCCE"/>
          <bgColor rgb="FFF8CCCE"/>
        </patternFill>
      </fill>
      <border>
        <left/>
        <right/>
        <top/>
        <bottom/>
      </border>
    </dxf>
    <dxf>
      <font>
        <color rgb="FF12561A"/>
      </font>
      <fill>
        <patternFill patternType="solid">
          <fgColor rgb="FFC3F0CD"/>
          <bgColor rgb="FFC3F0CD"/>
        </patternFill>
      </fill>
      <border>
        <left/>
        <right/>
        <top/>
        <bottom/>
      </border>
    </dxf>
    <dxf>
      <font>
        <color rgb="FF83620E"/>
      </font>
      <fill>
        <patternFill patternType="solid">
          <fgColor rgb="FFFEEB9C"/>
          <bgColor rgb="FFFEEB9C"/>
        </patternFill>
      </fill>
      <border>
        <left/>
        <right/>
        <top/>
        <bottom/>
      </border>
    </dxf>
    <dxf>
      <font>
        <color rgb="FF000000"/>
      </font>
      <fill>
        <patternFill patternType="solid">
          <fgColor rgb="FFFEFFFF"/>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F8CCCE"/>
          <bgColor rgb="FFF8CCCE"/>
        </patternFill>
      </fill>
      <border>
        <left/>
        <right/>
        <top/>
        <bottom/>
      </border>
    </dxf>
    <dxf>
      <font>
        <color rgb="FF12561A"/>
      </font>
      <fill>
        <patternFill patternType="solid">
          <fgColor rgb="FFC3F0CD"/>
          <bgColor rgb="FFC3F0CD"/>
        </patternFill>
      </fill>
      <border>
        <left/>
        <right/>
        <top/>
        <bottom/>
      </border>
    </dxf>
    <dxf>
      <font>
        <color rgb="FF83620E"/>
      </font>
      <fill>
        <patternFill patternType="solid">
          <fgColor rgb="FFFEEB9C"/>
          <bgColor rgb="FFFEEB9C"/>
        </patternFill>
      </fill>
      <border>
        <left/>
        <right/>
        <top/>
        <bottom/>
      </border>
    </dxf>
    <dxf>
      <font>
        <color rgb="FF000000"/>
      </font>
      <fill>
        <patternFill patternType="solid">
          <fgColor rgb="FFFEFFFF"/>
          <bgColor rgb="FFFEFFFF"/>
        </patternFill>
      </fill>
      <border>
        <left style="thin">
          <color rgb="FFD0021B"/>
        </left>
        <right style="thin">
          <color rgb="FFD0021B"/>
        </right>
        <top style="thin">
          <color rgb="FFD0021B"/>
        </top>
        <bottom style="thin">
          <color rgb="FFD0021B"/>
        </bottom>
      </border>
    </dxf>
    <dxf>
      <font>
        <color rgb="FF12561A"/>
      </font>
      <fill>
        <patternFill patternType="solid">
          <fgColor rgb="FFC3F0CD"/>
          <bgColor rgb="FFC3F0CD"/>
        </patternFill>
      </fill>
      <border>
        <left/>
        <right/>
        <top/>
        <bottom/>
      </border>
    </dxf>
    <dxf>
      <font>
        <b/>
        <color rgb="FFD0021B"/>
      </font>
      <fill>
        <patternFill patternType="solid">
          <fgColor rgb="FFFEFFFF"/>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F8CCCE"/>
          <bgColor rgb="FFF8CCCE"/>
        </patternFill>
      </fill>
      <border>
        <left/>
        <right/>
        <top/>
        <bottom/>
      </border>
    </dxf>
    <dxf>
      <font>
        <color rgb="FFD0021B"/>
      </font>
      <fill>
        <patternFill patternType="solid">
          <fgColor rgb="FFF8CCCE"/>
          <bgColor rgb="FFF8CCCE"/>
        </patternFill>
      </fill>
      <border>
        <left/>
        <right/>
        <top/>
        <bottom/>
      </border>
    </dxf>
    <dxf>
      <font>
        <color rgb="FFD0021B"/>
      </font>
      <fill>
        <patternFill patternType="solid">
          <fgColor rgb="FFF8CCCE"/>
          <bgColor rgb="FFF8CCCE"/>
        </patternFill>
      </fill>
      <border>
        <left/>
        <right/>
        <top/>
        <bottom/>
      </border>
    </dxf>
    <dxf>
      <font>
        <color rgb="FFD0021B"/>
      </font>
      <fill>
        <patternFill patternType="solid">
          <fgColor rgb="FFFEFFFF"/>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F8CCCE"/>
          <bgColor rgb="FFF8CCCE"/>
        </patternFill>
      </fill>
      <border>
        <left/>
        <right/>
        <top/>
        <bottom/>
      </border>
    </dxf>
    <dxf>
      <font>
        <color rgb="FFD0021B"/>
      </font>
      <fill>
        <patternFill patternType="solid">
          <fgColor rgb="FFF8CCCE"/>
          <bgColor rgb="FFF8CCCE"/>
        </patternFill>
      </fill>
      <border>
        <left/>
        <right/>
        <top/>
        <bottom/>
      </border>
    </dxf>
    <dxf>
      <font>
        <color rgb="FFD0021B"/>
      </font>
      <fill>
        <patternFill patternType="solid">
          <fgColor rgb="FFF8CCCE"/>
          <bgColor rgb="FFF8CCCE"/>
        </patternFill>
      </fill>
      <border>
        <left/>
        <right/>
        <top/>
        <bottom/>
      </border>
    </dxf>
    <dxf>
      <font>
        <color rgb="FFD0021B"/>
      </font>
      <fill>
        <patternFill patternType="solid">
          <fgColor rgb="FFF8CCCE"/>
          <bgColor rgb="FFF8CCCE"/>
        </patternFill>
      </fill>
      <border>
        <left/>
        <right/>
        <top/>
        <bottom/>
      </border>
    </dxf>
    <dxf>
      <font>
        <color rgb="FFD0021B"/>
      </font>
      <fill>
        <patternFill patternType="solid">
          <bgColor rgb="FFF8CCCE"/>
        </patternFill>
      </fill>
    </dxf>
    <dxf>
      <font>
        <color rgb="FF83620E"/>
      </font>
      <fill>
        <patternFill patternType="solid">
          <fgColor rgb="FFFEEB9C"/>
          <bgColor rgb="FFFEEB9C"/>
        </patternFill>
      </fill>
      <border>
        <left/>
        <right/>
        <top/>
        <bottom/>
      </border>
    </dxf>
    <dxf>
      <font>
        <color rgb="FFD0021B"/>
      </font>
      <fill>
        <patternFill patternType="solid">
          <fgColor rgb="FFF8CCCE"/>
          <bgColor rgb="FFF8CCCE"/>
        </patternFill>
      </fill>
      <border>
        <left/>
        <right/>
        <top/>
        <bottom/>
      </border>
    </dxf>
    <dxf>
      <font>
        <color rgb="FF9C0006"/>
      </font>
      <fill>
        <patternFill patternType="solid">
          <fgColor rgb="FFFFC7CE"/>
          <bgColor rgb="FFFFC7CE"/>
        </patternFill>
      </fill>
      <border>
        <left/>
        <right/>
        <top/>
        <bottom/>
      </border>
    </dxf>
    <dxf>
      <font>
        <color rgb="FF9C5700"/>
      </font>
      <fill>
        <patternFill patternType="solid">
          <fgColor rgb="FFFFEB9C"/>
          <bgColor rgb="FFFFEB9C"/>
        </patternFill>
      </fill>
      <border>
        <left/>
        <right/>
        <top/>
        <bottom/>
      </border>
    </dxf>
    <dxf>
      <fill>
        <patternFill patternType="solid">
          <fgColor rgb="FF00B0F0"/>
          <bgColor rgb="FF00B0F0"/>
        </patternFill>
      </fill>
      <border>
        <left/>
        <right/>
        <top/>
        <bottom/>
      </border>
    </dxf>
    <dxf>
      <fill>
        <patternFill patternType="solid">
          <fgColor rgb="FF92D050"/>
          <bgColor rgb="FF92D050"/>
        </patternFill>
      </fill>
      <border>
        <left/>
        <right/>
        <top/>
        <bottom/>
      </border>
    </dxf>
    <dxf>
      <fill>
        <patternFill patternType="solid">
          <fgColor rgb="FFFF0000"/>
          <bgColor rgb="FFFF0000"/>
        </patternFill>
      </fill>
      <border>
        <left/>
        <right/>
        <top/>
        <bottom/>
      </border>
    </dxf>
    <dxf>
      <font>
        <color rgb="FFD0021B"/>
      </font>
      <fill>
        <patternFill patternType="solid">
          <fgColor rgb="FFF8CCCE"/>
          <bgColor rgb="FFF8CCCE"/>
        </patternFill>
      </fill>
      <border>
        <left/>
        <right/>
        <top/>
        <bottom/>
      </border>
    </dxf>
    <dxf>
      <font>
        <color rgb="FF12561A"/>
      </font>
      <fill>
        <patternFill patternType="solid">
          <fgColor rgb="FFC3F0CD"/>
          <bgColor rgb="FFC3F0CD"/>
        </patternFill>
      </fill>
      <border>
        <left/>
        <right/>
        <top/>
        <bottom/>
      </border>
    </dxf>
    <dxf>
      <font>
        <color rgb="FF83620E"/>
      </font>
      <fill>
        <patternFill patternType="solid">
          <fgColor rgb="FFFEEB9C"/>
          <bgColor rgb="FFFEEB9C"/>
        </patternFill>
      </fill>
      <border>
        <left/>
        <right/>
        <top/>
        <bottom/>
      </border>
    </dxf>
    <dxf>
      <font>
        <color rgb="FF000000"/>
      </font>
      <fill>
        <patternFill patternType="solid">
          <fgColor rgb="FFFEFFFF"/>
          <bgColor rgb="FFFEFFFF"/>
        </patternFill>
      </fill>
      <border>
        <left style="thin">
          <color rgb="FFD0021B"/>
        </left>
        <right style="thin">
          <color rgb="FFD0021B"/>
        </right>
        <top style="thin">
          <color rgb="FFD0021B"/>
        </top>
        <bottom style="thin">
          <color rgb="FFD0021B"/>
        </bottom>
      </border>
    </dxf>
    <dxf>
      <font>
        <b/>
      </font>
      <fill>
        <patternFill patternType="solid">
          <fgColor rgb="FFFBD4B4"/>
          <bgColor rgb="FFFBD4B4"/>
        </patternFill>
      </fill>
      <border>
        <left/>
        <right/>
        <top/>
        <bottom/>
      </border>
    </dxf>
    <dxf>
      <font>
        <color rgb="FFD0021B"/>
      </font>
      <fill>
        <patternFill patternType="solid">
          <fgColor rgb="FFF8CCCE"/>
          <bgColor rgb="FFF8CCCE"/>
        </patternFill>
      </fill>
      <border>
        <left/>
        <right/>
        <top/>
        <bottom/>
      </border>
    </dxf>
    <dxf>
      <font>
        <color rgb="FF9C0006"/>
      </font>
      <fill>
        <patternFill patternType="solid">
          <fgColor rgb="FFFFC7CE"/>
          <bgColor rgb="FFFFC7CE"/>
        </patternFill>
      </fill>
      <border>
        <left/>
        <right/>
        <top/>
        <bottom/>
      </border>
    </dxf>
    <dxf>
      <font>
        <color rgb="FF9C5700"/>
      </font>
      <fill>
        <patternFill patternType="solid">
          <fgColor rgb="FFFFEB9C"/>
          <bgColor rgb="FFFFEB9C"/>
        </patternFill>
      </fill>
      <border>
        <left/>
        <right/>
        <top/>
        <bottom/>
      </border>
    </dxf>
    <dxf>
      <fill>
        <patternFill patternType="solid">
          <fgColor rgb="FF00B0F0"/>
          <bgColor rgb="FF00B0F0"/>
        </patternFill>
      </fill>
      <border>
        <left/>
        <right/>
        <top/>
        <bottom/>
      </border>
    </dxf>
    <dxf>
      <fill>
        <patternFill patternType="solid">
          <fgColor rgb="FF92D050"/>
          <bgColor rgb="FF92D050"/>
        </patternFill>
      </fill>
      <border>
        <left/>
        <right/>
        <top/>
        <bottom/>
      </border>
    </dxf>
    <dxf>
      <fill>
        <patternFill patternType="solid">
          <fgColor rgb="FFFF0000"/>
          <bgColor rgb="FFFF0000"/>
        </patternFill>
      </fill>
      <border>
        <left/>
        <right/>
        <top/>
        <bottom/>
      </border>
    </dxf>
    <dxf>
      <font>
        <color rgb="FFD0021B"/>
      </font>
      <fill>
        <patternFill patternType="solid">
          <fgColor rgb="FFF8CCCE"/>
          <bgColor rgb="FFF8CCCE"/>
        </patternFill>
      </fill>
      <border>
        <left/>
        <right/>
        <top/>
        <bottom/>
      </border>
    </dxf>
    <dxf>
      <font>
        <color rgb="FF12561A"/>
      </font>
      <fill>
        <patternFill patternType="solid">
          <fgColor rgb="FFC3F0CD"/>
          <bgColor rgb="FFC3F0CD"/>
        </patternFill>
      </fill>
      <border>
        <left/>
        <right/>
        <top/>
        <bottom/>
      </border>
    </dxf>
    <dxf>
      <font>
        <color rgb="FF83620E"/>
      </font>
      <fill>
        <patternFill patternType="solid">
          <fgColor rgb="FFFEEB9C"/>
          <bgColor rgb="FFFEEB9C"/>
        </patternFill>
      </fill>
      <border>
        <left/>
        <right/>
        <top/>
        <bottom/>
      </border>
    </dxf>
    <dxf>
      <font>
        <color rgb="FF000000"/>
      </font>
      <fill>
        <patternFill patternType="solid">
          <fgColor rgb="FFFEFFFF"/>
          <bgColor rgb="FFFEFFFF"/>
        </patternFill>
      </fill>
      <border>
        <left style="thin">
          <color rgb="FFD0021B"/>
        </left>
        <right style="thin">
          <color rgb="FFD0021B"/>
        </right>
        <top style="thin">
          <color rgb="FFD0021B"/>
        </top>
        <bottom style="thin">
          <color rgb="FFD0021B"/>
        </bottom>
      </border>
    </dxf>
    <dxf>
      <font>
        <b/>
      </font>
      <fill>
        <patternFill patternType="solid">
          <fgColor rgb="FFFBD4B4"/>
          <bgColor rgb="FFFBD4B4"/>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tyles" Target="styles.xml" /><Relationship Id="rId3" Type="http://schemas.openxmlformats.org/officeDocument/2006/relationships/worksheet" Target="worksheets/sheet3.xml" /><Relationship Id="rId21" Type="http://schemas.microsoft.com/office/2017/06/relationships/rdRichValue" Target="richData/rdrichvalue.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theme" Target="theme/theme1.xml" /><Relationship Id="rId25" Type="http://www.wps.cn/officeDocument/2020/cellImage" Target="NUL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heetMetadata" Target="metadata.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calcChain" Target="calcChain.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microsoft.com/office/2017/06/relationships/rdRichValueTypes" Target="richData/rdRichValueTypes.xml" /><Relationship Id="rId10" Type="http://schemas.openxmlformats.org/officeDocument/2006/relationships/worksheet" Target="worksheets/sheet10.xml" /><Relationship Id="rId19"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microsoft.com/office/2017/06/relationships/rdRichValueStructure" Target="richData/rdrichvaluestructure.xml" /></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613466</xdr:colOff>
      <xdr:row>3</xdr:row>
      <xdr:rowOff>245119</xdr:rowOff>
    </xdr:to>
    <xdr:cxnSp macro="">
      <xdr:nvCxnSpPr>
        <xdr:cNvPr id="2" name=" ">
          <a:extLst>
            <a:ext uri="{FF2B5EF4-FFF2-40B4-BE49-F238E27FC236}">
              <a16:creationId xmlns:a16="http://schemas.microsoft.com/office/drawing/2014/main" id="{00000000-0008-0000-0400-000002000000}"/>
            </a:ext>
          </a:extLst>
        </xdr:cNvPr>
        <xdr:cNvCxnSpPr/>
      </xdr:nvCxnSpPr>
      <xdr:spPr>
        <a:xfrm>
          <a:off x="0" y="809523"/>
          <a:ext cx="613332" cy="502231"/>
        </a:xfrm>
        <a:prstGeom prst="line">
          <a:avLst/>
        </a:prstGeom>
        <a:noFill/>
        <a:ln w="12700" cap="flat" cmpd="sng">
          <a:solidFill>
            <a:srgbClr val="666666"/>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0</xdr:col>
      <xdr:colOff>0</xdr:colOff>
      <xdr:row>2</xdr:row>
      <xdr:rowOff>0</xdr:rowOff>
    </xdr:from>
    <xdr:to>
      <xdr:col>1</xdr:col>
      <xdr:colOff>9226</xdr:colOff>
      <xdr:row>2</xdr:row>
      <xdr:rowOff>245119</xdr:rowOff>
    </xdr:to>
    <xdr:cxnSp macro="">
      <xdr:nvCxnSpPr>
        <xdr:cNvPr id="3" name=" ">
          <a:extLst>
            <a:ext uri="{FF2B5EF4-FFF2-40B4-BE49-F238E27FC236}">
              <a16:creationId xmlns:a16="http://schemas.microsoft.com/office/drawing/2014/main" id="{00000000-0008-0000-0400-000003000000}"/>
            </a:ext>
          </a:extLst>
        </xdr:cNvPr>
        <xdr:cNvCxnSpPr/>
      </xdr:nvCxnSpPr>
      <xdr:spPr>
        <a:xfrm>
          <a:off x="0" y="809523"/>
          <a:ext cx="933967" cy="245089"/>
        </a:xfrm>
        <a:prstGeom prst="line">
          <a:avLst/>
        </a:prstGeom>
        <a:noFill/>
        <a:ln w="12700" cap="flat" cmpd="sng">
          <a:solidFill>
            <a:srgbClr val="666666"/>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cxnSp>
    <xdr:clientData/>
  </xdr:twoCellAnchor>
  <xdr:twoCellAnchor>
    <xdr:from>
      <xdr:col>0</xdr:col>
      <xdr:colOff>602640</xdr:colOff>
      <xdr:row>2</xdr:row>
      <xdr:rowOff>11050</xdr:rowOff>
    </xdr:from>
    <xdr:to>
      <xdr:col>1</xdr:col>
      <xdr:colOff>27294</xdr:colOff>
      <xdr:row>2</xdr:row>
      <xdr:rowOff>202927</xdr:rowOff>
    </xdr:to>
    <xdr:sp macro="" textlink="">
      <xdr:nvSpPr>
        <xdr:cNvPr id="4" name=" ">
          <a:extLst>
            <a:ext uri="{FF2B5EF4-FFF2-40B4-BE49-F238E27FC236}">
              <a16:creationId xmlns:a16="http://schemas.microsoft.com/office/drawing/2014/main" id="{00000000-0008-0000-0400-000004000000}"/>
            </a:ext>
          </a:extLst>
        </xdr:cNvPr>
        <xdr:cNvSpPr txBox="1"/>
      </xdr:nvSpPr>
      <xdr:spPr>
        <a:xfrm>
          <a:off x="602539" y="820572"/>
          <a:ext cx="352380" cy="191852"/>
        </a:xfrm>
        <a:prstGeom prst="rect">
          <a:avLst/>
        </a:prstGeom>
        <a:noFill/>
        <a:ln w="9525" cap="flat" cmpd="sng">
          <a:no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0" tIns="0" rIns="0" bIns="0" anchor="t"/>
        <a:lstStyle/>
        <a:p>
          <a:pPr algn="l">
            <a:lnSpc>
              <a:spcPts val="1353"/>
            </a:lnSpc>
          </a:pPr>
          <a:r>
            <a:rPr lang="en-US" altLang="zh-CN" sz="1100">
              <a:latin typeface="Arial" panose="00000000000000000000" charset="0"/>
              <a:ea typeface="Arial" panose="00000000000000000000" charset="0"/>
            </a:rPr>
            <a:t>日期</a:t>
          </a:r>
        </a:p>
      </xdr:txBody>
    </xdr:sp>
    <xdr:clientData/>
  </xdr:twoCellAnchor>
  <xdr:twoCellAnchor>
    <xdr:from>
      <xdr:col>0</xdr:col>
      <xdr:colOff>598129</xdr:colOff>
      <xdr:row>3</xdr:row>
      <xdr:rowOff>11050</xdr:rowOff>
    </xdr:from>
    <xdr:to>
      <xdr:col>0</xdr:col>
      <xdr:colOff>885917</xdr:colOff>
      <xdr:row>4</xdr:row>
      <xdr:rowOff>48220</xdr:rowOff>
    </xdr:to>
    <xdr:sp macro="" textlink="">
      <xdr:nvSpPr>
        <xdr:cNvPr id="5" name=" ">
          <a:extLst>
            <a:ext uri="{FF2B5EF4-FFF2-40B4-BE49-F238E27FC236}">
              <a16:creationId xmlns:a16="http://schemas.microsoft.com/office/drawing/2014/main" id="{00000000-0008-0000-0400-000005000000}"/>
            </a:ext>
          </a:extLst>
        </xdr:cNvPr>
        <xdr:cNvSpPr txBox="1"/>
      </xdr:nvSpPr>
      <xdr:spPr>
        <a:xfrm>
          <a:off x="598094" y="1077714"/>
          <a:ext cx="287619" cy="294307"/>
        </a:xfrm>
        <a:prstGeom prst="rect">
          <a:avLst/>
        </a:prstGeom>
        <a:noFill/>
        <a:ln w="9525" cap="flat" cmpd="sng">
          <a:no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0" tIns="0" rIns="0" bIns="0" anchor="t"/>
        <a:lstStyle/>
        <a:p>
          <a:pPr algn="l">
            <a:lnSpc>
              <a:spcPts val="1353"/>
            </a:lnSpc>
          </a:pPr>
          <a:r>
            <a:rPr lang="en-US" altLang="zh-CN" sz="1100">
              <a:latin typeface="Arial" panose="00000000000000000000" charset="0"/>
              <a:ea typeface="Arial" panose="00000000000000000000" charset="0"/>
            </a:rPr>
            <a:t>星期</a:t>
          </a:r>
        </a:p>
      </xdr:txBody>
    </xdr:sp>
    <xdr:clientData/>
  </xdr:twoCellAnchor>
  <xdr:twoCellAnchor>
    <xdr:from>
      <xdr:col>0</xdr:col>
      <xdr:colOff>99237</xdr:colOff>
      <xdr:row>3</xdr:row>
      <xdr:rowOff>74339</xdr:rowOff>
    </xdr:from>
    <xdr:to>
      <xdr:col>0</xdr:col>
      <xdr:colOff>792093</xdr:colOff>
      <xdr:row>4</xdr:row>
      <xdr:rowOff>11050</xdr:rowOff>
    </xdr:to>
    <xdr:sp macro="" textlink="">
      <xdr:nvSpPr>
        <xdr:cNvPr id="6" name=" ">
          <a:extLst>
            <a:ext uri="{FF2B5EF4-FFF2-40B4-BE49-F238E27FC236}">
              <a16:creationId xmlns:a16="http://schemas.microsoft.com/office/drawing/2014/main" id="{00000000-0008-0000-0400-000006000000}"/>
            </a:ext>
          </a:extLst>
        </xdr:cNvPr>
        <xdr:cNvSpPr txBox="1"/>
      </xdr:nvSpPr>
      <xdr:spPr>
        <a:xfrm>
          <a:off x="99047" y="1140995"/>
          <a:ext cx="692698" cy="193861"/>
        </a:xfrm>
        <a:prstGeom prst="rect">
          <a:avLst/>
        </a:prstGeom>
        <a:noFill/>
        <a:ln w="9525" cap="flat" cmpd="sng">
          <a:no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0" tIns="0" rIns="0" bIns="0" anchor="t"/>
        <a:lstStyle/>
        <a:p>
          <a:pPr algn="l">
            <a:lnSpc>
              <a:spcPts val="1353"/>
            </a:lnSpc>
          </a:pPr>
          <a:r>
            <a:rPr lang="en-US" altLang="zh-CN" sz="1100">
              <a:latin typeface="Arial" panose="00000000000000000000" charset="0"/>
              <a:ea typeface="Arial" panose="00000000000000000000" charset="0"/>
            </a:rPr>
            <a:t>粉號</a:t>
          </a: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v>
    <v>2</v>
    <v>4</v>
    <v>5</v>
  </rv>
</rvData>
</file>

<file path=xl/richData/rdrichvaluestructure.xml><?xml version="1.0" encoding="utf-8"?>
<rvStructures xmlns="http://schemas.microsoft.com/office/spreadsheetml/2017/richdata" count="1">
  <s t="_error">
    <k n="argument" t="s"/>
    <k n="errorType" t="i"/>
    <k n="ptg" t="i"/>
    <k n="subType" t="i"/>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workbookViewId="0">
      <selection sqref="A1:E10"/>
    </sheetView>
  </sheetViews>
  <sheetFormatPr defaultColWidth="13.97265625" defaultRowHeight="15" customHeight="1" x14ac:dyDescent="0.15"/>
  <cols>
    <col min="1" max="1" width="2.44921875" customWidth="1"/>
    <col min="2" max="2" width="24.2734375" customWidth="1"/>
    <col min="3" max="3" width="20.10546875" customWidth="1"/>
    <col min="4" max="4" width="5.8828125" customWidth="1"/>
    <col min="5" max="6" width="16.3046875" customWidth="1"/>
    <col min="7" max="7" width="10.41796875" customWidth="1"/>
    <col min="8" max="11" width="8.82421875" customWidth="1"/>
  </cols>
  <sheetData>
    <row r="1" spans="1:11" ht="13.5" customHeight="1" x14ac:dyDescent="0.15">
      <c r="A1" s="188" t="s">
        <v>0</v>
      </c>
      <c r="B1" s="189"/>
      <c r="C1" s="189"/>
      <c r="D1" s="189"/>
      <c r="E1" s="189"/>
      <c r="F1" s="1"/>
      <c r="G1" s="1"/>
      <c r="H1" s="1"/>
      <c r="I1" s="2"/>
      <c r="J1" s="2"/>
      <c r="K1" s="2"/>
    </row>
    <row r="2" spans="1:11" ht="13.5" customHeight="1" x14ac:dyDescent="0.15">
      <c r="A2" s="189"/>
      <c r="B2" s="189"/>
      <c r="C2" s="189"/>
      <c r="D2" s="189"/>
      <c r="E2" s="189"/>
      <c r="F2" s="1"/>
      <c r="G2" s="1"/>
      <c r="H2" s="1"/>
      <c r="I2" s="2"/>
      <c r="J2" s="2"/>
      <c r="K2" s="2"/>
    </row>
    <row r="3" spans="1:11" ht="13.5" customHeight="1" x14ac:dyDescent="0.15">
      <c r="A3" s="189"/>
      <c r="B3" s="189"/>
      <c r="C3" s="189"/>
      <c r="D3" s="189"/>
      <c r="E3" s="189"/>
      <c r="F3" s="1"/>
      <c r="G3" s="1"/>
      <c r="H3" s="1"/>
      <c r="I3" s="2"/>
      <c r="J3" s="2"/>
      <c r="K3" s="2"/>
    </row>
    <row r="4" spans="1:11" ht="13.5" customHeight="1" x14ac:dyDescent="0.15">
      <c r="A4" s="189"/>
      <c r="B4" s="189"/>
      <c r="C4" s="189"/>
      <c r="D4" s="189"/>
      <c r="E4" s="189"/>
      <c r="F4" s="1"/>
      <c r="G4" s="1"/>
      <c r="H4" s="1"/>
      <c r="I4" s="2"/>
      <c r="J4" s="2"/>
      <c r="K4" s="2"/>
    </row>
    <row r="5" spans="1:11" ht="13.5" customHeight="1" x14ac:dyDescent="0.15">
      <c r="A5" s="189"/>
      <c r="B5" s="189"/>
      <c r="C5" s="189"/>
      <c r="D5" s="189"/>
      <c r="E5" s="189"/>
      <c r="F5" s="1"/>
      <c r="G5" s="1"/>
      <c r="H5" s="1"/>
      <c r="I5" s="2"/>
      <c r="J5" s="2"/>
      <c r="K5" s="2"/>
    </row>
    <row r="6" spans="1:11" ht="13.5" customHeight="1" x14ac:dyDescent="0.15">
      <c r="A6" s="189"/>
      <c r="B6" s="189"/>
      <c r="C6" s="189"/>
      <c r="D6" s="189"/>
      <c r="E6" s="189"/>
      <c r="F6" s="1"/>
      <c r="G6" s="1"/>
      <c r="H6" s="1"/>
      <c r="I6" s="2"/>
      <c r="J6" s="2"/>
      <c r="K6" s="2"/>
    </row>
    <row r="7" spans="1:11" ht="13.5" customHeight="1" x14ac:dyDescent="0.15">
      <c r="A7" s="189"/>
      <c r="B7" s="189"/>
      <c r="C7" s="189"/>
      <c r="D7" s="189"/>
      <c r="E7" s="189"/>
      <c r="F7" s="1"/>
      <c r="G7" s="1"/>
      <c r="H7" s="1"/>
      <c r="I7" s="2"/>
      <c r="J7" s="2"/>
      <c r="K7" s="2"/>
    </row>
    <row r="8" spans="1:11" ht="13.5" customHeight="1" x14ac:dyDescent="0.15">
      <c r="A8" s="189"/>
      <c r="B8" s="189"/>
      <c r="C8" s="189"/>
      <c r="D8" s="189"/>
      <c r="E8" s="189"/>
      <c r="F8" s="1"/>
      <c r="G8" s="1"/>
      <c r="H8" s="1"/>
      <c r="I8" s="2"/>
      <c r="J8" s="2"/>
      <c r="K8" s="2"/>
    </row>
    <row r="9" spans="1:11" ht="13.5" customHeight="1" x14ac:dyDescent="0.15">
      <c r="A9" s="189"/>
      <c r="B9" s="189"/>
      <c r="C9" s="189"/>
      <c r="D9" s="189"/>
      <c r="E9" s="189"/>
      <c r="F9" s="1"/>
      <c r="G9" s="1"/>
      <c r="H9" s="1"/>
      <c r="I9" s="2"/>
      <c r="J9" s="2"/>
      <c r="K9" s="2"/>
    </row>
    <row r="10" spans="1:11" ht="22.5" customHeight="1" x14ac:dyDescent="0.15">
      <c r="A10" s="189"/>
      <c r="B10" s="189"/>
      <c r="C10" s="189"/>
      <c r="D10" s="189"/>
      <c r="E10" s="189"/>
      <c r="F10" s="2"/>
      <c r="G10" s="2"/>
      <c r="H10" s="2"/>
      <c r="I10" s="2"/>
      <c r="J10" s="2"/>
      <c r="K10" s="2"/>
    </row>
    <row r="11" spans="1:11" ht="22.5" customHeight="1" x14ac:dyDescent="0.15">
      <c r="A11" s="2"/>
      <c r="B11" s="2"/>
      <c r="C11" s="2"/>
      <c r="D11" s="3"/>
      <c r="E11" s="2"/>
      <c r="F11" s="2"/>
      <c r="G11" s="2"/>
      <c r="H11" s="2"/>
      <c r="I11" s="2"/>
      <c r="J11" s="2"/>
      <c r="K11" s="2"/>
    </row>
    <row r="12" spans="1:11" ht="22.5" customHeight="1" x14ac:dyDescent="0.15">
      <c r="A12" s="2"/>
      <c r="B12" s="2"/>
      <c r="C12" s="2"/>
      <c r="D12" s="3"/>
      <c r="E12" s="2"/>
      <c r="F12" s="2"/>
      <c r="G12" s="2"/>
      <c r="H12" s="2"/>
      <c r="I12" s="2"/>
      <c r="J12" s="2"/>
      <c r="K12" s="2"/>
    </row>
    <row r="13" spans="1:11" ht="22.5" customHeight="1" x14ac:dyDescent="0.25">
      <c r="A13" s="4"/>
      <c r="B13" s="5" t="s">
        <v>1</v>
      </c>
      <c r="C13" s="6" t="s">
        <v>2</v>
      </c>
      <c r="D13" s="7"/>
      <c r="E13" s="4"/>
      <c r="F13" s="4"/>
      <c r="G13" s="4"/>
      <c r="H13" s="4"/>
      <c r="I13" s="4"/>
      <c r="J13" s="4"/>
      <c r="K13" s="4"/>
    </row>
    <row r="14" spans="1:11" ht="22.5" customHeight="1" x14ac:dyDescent="0.25">
      <c r="A14" s="4"/>
      <c r="B14" s="5" t="s">
        <v>3</v>
      </c>
      <c r="C14" s="6" t="str">
        <f>IFERROR(VLOOKUP(C13,烤漆色號編碼!$A:$C,2,FALSE),"-")</f>
        <v>BK</v>
      </c>
      <c r="D14" s="7"/>
      <c r="E14" s="4"/>
      <c r="F14" s="4"/>
      <c r="G14" s="4"/>
      <c r="H14" s="4"/>
      <c r="I14" s="4"/>
      <c r="J14" s="4"/>
      <c r="K14" s="4"/>
    </row>
    <row r="15" spans="1:11" ht="22.5" customHeight="1" x14ac:dyDescent="0.25">
      <c r="A15" s="2"/>
      <c r="B15" s="5" t="s">
        <v>4</v>
      </c>
      <c r="C15" s="6" t="str">
        <f>IFERROR(VLOOKUP(C13,烤漆色號編碼!$A:$E,5,FALSE),"-")</f>
        <v>台粉</v>
      </c>
      <c r="D15" s="3"/>
      <c r="E15" s="2"/>
      <c r="F15" s="2"/>
      <c r="G15" s="2"/>
      <c r="H15" s="2"/>
      <c r="I15" s="2"/>
      <c r="J15" s="2"/>
      <c r="K15" s="2"/>
    </row>
    <row r="16" spans="1:11" ht="22.5" customHeight="1" x14ac:dyDescent="0.15">
      <c r="A16" s="2"/>
      <c r="B16" s="8"/>
      <c r="C16" s="3"/>
      <c r="D16" s="3"/>
      <c r="E16" s="2"/>
      <c r="F16" s="2"/>
      <c r="G16" s="2"/>
      <c r="H16" s="2"/>
      <c r="I16" s="2"/>
      <c r="J16" s="2"/>
      <c r="K16" s="2"/>
    </row>
    <row r="17" spans="1:11" ht="22.5" customHeight="1" x14ac:dyDescent="0.25">
      <c r="A17" s="2"/>
      <c r="B17" s="5" t="s">
        <v>5</v>
      </c>
      <c r="C17" s="9">
        <f>IFERROR(VLOOKUP(C13,當前庫存!$C:$I,5,FALSE),"-")</f>
        <v>4</v>
      </c>
      <c r="D17" s="10" t="s">
        <v>6</v>
      </c>
      <c r="E17" s="2"/>
      <c r="F17" s="2"/>
      <c r="G17" s="2"/>
      <c r="H17" s="2"/>
      <c r="I17" s="2"/>
      <c r="J17" s="2"/>
      <c r="K17" s="2"/>
    </row>
    <row r="18" spans="1:11" ht="22.5" customHeight="1" x14ac:dyDescent="0.25">
      <c r="A18" s="2"/>
      <c r="B18" s="5" t="s">
        <v>7</v>
      </c>
      <c r="C18" s="9">
        <f>IFERROR(VLOOKUP(C13,當前庫存!$C:$I,4,FALSE),"-")</f>
        <v>2</v>
      </c>
      <c r="D18" s="10" t="s">
        <v>8</v>
      </c>
      <c r="E18" s="2"/>
      <c r="F18" s="2"/>
      <c r="G18" s="2"/>
      <c r="H18" s="2"/>
      <c r="I18" s="2"/>
      <c r="J18" s="2"/>
      <c r="K18" s="2"/>
    </row>
    <row r="19" spans="1:11" ht="22.5" customHeight="1" x14ac:dyDescent="0.25">
      <c r="A19" s="2"/>
      <c r="B19" s="5" t="s">
        <v>9</v>
      </c>
      <c r="C19" s="9">
        <f>IFERROR(VLOOKUP(C13,烤漆色號編碼!$A:$D,4,FALSE)*C17+C18,"-"+D34)</f>
        <v>102</v>
      </c>
      <c r="D19" s="10" t="s">
        <v>8</v>
      </c>
      <c r="E19" s="11" t="s">
        <v>10</v>
      </c>
      <c r="F19" s="2"/>
      <c r="G19" s="2"/>
      <c r="H19" s="2"/>
      <c r="I19" s="2"/>
      <c r="J19" s="2"/>
      <c r="K19" s="2"/>
    </row>
    <row r="20" spans="1:11" ht="22.5" customHeight="1" x14ac:dyDescent="0.15">
      <c r="A20" s="2"/>
      <c r="B20" s="8"/>
      <c r="C20" s="3"/>
      <c r="D20" s="3"/>
      <c r="E20" s="2"/>
      <c r="F20" s="2"/>
      <c r="G20" s="2"/>
      <c r="H20" s="2"/>
      <c r="I20" s="2"/>
      <c r="J20" s="2"/>
      <c r="K20" s="2"/>
    </row>
    <row r="21" spans="1:11" ht="22.5" customHeight="1" x14ac:dyDescent="0.25">
      <c r="A21" s="2"/>
      <c r="B21" s="5" t="s">
        <v>11</v>
      </c>
      <c r="C21" s="12">
        <f>SUMIF(每日用粉紀錄表!C:C,C13,每日用粉紀錄表!J:J)</f>
        <v>9</v>
      </c>
      <c r="D21" s="10" t="s">
        <v>8</v>
      </c>
      <c r="E21" s="2"/>
      <c r="F21" s="2"/>
      <c r="G21" s="2"/>
      <c r="H21" s="2"/>
      <c r="I21" s="2"/>
      <c r="J21" s="2"/>
      <c r="K21" s="2"/>
    </row>
    <row r="22" spans="1:11" ht="22.5" customHeight="1" x14ac:dyDescent="0.15">
      <c r="A22" s="2"/>
      <c r="B22" s="2"/>
      <c r="C22" s="2"/>
      <c r="D22" s="3"/>
      <c r="E22" s="2"/>
      <c r="F22" s="2"/>
      <c r="G22" s="2"/>
      <c r="H22" s="2"/>
      <c r="I22" s="2"/>
      <c r="J22" s="2"/>
      <c r="K22" s="2"/>
    </row>
    <row r="23" spans="1:11" ht="33" customHeight="1" x14ac:dyDescent="0.15">
      <c r="A23" s="13"/>
      <c r="B23" s="190" t="s">
        <v>12</v>
      </c>
      <c r="C23" s="191"/>
      <c r="D23" s="191"/>
      <c r="E23" s="13"/>
      <c r="F23" s="13"/>
      <c r="G23" s="13"/>
      <c r="H23" s="13"/>
      <c r="I23" s="13"/>
      <c r="J23" s="13"/>
      <c r="K23" s="13"/>
    </row>
    <row r="24" spans="1:11" ht="22.5" customHeight="1" x14ac:dyDescent="0.25">
      <c r="A24" s="2"/>
      <c r="B24" s="5" t="s">
        <v>9</v>
      </c>
      <c r="C24" s="9">
        <f>IFERROR(VLOOKUP(B23,廢粉紀錄!B4:E4,3,FALSE),"-")</f>
        <v>500</v>
      </c>
      <c r="D24" s="10" t="s">
        <v>8</v>
      </c>
      <c r="E24" s="2"/>
      <c r="F24" s="2"/>
      <c r="G24" s="2"/>
      <c r="H24" s="2"/>
      <c r="I24" s="2"/>
      <c r="J24" s="2"/>
      <c r="K24" s="2"/>
    </row>
    <row r="25" spans="1:11" ht="22.5" customHeight="1" x14ac:dyDescent="0.15">
      <c r="A25" s="2"/>
      <c r="B25" s="2"/>
      <c r="C25" s="2"/>
      <c r="D25" s="3"/>
      <c r="E25" s="2"/>
      <c r="F25" s="2"/>
      <c r="G25" s="2"/>
      <c r="H25" s="2"/>
      <c r="I25" s="2"/>
      <c r="J25" s="2"/>
      <c r="K25" s="2"/>
    </row>
    <row r="26" spans="1:11" ht="22.5" customHeight="1" x14ac:dyDescent="0.15">
      <c r="A26" s="2"/>
      <c r="B26" s="190" t="s">
        <v>13</v>
      </c>
      <c r="C26" s="191"/>
      <c r="D26" s="191"/>
      <c r="E26" s="2"/>
      <c r="F26" s="2"/>
      <c r="G26" s="2"/>
      <c r="H26" s="2"/>
      <c r="I26" s="2"/>
      <c r="J26" s="2"/>
      <c r="K26" s="2"/>
    </row>
    <row r="27" spans="1:11" ht="22.5" customHeight="1" x14ac:dyDescent="0.25">
      <c r="A27" s="2"/>
      <c r="B27" s="5" t="s">
        <v>9</v>
      </c>
      <c r="C27" s="12">
        <f>SUM(每日用粉紀錄表!J:J)</f>
        <v>1939</v>
      </c>
      <c r="D27" s="10" t="s">
        <v>8</v>
      </c>
      <c r="E27" s="2"/>
      <c r="F27" s="2"/>
      <c r="G27" s="2"/>
      <c r="H27" s="2"/>
      <c r="I27" s="2"/>
      <c r="J27" s="2"/>
      <c r="K27" s="2"/>
    </row>
    <row r="28" spans="1:11" ht="22.5" customHeight="1" x14ac:dyDescent="0.15">
      <c r="A28" s="2"/>
      <c r="B28" s="2"/>
      <c r="C28" s="2"/>
      <c r="D28" s="3"/>
      <c r="E28" s="2"/>
      <c r="F28" s="2"/>
      <c r="G28" s="2"/>
      <c r="H28" s="2"/>
      <c r="I28" s="2"/>
      <c r="J28" s="2"/>
      <c r="K28" s="2"/>
    </row>
    <row r="29" spans="1:11" ht="22.5" customHeight="1" x14ac:dyDescent="0.15">
      <c r="A29" s="2"/>
      <c r="B29" s="2"/>
      <c r="C29" s="2"/>
      <c r="D29" s="3"/>
      <c r="E29" s="2"/>
      <c r="F29" s="2"/>
      <c r="G29" s="2"/>
      <c r="H29" s="2"/>
      <c r="I29" s="2"/>
      <c r="J29" s="2"/>
      <c r="K29" s="2"/>
    </row>
    <row r="30" spans="1:11" ht="22.5" customHeight="1" x14ac:dyDescent="0.15">
      <c r="A30" s="2"/>
      <c r="B30" s="2"/>
      <c r="C30" s="2"/>
      <c r="D30" s="3"/>
      <c r="E30" s="2"/>
      <c r="F30" s="2"/>
      <c r="G30" s="2"/>
      <c r="H30" s="2"/>
      <c r="I30" s="2"/>
      <c r="J30" s="2"/>
      <c r="K30" s="2"/>
    </row>
    <row r="31" spans="1:11" ht="22.5" customHeight="1" x14ac:dyDescent="0.15">
      <c r="A31" s="2"/>
      <c r="B31" s="2"/>
      <c r="C31" s="2"/>
      <c r="D31" s="3"/>
      <c r="E31" s="2"/>
      <c r="F31" s="2"/>
      <c r="G31" s="2"/>
      <c r="H31" s="2"/>
      <c r="I31" s="2"/>
      <c r="J31" s="2"/>
      <c r="K31" s="2"/>
    </row>
    <row r="32" spans="1:11" ht="22.5" customHeight="1" x14ac:dyDescent="0.15">
      <c r="A32" s="2"/>
      <c r="B32" s="2"/>
      <c r="C32" s="2"/>
      <c r="D32" s="3"/>
      <c r="E32" s="2"/>
      <c r="F32" s="2"/>
      <c r="G32" s="2"/>
      <c r="H32" s="2"/>
      <c r="I32" s="2"/>
      <c r="J32" s="2"/>
      <c r="K32" s="2"/>
    </row>
    <row r="33" spans="1:11" ht="22.5" customHeight="1" x14ac:dyDescent="0.15">
      <c r="A33" s="2"/>
      <c r="B33" s="2"/>
      <c r="C33" s="2"/>
      <c r="D33" s="3"/>
      <c r="E33" s="2"/>
      <c r="F33" s="2"/>
      <c r="G33" s="2"/>
      <c r="H33" s="2"/>
      <c r="I33" s="2"/>
      <c r="J33" s="2"/>
      <c r="K33" s="2"/>
    </row>
    <row r="34" spans="1:11" ht="22.5" customHeight="1" x14ac:dyDescent="0.15">
      <c r="A34" s="2"/>
      <c r="B34" s="2"/>
      <c r="C34" s="2"/>
      <c r="D34" s="3"/>
      <c r="E34" s="2"/>
      <c r="F34" s="2"/>
      <c r="G34" s="2"/>
      <c r="H34" s="2"/>
      <c r="I34" s="2"/>
      <c r="J34" s="2"/>
      <c r="K34" s="2"/>
    </row>
    <row r="35" spans="1:11" ht="22.5" customHeight="1" x14ac:dyDescent="0.15">
      <c r="A35" s="2"/>
      <c r="B35" s="2"/>
      <c r="C35" s="2"/>
      <c r="D35" s="3"/>
      <c r="E35" s="2"/>
      <c r="F35" s="2"/>
      <c r="G35" s="2"/>
      <c r="H35" s="2"/>
      <c r="I35" s="2"/>
      <c r="J35" s="2"/>
      <c r="K35" s="2"/>
    </row>
    <row r="36" spans="1:11" ht="22.5" customHeight="1" x14ac:dyDescent="0.15">
      <c r="A36" s="2"/>
      <c r="B36" s="2"/>
      <c r="C36" s="2"/>
      <c r="D36" s="3"/>
      <c r="E36" s="2"/>
      <c r="F36" s="2"/>
      <c r="G36" s="2"/>
      <c r="H36" s="2"/>
      <c r="I36" s="2"/>
      <c r="J36" s="2"/>
      <c r="K36" s="2"/>
    </row>
    <row r="37" spans="1:11" ht="22.5" customHeight="1" x14ac:dyDescent="0.15">
      <c r="A37" s="2"/>
      <c r="B37" s="2"/>
      <c r="C37" s="2"/>
      <c r="D37" s="3"/>
      <c r="E37" s="2"/>
      <c r="F37" s="2"/>
      <c r="G37" s="2"/>
      <c r="H37" s="2"/>
      <c r="I37" s="2"/>
      <c r="J37" s="2"/>
      <c r="K37" s="2"/>
    </row>
    <row r="38" spans="1:11" ht="22.5" customHeight="1" x14ac:dyDescent="0.15">
      <c r="A38" s="2"/>
      <c r="B38" s="2"/>
      <c r="C38" s="2"/>
      <c r="D38" s="3"/>
      <c r="E38" s="2"/>
      <c r="F38" s="2"/>
      <c r="G38" s="2"/>
      <c r="H38" s="2"/>
      <c r="I38" s="2"/>
      <c r="J38" s="2"/>
      <c r="K38" s="2"/>
    </row>
    <row r="39" spans="1:11" ht="22.5" customHeight="1" x14ac:dyDescent="0.15">
      <c r="A39" s="2"/>
      <c r="B39" s="2"/>
      <c r="C39" s="2"/>
      <c r="D39" s="3"/>
      <c r="E39" s="2"/>
      <c r="F39" s="2"/>
      <c r="G39" s="2"/>
      <c r="H39" s="2"/>
      <c r="I39" s="2"/>
      <c r="J39" s="2"/>
      <c r="K39" s="2"/>
    </row>
    <row r="40" spans="1:11" ht="22.5" customHeight="1" x14ac:dyDescent="0.15">
      <c r="A40" s="2"/>
      <c r="B40" s="2"/>
      <c r="C40" s="2"/>
      <c r="D40" s="3"/>
      <c r="E40" s="2"/>
      <c r="F40" s="2"/>
      <c r="G40" s="2"/>
      <c r="H40" s="2"/>
      <c r="I40" s="2"/>
      <c r="J40" s="2"/>
      <c r="K40" s="2"/>
    </row>
    <row r="41" spans="1:11" ht="22.5" customHeight="1" x14ac:dyDescent="0.15">
      <c r="A41" s="2"/>
      <c r="B41" s="2"/>
      <c r="C41" s="2"/>
      <c r="D41" s="3"/>
      <c r="E41" s="2"/>
      <c r="F41" s="2"/>
      <c r="G41" s="2"/>
      <c r="H41" s="2"/>
      <c r="I41" s="2"/>
      <c r="J41" s="2"/>
      <c r="K41" s="2"/>
    </row>
    <row r="42" spans="1:11" ht="22.5" customHeight="1" x14ac:dyDescent="0.15">
      <c r="A42" s="2"/>
      <c r="B42" s="2"/>
      <c r="C42" s="2"/>
      <c r="D42" s="3"/>
      <c r="E42" s="2"/>
      <c r="F42" s="2"/>
      <c r="G42" s="2"/>
      <c r="H42" s="2"/>
      <c r="I42" s="2"/>
      <c r="J42" s="2"/>
      <c r="K42" s="2"/>
    </row>
    <row r="43" spans="1:11" ht="22.5" customHeight="1" x14ac:dyDescent="0.15">
      <c r="A43" s="2"/>
      <c r="B43" s="2"/>
      <c r="C43" s="2"/>
      <c r="D43" s="3"/>
      <c r="E43" s="2"/>
      <c r="F43" s="2"/>
      <c r="G43" s="2"/>
      <c r="H43" s="2"/>
      <c r="I43" s="2"/>
      <c r="J43" s="2"/>
      <c r="K43" s="2"/>
    </row>
    <row r="44" spans="1:11" ht="22.5" customHeight="1" x14ac:dyDescent="0.15">
      <c r="A44" s="2"/>
      <c r="B44" s="2"/>
      <c r="C44" s="2"/>
      <c r="D44" s="3"/>
      <c r="E44" s="2"/>
      <c r="F44" s="2"/>
      <c r="G44" s="2"/>
      <c r="H44" s="2"/>
      <c r="I44" s="2"/>
      <c r="J44" s="2"/>
      <c r="K44" s="2"/>
    </row>
    <row r="45" spans="1:11" ht="22.5" customHeight="1" x14ac:dyDescent="0.15">
      <c r="A45" s="2"/>
      <c r="B45" s="2"/>
      <c r="C45" s="2"/>
      <c r="D45" s="3"/>
      <c r="E45" s="2"/>
      <c r="F45" s="2"/>
      <c r="G45" s="2"/>
      <c r="H45" s="2"/>
      <c r="I45" s="2"/>
      <c r="J45" s="2"/>
      <c r="K45" s="2"/>
    </row>
    <row r="46" spans="1:11" ht="22.5" customHeight="1" x14ac:dyDescent="0.15">
      <c r="A46" s="2"/>
      <c r="B46" s="2"/>
      <c r="C46" s="2"/>
      <c r="D46" s="3"/>
      <c r="E46" s="2"/>
      <c r="F46" s="2"/>
      <c r="G46" s="2"/>
      <c r="H46" s="2"/>
      <c r="I46" s="2"/>
      <c r="J46" s="2"/>
      <c r="K46" s="2"/>
    </row>
    <row r="47" spans="1:11" ht="22.5" customHeight="1" x14ac:dyDescent="0.15">
      <c r="A47" s="2"/>
      <c r="B47" s="2"/>
      <c r="C47" s="2"/>
      <c r="D47" s="3"/>
      <c r="E47" s="2"/>
      <c r="F47" s="2"/>
      <c r="G47" s="2"/>
      <c r="H47" s="2"/>
      <c r="I47" s="2"/>
      <c r="J47" s="2"/>
      <c r="K47" s="2"/>
    </row>
    <row r="48" spans="1:11" ht="22.5" customHeight="1" x14ac:dyDescent="0.15">
      <c r="A48" s="2"/>
      <c r="B48" s="2"/>
      <c r="C48" s="2"/>
      <c r="D48" s="3"/>
      <c r="E48" s="2"/>
      <c r="F48" s="2"/>
      <c r="G48" s="2"/>
      <c r="H48" s="2"/>
      <c r="I48" s="2"/>
      <c r="J48" s="2"/>
      <c r="K48" s="2"/>
    </row>
    <row r="49" spans="1:11" ht="22.5" customHeight="1" x14ac:dyDescent="0.15">
      <c r="A49" s="2"/>
      <c r="B49" s="2"/>
      <c r="C49" s="2"/>
      <c r="D49" s="3"/>
      <c r="E49" s="2"/>
      <c r="F49" s="2"/>
      <c r="G49" s="2"/>
      <c r="H49" s="2"/>
      <c r="I49" s="2"/>
      <c r="J49" s="2"/>
      <c r="K49" s="2"/>
    </row>
    <row r="50" spans="1:11" ht="22.5" customHeight="1" x14ac:dyDescent="0.15">
      <c r="A50" s="2"/>
      <c r="B50" s="2"/>
      <c r="C50" s="2"/>
      <c r="D50" s="3"/>
      <c r="E50" s="2"/>
      <c r="F50" s="2"/>
      <c r="G50" s="2"/>
      <c r="H50" s="2"/>
      <c r="I50" s="2"/>
      <c r="J50" s="2"/>
      <c r="K50" s="2"/>
    </row>
    <row r="51" spans="1:11" ht="22.5" customHeight="1" x14ac:dyDescent="0.15">
      <c r="A51" s="2"/>
      <c r="B51" s="2"/>
      <c r="C51" s="2"/>
      <c r="D51" s="3"/>
      <c r="E51" s="2"/>
      <c r="F51" s="2"/>
      <c r="G51" s="2"/>
      <c r="H51" s="2"/>
      <c r="I51" s="2"/>
      <c r="J51" s="2"/>
      <c r="K51" s="2"/>
    </row>
    <row r="52" spans="1:11" ht="22.5" customHeight="1" x14ac:dyDescent="0.15">
      <c r="A52" s="2"/>
      <c r="B52" s="2"/>
      <c r="C52" s="2"/>
      <c r="D52" s="3"/>
      <c r="E52" s="2"/>
      <c r="F52" s="2"/>
      <c r="G52" s="2"/>
      <c r="H52" s="2"/>
      <c r="I52" s="2"/>
      <c r="J52" s="2"/>
      <c r="K52" s="2"/>
    </row>
    <row r="53" spans="1:11" ht="22.5" customHeight="1" x14ac:dyDescent="0.15">
      <c r="A53" s="2"/>
      <c r="B53" s="2"/>
      <c r="C53" s="2"/>
      <c r="D53" s="3"/>
      <c r="E53" s="2"/>
      <c r="F53" s="2"/>
      <c r="G53" s="2"/>
      <c r="H53" s="2"/>
      <c r="I53" s="2"/>
      <c r="J53" s="2"/>
      <c r="K53" s="2"/>
    </row>
    <row r="54" spans="1:11" ht="22.5" customHeight="1" x14ac:dyDescent="0.15">
      <c r="A54" s="2"/>
      <c r="B54" s="2"/>
      <c r="C54" s="2"/>
      <c r="D54" s="3"/>
      <c r="E54" s="2"/>
      <c r="F54" s="2"/>
      <c r="G54" s="2"/>
      <c r="H54" s="2"/>
      <c r="I54" s="2"/>
      <c r="J54" s="2"/>
      <c r="K54" s="2"/>
    </row>
    <row r="55" spans="1:11" ht="22.5" customHeight="1" x14ac:dyDescent="0.15">
      <c r="A55" s="2"/>
      <c r="B55" s="2"/>
      <c r="C55" s="2"/>
      <c r="D55" s="3"/>
      <c r="E55" s="2"/>
      <c r="F55" s="2"/>
      <c r="G55" s="2"/>
      <c r="H55" s="2"/>
      <c r="I55" s="2"/>
      <c r="J55" s="2"/>
      <c r="K55" s="2"/>
    </row>
    <row r="56" spans="1:11" ht="22.5" customHeight="1" x14ac:dyDescent="0.15">
      <c r="A56" s="2"/>
      <c r="B56" s="2"/>
      <c r="C56" s="2"/>
      <c r="D56" s="3"/>
      <c r="E56" s="2"/>
      <c r="F56" s="2"/>
      <c r="G56" s="2"/>
      <c r="H56" s="2"/>
      <c r="I56" s="2"/>
      <c r="J56" s="2"/>
      <c r="K56" s="2"/>
    </row>
    <row r="57" spans="1:11" ht="22.5" customHeight="1" x14ac:dyDescent="0.15">
      <c r="A57" s="2"/>
      <c r="B57" s="2"/>
      <c r="C57" s="2"/>
      <c r="D57" s="3"/>
      <c r="E57" s="2"/>
      <c r="F57" s="2"/>
      <c r="G57" s="2"/>
      <c r="H57" s="2"/>
      <c r="I57" s="2"/>
      <c r="J57" s="2"/>
      <c r="K57" s="2"/>
    </row>
    <row r="58" spans="1:11" ht="22.5" customHeight="1" x14ac:dyDescent="0.15">
      <c r="A58" s="2"/>
      <c r="B58" s="2"/>
      <c r="C58" s="2"/>
      <c r="D58" s="3"/>
      <c r="E58" s="2"/>
      <c r="F58" s="2"/>
      <c r="G58" s="2"/>
      <c r="H58" s="2"/>
      <c r="I58" s="2"/>
      <c r="J58" s="2"/>
      <c r="K58" s="2"/>
    </row>
    <row r="59" spans="1:11" ht="22.5" customHeight="1" x14ac:dyDescent="0.15">
      <c r="A59" s="2"/>
      <c r="B59" s="2"/>
      <c r="C59" s="2"/>
      <c r="D59" s="3"/>
      <c r="E59" s="2"/>
      <c r="F59" s="2"/>
      <c r="G59" s="2"/>
      <c r="H59" s="2"/>
      <c r="I59" s="2"/>
      <c r="J59" s="2"/>
      <c r="K59" s="2"/>
    </row>
    <row r="60" spans="1:11" ht="22.5" customHeight="1" x14ac:dyDescent="0.15">
      <c r="A60" s="2"/>
      <c r="B60" s="2"/>
      <c r="C60" s="2"/>
      <c r="D60" s="3"/>
      <c r="E60" s="2"/>
      <c r="F60" s="2"/>
      <c r="G60" s="2"/>
      <c r="H60" s="2"/>
      <c r="I60" s="2"/>
      <c r="J60" s="2"/>
      <c r="K60" s="2"/>
    </row>
    <row r="61" spans="1:11" ht="22.5" customHeight="1" x14ac:dyDescent="0.15">
      <c r="A61" s="2"/>
      <c r="B61" s="2"/>
      <c r="C61" s="2"/>
      <c r="D61" s="3"/>
      <c r="E61" s="2"/>
      <c r="F61" s="2"/>
      <c r="G61" s="2"/>
      <c r="H61" s="2"/>
      <c r="I61" s="2"/>
      <c r="J61" s="2"/>
      <c r="K61" s="2"/>
    </row>
    <row r="62" spans="1:11" ht="22.5" customHeight="1" x14ac:dyDescent="0.15">
      <c r="A62" s="2"/>
      <c r="B62" s="2"/>
      <c r="C62" s="2"/>
      <c r="D62" s="3"/>
      <c r="E62" s="2"/>
      <c r="F62" s="2"/>
      <c r="G62" s="2"/>
      <c r="H62" s="2"/>
      <c r="I62" s="2"/>
      <c r="J62" s="2"/>
      <c r="K62" s="2"/>
    </row>
    <row r="63" spans="1:11" ht="22.5" customHeight="1" x14ac:dyDescent="0.15">
      <c r="A63" s="2"/>
      <c r="B63" s="2"/>
      <c r="C63" s="2"/>
      <c r="D63" s="3"/>
      <c r="E63" s="2"/>
      <c r="F63" s="2"/>
      <c r="G63" s="2"/>
      <c r="H63" s="2"/>
      <c r="I63" s="2"/>
      <c r="J63" s="2"/>
      <c r="K63" s="2"/>
    </row>
    <row r="64" spans="1:11" ht="22.5" customHeight="1" x14ac:dyDescent="0.15">
      <c r="A64" s="2"/>
      <c r="B64" s="2"/>
      <c r="C64" s="2"/>
      <c r="D64" s="3"/>
      <c r="E64" s="2"/>
      <c r="F64" s="2"/>
      <c r="G64" s="2"/>
      <c r="H64" s="2"/>
      <c r="I64" s="2"/>
      <c r="J64" s="2"/>
      <c r="K64" s="2"/>
    </row>
    <row r="65" spans="1:11" ht="22.5" customHeight="1" x14ac:dyDescent="0.15">
      <c r="A65" s="2"/>
      <c r="B65" s="2"/>
      <c r="C65" s="2"/>
      <c r="D65" s="3"/>
      <c r="E65" s="2"/>
      <c r="F65" s="2"/>
      <c r="G65" s="2"/>
      <c r="H65" s="2"/>
      <c r="I65" s="2"/>
      <c r="J65" s="2"/>
      <c r="K65" s="2"/>
    </row>
    <row r="66" spans="1:11" ht="22.5" customHeight="1" x14ac:dyDescent="0.15">
      <c r="A66" s="2"/>
      <c r="B66" s="2"/>
      <c r="C66" s="2"/>
      <c r="D66" s="3"/>
      <c r="E66" s="2"/>
      <c r="F66" s="2"/>
      <c r="G66" s="2"/>
      <c r="H66" s="2"/>
      <c r="I66" s="2"/>
      <c r="J66" s="2"/>
      <c r="K66" s="2"/>
    </row>
    <row r="67" spans="1:11" ht="22.5" customHeight="1" x14ac:dyDescent="0.15">
      <c r="A67" s="2"/>
      <c r="B67" s="2"/>
      <c r="C67" s="2"/>
      <c r="D67" s="3"/>
      <c r="E67" s="2"/>
      <c r="F67" s="2"/>
      <c r="G67" s="2"/>
      <c r="H67" s="2"/>
      <c r="I67" s="2"/>
      <c r="J67" s="2"/>
      <c r="K67" s="2"/>
    </row>
    <row r="68" spans="1:11" ht="22.5" customHeight="1" x14ac:dyDescent="0.15">
      <c r="A68" s="2"/>
      <c r="B68" s="2"/>
      <c r="C68" s="2"/>
      <c r="D68" s="3"/>
      <c r="E68" s="2"/>
      <c r="F68" s="2"/>
      <c r="G68" s="2"/>
      <c r="H68" s="2"/>
      <c r="I68" s="2"/>
      <c r="J68" s="2"/>
      <c r="K68" s="2"/>
    </row>
    <row r="69" spans="1:11" ht="22.5" customHeight="1" x14ac:dyDescent="0.15">
      <c r="A69" s="2"/>
      <c r="B69" s="2"/>
      <c r="C69" s="2"/>
      <c r="D69" s="3"/>
      <c r="E69" s="2"/>
      <c r="F69" s="2"/>
      <c r="G69" s="2"/>
      <c r="H69" s="2"/>
      <c r="I69" s="2"/>
      <c r="J69" s="2"/>
      <c r="K69" s="2"/>
    </row>
    <row r="70" spans="1:11" ht="22.5" customHeight="1" x14ac:dyDescent="0.15">
      <c r="A70" s="2"/>
      <c r="B70" s="2"/>
      <c r="C70" s="2"/>
      <c r="D70" s="3"/>
      <c r="E70" s="2"/>
      <c r="F70" s="2"/>
      <c r="G70" s="2"/>
      <c r="H70" s="2"/>
      <c r="I70" s="2"/>
      <c r="J70" s="2"/>
      <c r="K70" s="2"/>
    </row>
    <row r="71" spans="1:11" ht="22.5" customHeight="1" x14ac:dyDescent="0.15">
      <c r="A71" s="2"/>
      <c r="B71" s="2"/>
      <c r="C71" s="2"/>
      <c r="D71" s="3"/>
      <c r="E71" s="2"/>
      <c r="F71" s="2"/>
      <c r="G71" s="2"/>
      <c r="H71" s="2"/>
      <c r="I71" s="2"/>
      <c r="J71" s="2"/>
      <c r="K71" s="2"/>
    </row>
    <row r="72" spans="1:11" ht="22.5" customHeight="1" x14ac:dyDescent="0.15">
      <c r="A72" s="2"/>
      <c r="B72" s="2"/>
      <c r="C72" s="2"/>
      <c r="D72" s="3"/>
      <c r="E72" s="2"/>
      <c r="F72" s="2"/>
      <c r="G72" s="2"/>
      <c r="H72" s="2"/>
      <c r="I72" s="2"/>
      <c r="J72" s="2"/>
      <c r="K72" s="2"/>
    </row>
    <row r="73" spans="1:11" ht="22.5" customHeight="1" x14ac:dyDescent="0.15">
      <c r="A73" s="2"/>
      <c r="B73" s="2"/>
      <c r="C73" s="2"/>
      <c r="D73" s="3"/>
      <c r="E73" s="2"/>
      <c r="F73" s="2"/>
      <c r="G73" s="2"/>
      <c r="H73" s="2"/>
      <c r="I73" s="2"/>
      <c r="J73" s="2"/>
      <c r="K73" s="2"/>
    </row>
    <row r="74" spans="1:11" ht="22.5" customHeight="1" x14ac:dyDescent="0.15">
      <c r="A74" s="2"/>
      <c r="B74" s="2"/>
      <c r="C74" s="2"/>
      <c r="D74" s="3"/>
      <c r="E74" s="2"/>
      <c r="F74" s="2"/>
      <c r="G74" s="2"/>
      <c r="H74" s="2"/>
      <c r="I74" s="2"/>
      <c r="J74" s="2"/>
      <c r="K74" s="2"/>
    </row>
    <row r="75" spans="1:11" ht="22.5" customHeight="1" x14ac:dyDescent="0.15">
      <c r="A75" s="2"/>
      <c r="B75" s="2"/>
      <c r="C75" s="2"/>
      <c r="D75" s="3"/>
      <c r="E75" s="2"/>
      <c r="F75" s="2"/>
      <c r="G75" s="2"/>
      <c r="H75" s="2"/>
      <c r="I75" s="2"/>
      <c r="J75" s="2"/>
      <c r="K75" s="2"/>
    </row>
    <row r="76" spans="1:11" ht="22.5" customHeight="1" x14ac:dyDescent="0.15">
      <c r="A76" s="2"/>
      <c r="B76" s="2"/>
      <c r="C76" s="2"/>
      <c r="D76" s="3"/>
      <c r="E76" s="2"/>
      <c r="F76" s="2"/>
      <c r="G76" s="2"/>
      <c r="H76" s="2"/>
      <c r="I76" s="2"/>
      <c r="J76" s="2"/>
      <c r="K76" s="2"/>
    </row>
    <row r="77" spans="1:11" ht="22.5" customHeight="1" x14ac:dyDescent="0.15">
      <c r="A77" s="2"/>
      <c r="B77" s="2"/>
      <c r="C77" s="2"/>
      <c r="D77" s="3"/>
      <c r="E77" s="2"/>
      <c r="F77" s="2"/>
      <c r="G77" s="2"/>
      <c r="H77" s="2"/>
      <c r="I77" s="2"/>
      <c r="J77" s="2"/>
      <c r="K77" s="2"/>
    </row>
    <row r="78" spans="1:11" ht="22.5" customHeight="1" x14ac:dyDescent="0.15">
      <c r="A78" s="2"/>
      <c r="B78" s="2"/>
      <c r="C78" s="2"/>
      <c r="D78" s="3"/>
      <c r="E78" s="2"/>
      <c r="F78" s="2"/>
      <c r="G78" s="2"/>
      <c r="H78" s="2"/>
      <c r="I78" s="2"/>
      <c r="J78" s="2"/>
      <c r="K78" s="2"/>
    </row>
    <row r="79" spans="1:11" ht="22.5" customHeight="1" x14ac:dyDescent="0.15">
      <c r="A79" s="2"/>
      <c r="B79" s="2"/>
      <c r="C79" s="2"/>
      <c r="D79" s="3"/>
      <c r="E79" s="2"/>
      <c r="F79" s="2"/>
      <c r="G79" s="2"/>
      <c r="H79" s="2"/>
      <c r="I79" s="2"/>
      <c r="J79" s="2"/>
      <c r="K79" s="2"/>
    </row>
    <row r="80" spans="1:11" ht="22.5" customHeight="1" x14ac:dyDescent="0.15">
      <c r="A80" s="2"/>
      <c r="B80" s="2"/>
      <c r="C80" s="2"/>
      <c r="D80" s="3"/>
      <c r="E80" s="2"/>
      <c r="F80" s="2"/>
      <c r="G80" s="2"/>
      <c r="H80" s="2"/>
      <c r="I80" s="2"/>
      <c r="J80" s="2"/>
      <c r="K80" s="2"/>
    </row>
    <row r="81" spans="1:11" ht="22.5" customHeight="1" x14ac:dyDescent="0.15">
      <c r="A81" s="2"/>
      <c r="B81" s="2"/>
      <c r="C81" s="2"/>
      <c r="D81" s="3"/>
      <c r="E81" s="2"/>
      <c r="F81" s="2"/>
      <c r="G81" s="2"/>
      <c r="H81" s="2"/>
      <c r="I81" s="2"/>
      <c r="J81" s="2"/>
      <c r="K81" s="2"/>
    </row>
    <row r="82" spans="1:11" ht="22.5" customHeight="1" x14ac:dyDescent="0.15">
      <c r="A82" s="2"/>
      <c r="B82" s="2"/>
      <c r="C82" s="2"/>
      <c r="D82" s="3"/>
      <c r="E82" s="2"/>
      <c r="F82" s="2"/>
      <c r="G82" s="2"/>
      <c r="H82" s="2"/>
      <c r="I82" s="2"/>
      <c r="J82" s="2"/>
      <c r="K82" s="2"/>
    </row>
    <row r="83" spans="1:11" ht="22.5" customHeight="1" x14ac:dyDescent="0.15">
      <c r="A83" s="2"/>
      <c r="B83" s="2"/>
      <c r="C83" s="2"/>
      <c r="D83" s="3"/>
      <c r="E83" s="2"/>
      <c r="F83" s="2"/>
      <c r="G83" s="2"/>
      <c r="H83" s="2"/>
      <c r="I83" s="2"/>
      <c r="J83" s="2"/>
      <c r="K83" s="2"/>
    </row>
    <row r="84" spans="1:11" ht="22.5" customHeight="1" x14ac:dyDescent="0.15">
      <c r="A84" s="2"/>
      <c r="B84" s="2"/>
      <c r="C84" s="2"/>
      <c r="D84" s="3"/>
      <c r="E84" s="2"/>
      <c r="F84" s="2"/>
      <c r="G84" s="2"/>
      <c r="H84" s="2"/>
      <c r="I84" s="2"/>
      <c r="J84" s="2"/>
      <c r="K84" s="2"/>
    </row>
    <row r="85" spans="1:11" ht="22.5" customHeight="1" x14ac:dyDescent="0.15">
      <c r="A85" s="2"/>
      <c r="B85" s="2"/>
      <c r="C85" s="2"/>
      <c r="D85" s="3"/>
      <c r="E85" s="2"/>
      <c r="F85" s="2"/>
      <c r="G85" s="2"/>
      <c r="H85" s="2"/>
      <c r="I85" s="2"/>
      <c r="J85" s="2"/>
      <c r="K85" s="2"/>
    </row>
    <row r="86" spans="1:11" ht="22.5" customHeight="1" x14ac:dyDescent="0.15">
      <c r="A86" s="2"/>
      <c r="B86" s="2"/>
      <c r="C86" s="2"/>
      <c r="D86" s="3"/>
      <c r="E86" s="2"/>
      <c r="F86" s="2"/>
      <c r="G86" s="2"/>
      <c r="H86" s="2"/>
      <c r="I86" s="2"/>
      <c r="J86" s="2"/>
      <c r="K86" s="2"/>
    </row>
    <row r="87" spans="1:11" ht="22.5" customHeight="1" x14ac:dyDescent="0.15">
      <c r="A87" s="2"/>
      <c r="B87" s="2"/>
      <c r="C87" s="2"/>
      <c r="D87" s="3"/>
      <c r="E87" s="2"/>
      <c r="F87" s="2"/>
      <c r="G87" s="2"/>
      <c r="H87" s="2"/>
      <c r="I87" s="2"/>
      <c r="J87" s="2"/>
      <c r="K87" s="2"/>
    </row>
    <row r="88" spans="1:11" ht="22.5" customHeight="1" x14ac:dyDescent="0.15">
      <c r="A88" s="2"/>
      <c r="B88" s="2"/>
      <c r="C88" s="2"/>
      <c r="D88" s="3"/>
      <c r="E88" s="2"/>
      <c r="F88" s="2"/>
      <c r="G88" s="2"/>
      <c r="H88" s="2"/>
      <c r="I88" s="2"/>
      <c r="J88" s="2"/>
      <c r="K88" s="2"/>
    </row>
    <row r="89" spans="1:11" ht="22.5" customHeight="1" x14ac:dyDescent="0.15">
      <c r="A89" s="2"/>
      <c r="B89" s="2"/>
      <c r="C89" s="2"/>
      <c r="D89" s="3"/>
      <c r="E89" s="2"/>
      <c r="F89" s="2"/>
      <c r="G89" s="2"/>
      <c r="H89" s="2"/>
      <c r="I89" s="2"/>
      <c r="J89" s="2"/>
      <c r="K89" s="2"/>
    </row>
    <row r="90" spans="1:11" ht="22.5" customHeight="1" x14ac:dyDescent="0.15">
      <c r="A90" s="2"/>
      <c r="B90" s="2"/>
      <c r="C90" s="2"/>
      <c r="D90" s="3"/>
      <c r="E90" s="2"/>
      <c r="F90" s="2"/>
      <c r="G90" s="2"/>
      <c r="H90" s="2"/>
      <c r="I90" s="2"/>
      <c r="J90" s="2"/>
      <c r="K90" s="2"/>
    </row>
    <row r="91" spans="1:11" ht="22.5" customHeight="1" x14ac:dyDescent="0.15">
      <c r="A91" s="2"/>
      <c r="B91" s="2"/>
      <c r="C91" s="2"/>
      <c r="D91" s="3"/>
      <c r="E91" s="2"/>
      <c r="F91" s="2"/>
      <c r="G91" s="2"/>
      <c r="H91" s="2"/>
      <c r="I91" s="2"/>
      <c r="J91" s="2"/>
      <c r="K91" s="2"/>
    </row>
    <row r="92" spans="1:11" ht="22.5" customHeight="1" x14ac:dyDescent="0.15">
      <c r="A92" s="2"/>
      <c r="B92" s="2"/>
      <c r="C92" s="2"/>
      <c r="D92" s="3"/>
      <c r="E92" s="2"/>
      <c r="F92" s="2"/>
      <c r="G92" s="2"/>
      <c r="H92" s="2"/>
      <c r="I92" s="2"/>
      <c r="J92" s="2"/>
      <c r="K92" s="2"/>
    </row>
    <row r="93" spans="1:11" ht="22.5" customHeight="1" x14ac:dyDescent="0.15">
      <c r="A93" s="2"/>
      <c r="B93" s="2"/>
      <c r="C93" s="2"/>
      <c r="D93" s="3"/>
      <c r="E93" s="2"/>
      <c r="F93" s="2"/>
      <c r="G93" s="2"/>
      <c r="H93" s="2"/>
      <c r="I93" s="2"/>
      <c r="J93" s="2"/>
      <c r="K93" s="2"/>
    </row>
    <row r="94" spans="1:11" ht="22.5" customHeight="1" x14ac:dyDescent="0.15">
      <c r="A94" s="2"/>
      <c r="B94" s="2"/>
      <c r="C94" s="2"/>
      <c r="D94" s="3"/>
      <c r="E94" s="2"/>
      <c r="F94" s="2"/>
      <c r="G94" s="2"/>
      <c r="H94" s="2"/>
      <c r="I94" s="2"/>
      <c r="J94" s="2"/>
      <c r="K94" s="2"/>
    </row>
    <row r="95" spans="1:11" ht="22.5" customHeight="1" x14ac:dyDescent="0.15">
      <c r="A95" s="2"/>
      <c r="B95" s="2"/>
      <c r="C95" s="2"/>
      <c r="D95" s="3"/>
      <c r="E95" s="2"/>
      <c r="F95" s="2"/>
      <c r="G95" s="2"/>
      <c r="H95" s="2"/>
      <c r="I95" s="2"/>
      <c r="J95" s="2"/>
      <c r="K95" s="2"/>
    </row>
    <row r="96" spans="1:11" ht="22.5" customHeight="1" x14ac:dyDescent="0.15">
      <c r="A96" s="2"/>
      <c r="B96" s="2"/>
      <c r="C96" s="2"/>
      <c r="D96" s="3"/>
      <c r="E96" s="2"/>
      <c r="F96" s="2"/>
      <c r="G96" s="2"/>
      <c r="H96" s="2"/>
      <c r="I96" s="2"/>
      <c r="J96" s="2"/>
      <c r="K96" s="2"/>
    </row>
    <row r="97" spans="1:11" ht="22.5" customHeight="1" x14ac:dyDescent="0.15">
      <c r="A97" s="2"/>
      <c r="B97" s="2"/>
      <c r="C97" s="2"/>
      <c r="D97" s="3"/>
      <c r="E97" s="2"/>
      <c r="F97" s="2"/>
      <c r="G97" s="2"/>
      <c r="H97" s="2"/>
      <c r="I97" s="2"/>
      <c r="J97" s="2"/>
      <c r="K97" s="2"/>
    </row>
    <row r="98" spans="1:11" ht="22.5" customHeight="1" x14ac:dyDescent="0.15">
      <c r="A98" s="2"/>
      <c r="B98" s="2"/>
      <c r="C98" s="2"/>
      <c r="D98" s="3"/>
      <c r="E98" s="2"/>
      <c r="F98" s="2"/>
      <c r="G98" s="2"/>
      <c r="H98" s="2"/>
      <c r="I98" s="2"/>
      <c r="J98" s="2"/>
      <c r="K98" s="2"/>
    </row>
    <row r="99" spans="1:11" ht="22.5" customHeight="1" x14ac:dyDescent="0.15">
      <c r="A99" s="2"/>
      <c r="B99" s="2"/>
      <c r="C99" s="2"/>
      <c r="D99" s="3"/>
      <c r="E99" s="2"/>
      <c r="F99" s="2"/>
      <c r="G99" s="2"/>
      <c r="H99" s="2"/>
      <c r="I99" s="2"/>
      <c r="J99" s="2"/>
      <c r="K99" s="2"/>
    </row>
    <row r="100" spans="1:11" ht="22.5" customHeight="1" x14ac:dyDescent="0.15">
      <c r="A100" s="2"/>
      <c r="B100" s="2"/>
      <c r="C100" s="2"/>
      <c r="D100" s="3"/>
      <c r="E100" s="2"/>
      <c r="F100" s="2"/>
      <c r="G100" s="2"/>
      <c r="H100" s="2"/>
      <c r="I100" s="2"/>
      <c r="J100" s="2"/>
      <c r="K100" s="2"/>
    </row>
  </sheetData>
  <mergeCells count="3">
    <mergeCell ref="A1:E10"/>
    <mergeCell ref="B23:D23"/>
    <mergeCell ref="B26:D26"/>
  </mergeCells>
  <conditionalFormatting sqref="C13">
    <cfRule type="containsText" dxfId="45" priority="2" operator="containsText" text="樣粉">
      <formula>NOT(ISERROR(SEARCH(("樣粉"),(C13))))</formula>
    </cfRule>
    <cfRule type="containsText" dxfId="44" priority="3" operator="containsText" text="無烤漆">
      <formula>NOT(ISERROR(SEARCH(("無烤漆"),(C13))))</formula>
    </cfRule>
    <cfRule type="containsText" dxfId="43" priority="4" operator="containsText" text="颱風">
      <formula>NOT(ISERROR(SEARCH(("颱風"),(C13))))</formula>
    </cfRule>
    <cfRule type="containsText" dxfId="42" priority="5" operator="containsText" text="例">
      <formula>NOT(ISERROR(SEARCH(("例"),(C13))))</formula>
    </cfRule>
    <cfRule type="containsText" dxfId="41" priority="6" operator="containsText" text="國定">
      <formula>NOT(ISERROR(SEARCH(("國定"),(C13))))</formula>
    </cfRule>
    <cfRule type="containsText" dxfId="40" priority="7" operator="containsText" text="年假">
      <formula>NOT(ISERROR(SEARCH(("年假"),(C13))))</formula>
    </cfRule>
    <cfRule type="containsText" dxfId="39" priority="8" operator="containsText" text="例假日">
      <formula>NOT(ISERROR(SEARCH(("例假日"),(C13))))</formula>
    </cfRule>
    <cfRule type="containsText" dxfId="38" priority="9" operator="containsText" text="颱風假">
      <formula>NOT(ISERROR(SEARCH(("颱風假"),(C13))))</formula>
    </cfRule>
    <cfRule type="containsText" dxfId="37" priority="10" operator="containsText" text="無烤漆">
      <formula>NOT(ISERROR(SEARCH(("無烤漆"),(C13))))</formula>
    </cfRule>
    <cfRule type="containsText" dxfId="36" priority="11" operator="containsText" text="國定假日">
      <formula>NOT(ISERROR(SEARCH(("國定假日"),(C13))))</formula>
    </cfRule>
  </conditionalFormatting>
  <conditionalFormatting sqref="C17:C18">
    <cfRule type="cellIs" dxfId="35" priority="1" operator="equal">
      <formula>0</formula>
    </cfRule>
  </conditionalFormatting>
  <pageMargins left="0.7" right="0.7" top="0.75" bottom="0.75" header="0" footer="0"/>
  <pageSetup paperSize="9" fitToWidth="0" fitToHeight="0"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
  <sheetViews>
    <sheetView workbookViewId="0"/>
  </sheetViews>
  <sheetFormatPr defaultColWidth="13.97265625" defaultRowHeight="15" customHeight="1" x14ac:dyDescent="0.15"/>
  <cols>
    <col min="1" max="1" width="4.65625" customWidth="1"/>
    <col min="2" max="2" width="12.9921875" customWidth="1"/>
    <col min="3" max="3" width="10.6640625" customWidth="1"/>
    <col min="4" max="4" width="11.27734375" customWidth="1"/>
    <col min="5" max="11" width="8.82421875" customWidth="1"/>
  </cols>
  <sheetData>
    <row r="1" spans="1:11" ht="13.5" customHeight="1" x14ac:dyDescent="0.15">
      <c r="A1" s="14"/>
      <c r="B1" s="196" t="s">
        <v>14</v>
      </c>
      <c r="C1" s="189"/>
      <c r="D1" s="189"/>
      <c r="E1" s="189"/>
      <c r="F1" s="14"/>
      <c r="G1" s="14"/>
      <c r="H1" s="14"/>
      <c r="I1" s="14"/>
      <c r="J1" s="14"/>
      <c r="K1" s="14"/>
    </row>
    <row r="2" spans="1:11" ht="13.5" customHeight="1" x14ac:dyDescent="0.15">
      <c r="A2" s="14"/>
      <c r="B2" s="189"/>
      <c r="C2" s="189"/>
      <c r="D2" s="189"/>
      <c r="E2" s="189"/>
      <c r="F2" s="14"/>
      <c r="G2" s="14"/>
      <c r="H2" s="14"/>
      <c r="I2" s="14"/>
      <c r="J2" s="14"/>
      <c r="K2" s="14"/>
    </row>
    <row r="3" spans="1:11" ht="14.25" customHeight="1" x14ac:dyDescent="0.15">
      <c r="A3" s="14"/>
      <c r="B3" s="189"/>
      <c r="C3" s="189"/>
      <c r="D3" s="189"/>
      <c r="E3" s="189"/>
      <c r="F3" s="14"/>
      <c r="G3" s="14"/>
      <c r="H3" s="14"/>
      <c r="I3" s="14"/>
      <c r="J3" s="14"/>
      <c r="K3" s="14"/>
    </row>
    <row r="4" spans="1:11" ht="14.25" customHeight="1" x14ac:dyDescent="0.15">
      <c r="A4" s="14"/>
      <c r="B4" s="194" t="s">
        <v>15</v>
      </c>
      <c r="C4" s="192">
        <v>45981</v>
      </c>
      <c r="D4" s="189"/>
      <c r="E4" s="189"/>
      <c r="F4" s="14"/>
      <c r="G4" s="14"/>
      <c r="H4" s="14"/>
      <c r="I4" s="14"/>
      <c r="J4" s="14"/>
      <c r="K4" s="14"/>
    </row>
    <row r="5" spans="1:11" ht="14.25" customHeight="1" x14ac:dyDescent="0.15">
      <c r="A5" s="14"/>
      <c r="B5" s="195"/>
      <c r="C5" s="193"/>
      <c r="D5" s="189"/>
      <c r="E5" s="189"/>
      <c r="F5" s="14"/>
      <c r="G5" s="14"/>
      <c r="H5" s="14"/>
      <c r="I5" s="14"/>
      <c r="J5" s="14"/>
      <c r="K5" s="14"/>
    </row>
    <row r="6" spans="1:11" ht="13.5" customHeight="1" x14ac:dyDescent="0.15">
      <c r="A6" s="14"/>
      <c r="B6" s="15" t="s">
        <v>16</v>
      </c>
      <c r="C6" s="16" t="s">
        <v>17</v>
      </c>
      <c r="D6" s="16" t="s">
        <v>18</v>
      </c>
      <c r="E6" s="16" t="s">
        <v>19</v>
      </c>
      <c r="F6" s="14"/>
      <c r="G6" s="14"/>
      <c r="H6" s="14"/>
      <c r="I6" s="14"/>
      <c r="J6" s="14"/>
      <c r="K6" s="14"/>
    </row>
    <row r="7" spans="1:11" ht="13.5" customHeight="1" x14ac:dyDescent="0.15">
      <c r="A7" s="14"/>
      <c r="B7" s="17" t="str">
        <f t="array" ref="B7">IFERROR(INDEX(每日用粉紀錄表!$C$5:$C$105,SMALL(IF($C$4=每日用粉紀錄表!$B$5:$B$105,ROW(每日用粉紀錄表!$B$5:$B$105)-ROW(每日用粉紀錄表!$B$5)+1),ROW(1:1))),"")</f>
        <v>008/1H174</v>
      </c>
      <c r="C7" s="18" t="str">
        <f t="array" ref="C7">IFERROR(INDEX(每日用粉紀錄表!$D$5:$D$105,SMALL(IF($C$4=每日用粉紀錄表!$B$5:$B$105,ROW(每日用粉紀錄表!$B$5:$B$105)-ROW(每日用粉紀錄表!$B$5)+1),ROW(1:1))),"")</f>
        <v>WE2</v>
      </c>
      <c r="D7" s="19">
        <f t="array" ref="D7">IFERROR(INDEX(每日用粉紀錄表!$J$5:$J$103,SMALL(IF($C$4=每日用粉紀錄表!$B$5:$B$103,ROW(每日用粉紀錄表!$B$5:$B$103)-ROW(每日用粉紀錄表!$B$5)+1),ROW(1:1))),"")</f>
        <v>20</v>
      </c>
      <c r="E7" s="20">
        <f t="array" ref="E7">IFERROR(INDEX(每日用粉紀錄表!$E$5:$E$103,SMALL(IF($C$4=每日用粉紀錄表!$B$5:$B$103,ROW(每日用粉紀錄表!$B$5:$B$103)-ROW(每日用粉紀錄表!$B$5)+1),ROW(1:1))),"")</f>
        <v>18</v>
      </c>
      <c r="F7" s="14"/>
      <c r="G7" s="14"/>
      <c r="H7" s="14"/>
      <c r="I7" s="14"/>
      <c r="J7" s="14"/>
      <c r="K7" s="14"/>
    </row>
    <row r="8" spans="1:11" ht="13.5" customHeight="1" x14ac:dyDescent="0.15">
      <c r="A8" s="14"/>
      <c r="B8" s="17" t="str">
        <f t="array" ref="B8">IFERROR(INDEX(每日用粉紀錄表!$C$5:$C$105,SMALL(IF($C$4=每日用粉紀錄表!$B$5:$B$105,ROW(每日用粉紀錄表!$B$5:$B$105)-ROW(每日用粉紀錄表!$B$5)+1),ROW(2:2))),"")</f>
        <v>K-91097G</v>
      </c>
      <c r="C8" s="18" t="str">
        <f t="array" ref="C8">IFERROR(INDEX(每日用粉紀錄表!$D$5:$D$105,SMALL(IF($C$4=每日用粉紀錄表!$B$5:$B$105,ROW(每日用粉紀錄表!$B$5:$B$105)-ROW(每日用粉紀錄表!$B$5)+1),ROW(2:2))),"")</f>
        <v>BKS1</v>
      </c>
      <c r="D8" s="19">
        <f t="array" ref="D8">IFERROR(INDEX(每日用粉紀錄表!$J$5:$J$103,SMALL(IF($C$4=每日用粉紀錄表!$B$5:$B$103,ROW(每日用粉紀錄表!$B$5:$B$103)-ROW(每日用粉紀錄表!$B$5)+1),ROW(2:2))),"")</f>
        <v>73</v>
      </c>
      <c r="E8" s="20">
        <f t="array" ref="E8">IFERROR(INDEX(每日用粉紀錄表!$E$5:$E$103,SMALL(IF($C$4=每日用粉紀錄表!$B$5:$B$103,ROW(每日用粉紀錄表!$B$5:$B$103)-ROW(每日用粉紀錄表!$B$5)+1),ROW(2:2))),"")</f>
        <v>24</v>
      </c>
      <c r="F8" s="14"/>
      <c r="G8" s="14"/>
      <c r="H8" s="14"/>
      <c r="I8" s="14"/>
      <c r="J8" s="14"/>
      <c r="K8" s="14"/>
    </row>
    <row r="9" spans="1:11" ht="13.5" customHeight="1" x14ac:dyDescent="0.15">
      <c r="A9" s="14"/>
      <c r="B9" s="17" t="str">
        <f t="array" ref="B9">IFERROR(INDEX(每日用粉紀錄表!$C$5:$C$105,SMALL(IF($C$4=每日用粉紀錄表!$B$5:$B$105,ROW(每日用粉紀錄表!$B$5:$B$105)-ROW(每日用粉紀錄表!$B$5)+1),ROW(3:3))),"")</f>
        <v>廢粉</v>
      </c>
      <c r="C9" s="18" t="str">
        <f t="array" ref="C9">IFERROR(INDEX(每日用粉紀錄表!$D$5:$D$105,SMALL(IF($C$4=每日用粉紀錄表!$B$5:$B$105,ROW(每日用粉紀錄表!$B$5:$B$105)-ROW(每日用粉紀錄表!$B$5)+1),ROW(3:3))),"")</f>
        <v>-</v>
      </c>
      <c r="D9" s="19">
        <f t="array" ref="D9">IFERROR(INDEX(每日用粉紀錄表!$J$5:$J$103,SMALL(IF($C$4=每日用粉紀錄表!$B$5:$B$103,ROW(每日用粉紀錄表!$B$5:$B$103)-ROW(每日用粉紀錄表!$B$5)+1),ROW(3:3))),"")</f>
        <v>25</v>
      </c>
      <c r="E9" s="20" t="str">
        <f t="array" ref="E9">IFERROR(INDEX(每日用粉紀錄表!$E$5:$E$103,SMALL(IF($C$4=每日用粉紀錄表!$B$5:$B$103,ROW(每日用粉紀錄表!$B$5:$B$103)-ROW(每日用粉紀錄表!$B$5)+1),ROW(3:3))),"")</f>
        <v>-</v>
      </c>
      <c r="F9" s="14"/>
      <c r="G9" s="14"/>
      <c r="H9" s="14"/>
      <c r="I9" s="14"/>
      <c r="J9" s="14"/>
      <c r="K9" s="14"/>
    </row>
    <row r="10" spans="1:11" ht="13.5" customHeight="1" x14ac:dyDescent="0.15">
      <c r="A10" s="14"/>
      <c r="B10" s="17" t="str">
        <f t="array" ref="B10">IFERROR(INDEX(每日用粉紀錄表!$C$5:$C$105,SMALL(IF($C$4=每日用粉紀錄表!$B$5:$B$105,ROW(每日用粉紀錄表!$B$5:$B$105)-ROW(每日用粉紀錄表!$B$5)+1),ROW(4:4))),"")</f>
        <v/>
      </c>
      <c r="C10" s="18" t="str">
        <f t="array" ref="C10">IFERROR(INDEX(每日用粉紀錄表!$D$5:$D$105,SMALL(IF($C$4=每日用粉紀錄表!$B$5:$B$105,ROW(每日用粉紀錄表!$B$5:$B$105)-ROW(每日用粉紀錄表!$B$5)+1),ROW(4:4))),"")</f>
        <v/>
      </c>
      <c r="D10" s="19" t="str">
        <f t="array" ref="D10">IFERROR(INDEX(每日用粉紀錄表!$J$5:$J$103,SMALL(IF($C$4=每日用粉紀錄表!$B$5:$B$103,ROW(每日用粉紀錄表!$B$5:$B$103)-ROW(每日用粉紀錄表!$B$5)+1),ROW(4:4))),"")</f>
        <v/>
      </c>
      <c r="E10" s="20" t="str">
        <f t="array" ref="E10">IFERROR(INDEX(每日用粉紀錄表!$E$5:$E$103,SMALL(IF($C$4=每日用粉紀錄表!$B$5:$B$103,ROW(每日用粉紀錄表!$B$5:$B$103)-ROW(每日用粉紀錄表!$B$5)+1),ROW(4:4))),"")</f>
        <v/>
      </c>
      <c r="F10" s="14"/>
      <c r="G10" s="14"/>
      <c r="H10" s="14"/>
      <c r="I10" s="14"/>
      <c r="J10" s="14"/>
      <c r="K10" s="14"/>
    </row>
    <row r="11" spans="1:11" ht="13.5" customHeight="1" x14ac:dyDescent="0.15">
      <c r="A11" s="14"/>
      <c r="B11" s="17" t="str">
        <f t="array" ref="B11">IFERROR(INDEX(每日用粉紀錄表!$C$5:$C$105,SMALL(IF($C$4=每日用粉紀錄表!$B$5:$B$105,ROW(每日用粉紀錄表!$B$5:$B$105)-ROW(每日用粉紀錄表!$B$5)+1),ROW(5:5))),"")</f>
        <v/>
      </c>
      <c r="C11" s="18" t="str">
        <f t="array" ref="C11">IFERROR(INDEX(每日用粉紀錄表!$D$5:$D$105,SMALL(IF($C$4=每日用粉紀錄表!$B$5:$B$105,ROW(每日用粉紀錄表!$B$5:$B$105)-ROW(每日用粉紀錄表!$B$5)+1),ROW(5:5))),"")</f>
        <v/>
      </c>
      <c r="D11" s="19" t="str">
        <f t="array" ref="D11">IFERROR(INDEX(每日用粉紀錄表!$J$5:$J$103,SMALL(IF($C$4=每日用粉紀錄表!$B$5:$B$103,ROW(每日用粉紀錄表!$B$5:$B$103)-ROW(每日用粉紀錄表!$B$5)+1),ROW(5:5))),"")</f>
        <v/>
      </c>
      <c r="E11" s="20" t="str">
        <f t="array" ref="E11">IFERROR(INDEX(每日用粉紀錄表!$E$5:$E$103,SMALL(IF($C$4=每日用粉紀錄表!$B$5:$B$103,ROW(每日用粉紀錄表!$B$5:$B$103)-ROW(每日用粉紀錄表!$B$5)+1),ROW(5:5))),"")</f>
        <v/>
      </c>
      <c r="F11" s="14"/>
      <c r="G11" s="14"/>
      <c r="H11" s="14"/>
      <c r="I11" s="14"/>
      <c r="J11" s="14"/>
      <c r="K11" s="14"/>
    </row>
    <row r="12" spans="1:11" ht="13.5" customHeight="1" x14ac:dyDescent="0.15">
      <c r="A12" s="14"/>
      <c r="B12" s="17" t="str">
        <f t="array" ref="B12">IFERROR(INDEX(每日用粉紀錄表!$C$5:$C$105,SMALL(IF($C$4=每日用粉紀錄表!$B$5:$B$105,ROW(每日用粉紀錄表!$B$5:$B$105)-ROW(每日用粉紀錄表!$B$5)+1),ROW(6:6))),"")</f>
        <v/>
      </c>
      <c r="C12" s="18" t="str">
        <f t="array" ref="C12">IFERROR(INDEX(每日用粉紀錄表!$D$5:$D$105,SMALL(IF($C$4=每日用粉紀錄表!$B$5:$B$105,ROW(每日用粉紀錄表!$B$5:$B$105)-ROW(每日用粉紀錄表!$B$5)+1),ROW(6:6))),"")</f>
        <v/>
      </c>
      <c r="D12" s="19" t="str">
        <f t="array" ref="D12">IFERROR(INDEX(每日用粉紀錄表!$J$5:$J$103,SMALL(IF($C$4=每日用粉紀錄表!$B$5:$B$103,ROW(每日用粉紀錄表!$B$5:$B$103)-ROW(每日用粉紀錄表!$B$5)+1),ROW(6:6))),"")</f>
        <v/>
      </c>
      <c r="E12" s="20" t="str">
        <f t="array" ref="E12">IFERROR(INDEX(每日用粉紀錄表!$E$5:$E$103,SMALL(IF($C$4=每日用粉紀錄表!$B$5:$B$103,ROW(每日用粉紀錄表!$B$5:$B$103)-ROW(每日用粉紀錄表!$B$5)+1),ROW(6:6))),"")</f>
        <v/>
      </c>
      <c r="F12" s="14"/>
      <c r="G12" s="14"/>
      <c r="H12" s="14"/>
      <c r="I12" s="14"/>
      <c r="J12" s="14"/>
      <c r="K12" s="14"/>
    </row>
    <row r="13" spans="1:11" ht="13.5" customHeight="1" x14ac:dyDescent="0.15">
      <c r="A13" s="14"/>
      <c r="B13" s="17" t="str">
        <f t="array" ref="B13">IFERROR(INDEX(每日用粉紀錄表!$C$5:$C$105,SMALL(IF($C$4=每日用粉紀錄表!$B$5:$B$105,ROW(每日用粉紀錄表!$B$5:$B$105)-ROW(每日用粉紀錄表!$B$5)+1),ROW(7:7))),"")</f>
        <v/>
      </c>
      <c r="C13" s="18" t="str">
        <f t="array" ref="C13">IFERROR(INDEX(每日用粉紀錄表!$D$5:$D$105,SMALL(IF($C$4=每日用粉紀錄表!$B$5:$B$105,ROW(每日用粉紀錄表!$B$5:$B$105)-ROW(每日用粉紀錄表!$B$5)+1),ROW(7:7))),"")</f>
        <v/>
      </c>
      <c r="D13" s="19" t="str">
        <f t="array" ref="D13">IFERROR(INDEX(每日用粉紀錄表!$J$5:$J$103,SMALL(IF($C$4=每日用粉紀錄表!$B$5:$B$103,ROW(每日用粉紀錄表!$B$5:$B$103)-ROW(每日用粉紀錄表!$B$5)+1),ROW(7:7))),"")</f>
        <v/>
      </c>
      <c r="E13" s="20" t="str">
        <f t="array" ref="E13">IFERROR(INDEX(每日用粉紀錄表!$E$5:$E$103,SMALL(IF($C$4=每日用粉紀錄表!$B$5:$B$103,ROW(每日用粉紀錄表!$B$5:$B$103)-ROW(每日用粉紀錄表!$B$5)+1),ROW(7:7))),"")</f>
        <v/>
      </c>
      <c r="F13" s="14"/>
      <c r="G13" s="14"/>
      <c r="H13" s="14"/>
      <c r="I13" s="14"/>
      <c r="J13" s="14"/>
      <c r="K13" s="14"/>
    </row>
    <row r="14" spans="1:11" ht="13.5" customHeight="1" x14ac:dyDescent="0.15">
      <c r="A14" s="14"/>
      <c r="B14" s="17" t="str">
        <f t="array" ref="B14">IFERROR(INDEX(每日用粉紀錄表!$C$5:$C$105,SMALL(IF($C$4=每日用粉紀錄表!$B$5:$B$105,ROW(每日用粉紀錄表!$B$5:$B$105)-ROW(每日用粉紀錄表!$B$5)+1),ROW(8:8))),"")</f>
        <v/>
      </c>
      <c r="C14" s="18" t="str">
        <f t="array" ref="C14">IFERROR(INDEX(每日用粉紀錄表!$D$5:$D$105,SMALL(IF($C$4=每日用粉紀錄表!$B$5:$B$105,ROW(每日用粉紀錄表!$B$5:$B$105)-ROW(每日用粉紀錄表!$B$5)+1),ROW(8:8))),"")</f>
        <v/>
      </c>
      <c r="D14" s="19" t="str">
        <f t="array" ref="D14">IFERROR(INDEX(每日用粉紀錄表!$J$5:$J$103,SMALL(IF($C$4=每日用粉紀錄表!$B$5:$B$103,ROW(每日用粉紀錄表!$B$5:$B$103)-ROW(每日用粉紀錄表!$B$5)+1),ROW(8:8))),"")</f>
        <v/>
      </c>
      <c r="E14" s="20" t="str">
        <f t="array" ref="E14">IFERROR(INDEX(每日用粉紀錄表!$E$5:$E$103,SMALL(IF($C$4=每日用粉紀錄表!$B$5:$B$103,ROW(每日用粉紀錄表!$B$5:$B$103)-ROW(每日用粉紀錄表!$B$5)+1),ROW(8:8))),"")</f>
        <v/>
      </c>
      <c r="F14" s="14"/>
      <c r="G14" s="14"/>
      <c r="H14" s="14"/>
      <c r="I14" s="14"/>
      <c r="J14" s="14"/>
      <c r="K14" s="14"/>
    </row>
    <row r="15" spans="1:11" ht="13.5" customHeight="1" x14ac:dyDescent="0.15">
      <c r="A15" s="14"/>
      <c r="B15" s="17" t="str">
        <f t="array" ref="B15">IFERROR(INDEX(每日用粉紀錄表!$C$5:$C$105,SMALL(IF($C$4=每日用粉紀錄表!$B$5:$B$105,ROW(每日用粉紀錄表!$B$5:$B$105)-ROW(每日用粉紀錄表!$B$5)+1),ROW(9:9))),"")</f>
        <v/>
      </c>
      <c r="C15" s="18" t="str">
        <f t="array" ref="C15">IFERROR(INDEX(每日用粉紀錄表!$D$5:$D$105,SMALL(IF($C$4=每日用粉紀錄表!$B$5:$B$105,ROW(每日用粉紀錄表!$B$5:$B$105)-ROW(每日用粉紀錄表!$B$5)+1),ROW(9:9))),"")</f>
        <v/>
      </c>
      <c r="D15" s="19" t="str">
        <f t="array" ref="D15">IFERROR(INDEX(每日用粉紀錄表!$J$5:$J$103,SMALL(IF($C$4=每日用粉紀錄表!$B$5:$B$103,ROW(每日用粉紀錄表!$B$5:$B$103)-ROW(每日用粉紀錄表!$B$5)+1),ROW(9:9))),"")</f>
        <v/>
      </c>
      <c r="E15" s="20" t="str">
        <f t="array" ref="E15">IFERROR(INDEX(每日用粉紀錄表!$E$5:$E$103,SMALL(IF($C$4=每日用粉紀錄表!$B$5:$B$103,ROW(每日用粉紀錄表!$B$5:$B$103)-ROW(每日用粉紀錄表!$B$5)+1),ROW(9:9))),"")</f>
        <v/>
      </c>
      <c r="F15" s="14"/>
      <c r="G15" s="14"/>
      <c r="H15" s="14"/>
      <c r="I15" s="14"/>
      <c r="J15" s="14"/>
      <c r="K15" s="14"/>
    </row>
    <row r="16" spans="1:11" ht="13.5" customHeight="1" x14ac:dyDescent="0.15">
      <c r="A16" s="14"/>
      <c r="B16" s="17" t="str">
        <f t="array" ref="B16">IFERROR(INDEX(每日用粉紀錄表!$C$5:$C$105,SMALL(IF($C$4=每日用粉紀錄表!$B$5:$B$105,ROW(每日用粉紀錄表!$B$5:$B$105)-ROW(每日用粉紀錄表!$B$5)+1),ROW(10:10))),"")</f>
        <v/>
      </c>
      <c r="C16" s="18" t="str">
        <f t="array" ref="C16">IFERROR(INDEX(每日用粉紀錄表!$D$5:$D$105,SMALL(IF($C$4=每日用粉紀錄表!$B$5:$B$105,ROW(每日用粉紀錄表!$B$5:$B$105)-ROW(每日用粉紀錄表!$B$5)+1),ROW(10:10))),"")</f>
        <v/>
      </c>
      <c r="D16" s="19" t="str">
        <f t="array" ref="D16">IFERROR(INDEX(每日用粉紀錄表!$J$5:$J$103,SMALL(IF($C$4=每日用粉紀錄表!$B$5:$B$103,ROW(每日用粉紀錄表!$B$5:$B$103)-ROW(每日用粉紀錄表!$B$5)+1),ROW(10:10))),"")</f>
        <v/>
      </c>
      <c r="E16" s="20" t="str">
        <f t="array" ref="E16">IFERROR(INDEX(每日用粉紀錄表!$E$5:$E$103,SMALL(IF($C$4=每日用粉紀錄表!$B$5:$B$103,ROW(每日用粉紀錄表!$B$5:$B$103)-ROW(每日用粉紀錄表!$B$5)+1),ROW(10:10))),"")</f>
        <v/>
      </c>
      <c r="F16" s="14"/>
      <c r="G16" s="14"/>
      <c r="H16" s="14"/>
      <c r="I16" s="14"/>
      <c r="J16" s="14"/>
      <c r="K16" s="14"/>
    </row>
    <row r="17" spans="1:11" ht="13.5" customHeight="1" x14ac:dyDescent="0.15">
      <c r="A17" s="14"/>
      <c r="B17" s="17" t="str">
        <f t="array" ref="B17">IFERROR(INDEX(每日用粉紀錄表!$C$5:$C$105,SMALL(IF($C$4=每日用粉紀錄表!$B$5:$B$105,ROW(每日用粉紀錄表!$B$5:$B$105)-ROW(每日用粉紀錄表!$B$5)+1),ROW(11:11))),"")</f>
        <v/>
      </c>
      <c r="C17" s="18" t="str">
        <f t="array" ref="C17">IFERROR(INDEX(每日用粉紀錄表!$D$5:$D$105,SMALL(IF($C$4=每日用粉紀錄表!$B$5:$B$105,ROW(每日用粉紀錄表!$B$5:$B$105)-ROW(每日用粉紀錄表!$B$5)+1),ROW(11:11))),"")</f>
        <v/>
      </c>
      <c r="D17" s="19" t="str">
        <f t="array" ref="D17">IFERROR(INDEX(每日用粉紀錄表!$J$5:$J$103,SMALL(IF($C$4=每日用粉紀錄表!$B$5:$B$103,ROW(每日用粉紀錄表!$B$5:$B$103)-ROW(每日用粉紀錄表!$B$5)+1),ROW(11:11))),"")</f>
        <v/>
      </c>
      <c r="E17" s="20" t="str">
        <f t="array" ref="E17">IFERROR(INDEX(每日用粉紀錄表!$E$5:$E$103,SMALL(IF($C$4=每日用粉紀錄表!$B$5:$B$103,ROW(每日用粉紀錄表!$B$5:$B$103)-ROW(每日用粉紀錄表!$B$5)+1),ROW(11:11))),"")</f>
        <v/>
      </c>
      <c r="F17" s="14"/>
      <c r="G17" s="14"/>
      <c r="H17" s="14"/>
      <c r="I17" s="14"/>
      <c r="J17" s="14"/>
      <c r="K17" s="14"/>
    </row>
    <row r="18" spans="1:11" ht="13.5" customHeight="1" x14ac:dyDescent="0.15">
      <c r="A18" s="14"/>
      <c r="B18" s="17" t="str">
        <f t="array" ref="B18">IFERROR(INDEX(每日用粉紀錄表!$C$5:$C$105,SMALL(IF($C$4=每日用粉紀錄表!$B$5:$B$105,ROW(每日用粉紀錄表!$B$5:$B$105)-ROW(每日用粉紀錄表!$B$5)+1),ROW(12:12))),"")</f>
        <v/>
      </c>
      <c r="C18" s="18" t="str">
        <f t="array" ref="C18">IFERROR(INDEX(每日用粉紀錄表!$D$5:$D$105,SMALL(IF($C$4=每日用粉紀錄表!$B$5:$B$105,ROW(每日用粉紀錄表!$B$5:$B$105)-ROW(每日用粉紀錄表!$B$5)+1),ROW(12:12))),"")</f>
        <v/>
      </c>
      <c r="D18" s="19" t="str">
        <f t="array" ref="D18">IFERROR(INDEX(每日用粉紀錄表!$J$5:$J$103,SMALL(IF($C$4=每日用粉紀錄表!$B$5:$B$103,ROW(每日用粉紀錄表!$B$5:$B$103)-ROW(每日用粉紀錄表!$B$5)+1),ROW(12:12))),"")</f>
        <v/>
      </c>
      <c r="E18" s="20" t="str">
        <f t="array" ref="E18">IFERROR(INDEX(每日用粉紀錄表!$E$5:$E$103,SMALL(IF($C$4=每日用粉紀錄表!$B$5:$B$103,ROW(每日用粉紀錄表!$B$5:$B$103)-ROW(每日用粉紀錄表!$B$5)+1),ROW(12:12))),"")</f>
        <v/>
      </c>
      <c r="F18" s="14"/>
      <c r="G18" s="14"/>
      <c r="H18" s="14"/>
      <c r="I18" s="14"/>
      <c r="J18" s="14"/>
      <c r="K18" s="14"/>
    </row>
    <row r="19" spans="1:11" ht="13.5" customHeight="1" x14ac:dyDescent="0.15">
      <c r="A19" s="14"/>
      <c r="B19" s="17" t="str">
        <f t="array" ref="B19">IFERROR(INDEX(每日用粉紀錄表!$C$5:$C$105,SMALL(IF($C$4=每日用粉紀錄表!$B$5:$B$105,ROW(每日用粉紀錄表!$B$5:$B$105)-ROW(每日用粉紀錄表!$B$5)+1),ROW(13:13))),"")</f>
        <v/>
      </c>
      <c r="C19" s="18" t="str">
        <f t="array" ref="C19">IFERROR(INDEX(每日用粉紀錄表!$D$5:$D$105,SMALL(IF($C$4=每日用粉紀錄表!$B$5:$B$105,ROW(每日用粉紀錄表!$B$5:$B$105)-ROW(每日用粉紀錄表!$B$5)+1),ROW(13:13))),"")</f>
        <v/>
      </c>
      <c r="D19" s="19" t="str">
        <f t="array" ref="D19">IFERROR(INDEX(每日用粉紀錄表!$J$5:$J$103,SMALL(IF($C$4=每日用粉紀錄表!$B$5:$B$103,ROW(每日用粉紀錄表!$B$5:$B$103)-ROW(每日用粉紀錄表!$B$5)+1),ROW(13:13))),"")</f>
        <v/>
      </c>
      <c r="E19" s="20" t="str">
        <f t="array" ref="E19">IFERROR(INDEX(每日用粉紀錄表!$E$5:$E$103,SMALL(IF($C$4=每日用粉紀錄表!$B$5:$B$103,ROW(每日用粉紀錄表!$B$5:$B$103)-ROW(每日用粉紀錄表!$B$5)+1),ROW(13:13))),"")</f>
        <v/>
      </c>
      <c r="F19" s="14"/>
      <c r="G19" s="14"/>
      <c r="H19" s="14"/>
      <c r="I19" s="14"/>
      <c r="J19" s="14"/>
      <c r="K19" s="14"/>
    </row>
    <row r="20" spans="1:11" ht="13.5" customHeight="1" x14ac:dyDescent="0.15">
      <c r="A20" s="14"/>
      <c r="B20" s="17" t="str">
        <f t="array" ref="B20">IFERROR(INDEX(每日用粉紀錄表!$C$5:$C$105,SMALL(IF($C$4=每日用粉紀錄表!$B$5:$B$105,ROW(每日用粉紀錄表!$B$5:$B$105)-ROW(每日用粉紀錄表!$B$5)+1),ROW(14:14))),"")</f>
        <v/>
      </c>
      <c r="C20" s="18" t="str">
        <f t="array" ref="C20">IFERROR(INDEX(每日用粉紀錄表!$D$5:$D$105,SMALL(IF($C$4=每日用粉紀錄表!$B$5:$B$105,ROW(每日用粉紀錄表!$B$5:$B$105)-ROW(每日用粉紀錄表!$B$5)+1),ROW(14:14))),"")</f>
        <v/>
      </c>
      <c r="D20" s="19" t="str">
        <f t="array" ref="D20">IFERROR(INDEX(每日用粉紀錄表!$J$5:$J$103,SMALL(IF($C$4=每日用粉紀錄表!$B$5:$B$103,ROW(每日用粉紀錄表!$B$5:$B$103)-ROW(每日用粉紀錄表!$B$5)+1),ROW(14:14))),"")</f>
        <v/>
      </c>
      <c r="E20" s="20" t="str">
        <f t="array" ref="E20">IFERROR(INDEX(每日用粉紀錄表!$E$5:$E$103,SMALL(IF($C$4=每日用粉紀錄表!$B$5:$B$103,ROW(每日用粉紀錄表!$B$5:$B$103)-ROW(每日用粉紀錄表!$B$5)+1),ROW(14:14))),"")</f>
        <v/>
      </c>
      <c r="F20" s="14"/>
      <c r="G20" s="14"/>
      <c r="H20" s="14"/>
      <c r="I20" s="14"/>
      <c r="J20" s="14"/>
      <c r="K20" s="14"/>
    </row>
    <row r="21" spans="1:11" ht="13.5" customHeight="1" x14ac:dyDescent="0.15">
      <c r="A21" s="14"/>
      <c r="B21" s="17" t="str">
        <f t="array" ref="B21">IFERROR(INDEX(每日用粉紀錄表!$C$5:$C$105,SMALL(IF($C$4=每日用粉紀錄表!$B$5:$B$105,ROW(每日用粉紀錄表!$B$5:$B$105)-ROW(每日用粉紀錄表!$B$5)+1),ROW(15:15))),"")</f>
        <v/>
      </c>
      <c r="C21" s="18" t="str">
        <f t="array" ref="C21">IFERROR(INDEX(每日用粉紀錄表!$D$5:$D$105,SMALL(IF($C$4=每日用粉紀錄表!$B$5:$B$105,ROW(每日用粉紀錄表!$B$5:$B$105)-ROW(每日用粉紀錄表!$B$5)+1),ROW(15:15))),"")</f>
        <v/>
      </c>
      <c r="D21" s="19" t="str">
        <f t="array" ref="D21">IFERROR(INDEX(每日用粉紀錄表!$J$5:$J$103,SMALL(IF($C$4=每日用粉紀錄表!$B$5:$B$103,ROW(每日用粉紀錄表!$B$5:$B$103)-ROW(每日用粉紀錄表!$B$5)+1),ROW(15:15))),"")</f>
        <v/>
      </c>
      <c r="E21" s="20" t="str">
        <f t="array" ref="E21">IFERROR(INDEX(每日用粉紀錄表!$E$5:$E$103,SMALL(IF($C$4=每日用粉紀錄表!$B$5:$B$103,ROW(每日用粉紀錄表!$B$5:$B$103)-ROW(每日用粉紀錄表!$B$5)+1),ROW(15:15))),"")</f>
        <v/>
      </c>
      <c r="F21" s="14"/>
      <c r="G21" s="14"/>
      <c r="H21" s="14"/>
      <c r="I21" s="14"/>
      <c r="J21" s="14"/>
      <c r="K21" s="14"/>
    </row>
    <row r="22" spans="1:11" ht="13.5" customHeight="1" x14ac:dyDescent="0.15">
      <c r="A22" s="14"/>
      <c r="B22" s="17" t="str">
        <f t="array" ref="B22">IFERROR(INDEX(每日用粉紀錄表!$C$5:$C$105,SMALL(IF($C$4=每日用粉紀錄表!$B$5:$B$105,ROW(每日用粉紀錄表!$B$5:$B$105)-ROW(每日用粉紀錄表!$B$5)+1),ROW(16:16))),"")</f>
        <v/>
      </c>
      <c r="C22" s="18" t="str">
        <f t="array" ref="C22">IFERROR(INDEX(每日用粉紀錄表!$D$5:$D$105,SMALL(IF($C$4=每日用粉紀錄表!$B$5:$B$105,ROW(每日用粉紀錄表!$B$5:$B$105)-ROW(每日用粉紀錄表!$B$5)+1),ROW(16:16))),"")</f>
        <v/>
      </c>
      <c r="D22" s="19" t="str">
        <f t="array" ref="D22">IFERROR(INDEX(每日用粉紀錄表!$J$5:$J$103,SMALL(IF($C$4=每日用粉紀錄表!$B$5:$B$103,ROW(每日用粉紀錄表!$B$5:$B$103)-ROW(每日用粉紀錄表!$B$5)+1),ROW(16:16))),"")</f>
        <v/>
      </c>
      <c r="E22" s="20" t="str">
        <f t="array" ref="E22">IFERROR(INDEX(每日用粉紀錄表!$E$5:$E$103,SMALL(IF($C$4=每日用粉紀錄表!$B$5:$B$103,ROW(每日用粉紀錄表!$B$5:$B$103)-ROW(每日用粉紀錄表!$B$5)+1),ROW(16:16))),"")</f>
        <v/>
      </c>
      <c r="F22" s="14"/>
      <c r="G22" s="14"/>
      <c r="H22" s="14"/>
      <c r="I22" s="14"/>
      <c r="J22" s="14"/>
      <c r="K22" s="14"/>
    </row>
    <row r="23" spans="1:11" ht="13.5" customHeight="1" x14ac:dyDescent="0.15">
      <c r="A23" s="14"/>
      <c r="B23" s="17" t="str">
        <f t="array" ref="B23">IFERROR(INDEX(每日用粉紀錄表!$C$5:$C$105,SMALL(IF($C$4=每日用粉紀錄表!$B$5:$B$105,ROW(每日用粉紀錄表!$B$5:$B$105)-ROW(每日用粉紀錄表!$B$5)+1),ROW(17:17))),"")</f>
        <v/>
      </c>
      <c r="C23" s="18" t="str">
        <f t="array" ref="C23">IFERROR(INDEX(每日用粉紀錄表!$D$5:$D$105,SMALL(IF($C$4=每日用粉紀錄表!$B$5:$B$105,ROW(每日用粉紀錄表!$B$5:$B$105)-ROW(每日用粉紀錄表!$B$5)+1),ROW(17:17))),"")</f>
        <v/>
      </c>
      <c r="D23" s="19" t="str">
        <f t="array" ref="D23">IFERROR(INDEX(每日用粉紀錄表!$J$5:$J$103,SMALL(IF($C$4=每日用粉紀錄表!$B$5:$B$103,ROW(每日用粉紀錄表!$B$5:$B$103)-ROW(每日用粉紀錄表!$B$5)+1),ROW(17:17))),"")</f>
        <v/>
      </c>
      <c r="E23" s="20" t="str">
        <f t="array" ref="E23">IFERROR(INDEX(每日用粉紀錄表!$E$5:$E$103,SMALL(IF($C$4=每日用粉紀錄表!$B$5:$B$103,ROW(每日用粉紀錄表!$B$5:$B$103)-ROW(每日用粉紀錄表!$B$5)+1),ROW(17:17))),"")</f>
        <v/>
      </c>
      <c r="F23" s="14"/>
      <c r="G23" s="14"/>
      <c r="H23" s="14"/>
      <c r="I23" s="14"/>
      <c r="J23" s="14"/>
      <c r="K23" s="14"/>
    </row>
    <row r="24" spans="1:11" ht="13.5" customHeight="1" x14ac:dyDescent="0.15">
      <c r="A24" s="14"/>
      <c r="B24" s="17" t="str">
        <f t="array" ref="B24">IFERROR(INDEX(每日用粉紀錄表!$C$5:$C$105,SMALL(IF($C$4=每日用粉紀錄表!$B$5:$B$105,ROW(每日用粉紀錄表!$B$5:$B$105)-ROW(每日用粉紀錄表!$B$5)+1),ROW(18:18))),"")</f>
        <v/>
      </c>
      <c r="C24" s="18" t="str">
        <f t="array" ref="C24">IFERROR(INDEX(每日用粉紀錄表!$D$5:$D$105,SMALL(IF($C$4=每日用粉紀錄表!$B$5:$B$105,ROW(每日用粉紀錄表!$B$5:$B$105)-ROW(每日用粉紀錄表!$B$5)+1),ROW(18:18))),"")</f>
        <v/>
      </c>
      <c r="D24" s="19" t="str">
        <f t="array" ref="D24">IFERROR(INDEX(每日用粉紀錄表!$J$5:$J$103,SMALL(IF($C$4=每日用粉紀錄表!$B$5:$B$103,ROW(每日用粉紀錄表!$B$5:$B$103)-ROW(每日用粉紀錄表!$B$5)+1),ROW(18:18))),"")</f>
        <v/>
      </c>
      <c r="E24" s="20" t="str">
        <f t="array" ref="E24">IFERROR(INDEX(每日用粉紀錄表!$E$5:$E$103,SMALL(IF($C$4=每日用粉紀錄表!$B$5:$B$103,ROW(每日用粉紀錄表!$B$5:$B$103)-ROW(每日用粉紀錄表!$B$5)+1),ROW(18:18))),"")</f>
        <v/>
      </c>
      <c r="F24" s="14"/>
      <c r="G24" s="14"/>
      <c r="H24" s="14"/>
      <c r="I24" s="14"/>
      <c r="J24" s="14"/>
      <c r="K24" s="14"/>
    </row>
    <row r="25" spans="1:11" ht="13.5" customHeight="1" x14ac:dyDescent="0.15">
      <c r="A25" s="14"/>
      <c r="B25" s="17" t="str">
        <f t="array" ref="B25">IFERROR(INDEX(每日用粉紀錄表!$C$5:$C$105,SMALL(IF($C$4=每日用粉紀錄表!$B$5:$B$105,ROW(每日用粉紀錄表!$B$5:$B$105)-ROW(每日用粉紀錄表!$B$5)+1),ROW(19:19))),"")</f>
        <v/>
      </c>
      <c r="C25" s="18" t="str">
        <f t="array" ref="C25">IFERROR(INDEX(每日用粉紀錄表!$D$5:$D$105,SMALL(IF($C$4=每日用粉紀錄表!$B$5:$B$105,ROW(每日用粉紀錄表!$B$5:$B$105)-ROW(每日用粉紀錄表!$B$5)+1),ROW(19:19))),"")</f>
        <v/>
      </c>
      <c r="D25" s="19" t="str">
        <f t="array" ref="D25">IFERROR(INDEX(每日用粉紀錄表!$J$5:$J$103,SMALL(IF($C$4=每日用粉紀錄表!$B$5:$B$103,ROW(每日用粉紀錄表!$B$5:$B$103)-ROW(每日用粉紀錄表!$B$5)+1),ROW(19:19))),"")</f>
        <v/>
      </c>
      <c r="E25" s="20" t="str">
        <f t="array" ref="E25">IFERROR(INDEX(每日用粉紀錄表!$E$5:$E$103,SMALL(IF($C$4=每日用粉紀錄表!$B$5:$B$103,ROW(每日用粉紀錄表!$B$5:$B$103)-ROW(每日用粉紀錄表!$B$5)+1),ROW(19:19))),"")</f>
        <v/>
      </c>
      <c r="F25" s="14"/>
      <c r="G25" s="14"/>
      <c r="H25" s="14"/>
      <c r="I25" s="14"/>
      <c r="J25" s="14"/>
      <c r="K25" s="14"/>
    </row>
    <row r="26" spans="1:11" ht="13.5" customHeight="1" x14ac:dyDescent="0.15">
      <c r="A26" s="14"/>
      <c r="B26" s="17" t="str">
        <f t="array" ref="B26">IFERROR(INDEX(每日用粉紀錄表!$C$5:$C$105,SMALL(IF($C$4=每日用粉紀錄表!$B$5:$B$105,ROW(每日用粉紀錄表!$B$5:$B$105)-ROW(每日用粉紀錄表!$B$5)+1),ROW(20:20))),"")</f>
        <v/>
      </c>
      <c r="C26" s="18" t="str">
        <f t="array" ref="C26">IFERROR(INDEX(每日用粉紀錄表!$D$5:$D$105,SMALL(IF($C$4=每日用粉紀錄表!$B$5:$B$105,ROW(每日用粉紀錄表!$B$5:$B$105)-ROW(每日用粉紀錄表!$B$5)+1),ROW(20:20))),"")</f>
        <v/>
      </c>
      <c r="D26" s="19" t="str">
        <f t="array" ref="D26">IFERROR(INDEX(每日用粉紀錄表!$J$5:$J$103,SMALL(IF($C$4=每日用粉紀錄表!$B$5:$B$103,ROW(每日用粉紀錄表!$B$5:$B$103)-ROW(每日用粉紀錄表!$B$5)+1),ROW(20:20))),"")</f>
        <v/>
      </c>
      <c r="E26" s="20" t="str">
        <f t="array" ref="E26">IFERROR(INDEX(每日用粉紀錄表!$E$5:$E$103,SMALL(IF($C$4=每日用粉紀錄表!$B$5:$B$103,ROW(每日用粉紀錄表!$B$5:$B$103)-ROW(每日用粉紀錄表!$B$5)+1),ROW(20:20))),"")</f>
        <v/>
      </c>
      <c r="F26" s="14"/>
      <c r="G26" s="14"/>
      <c r="H26" s="14"/>
      <c r="I26" s="14"/>
      <c r="J26" s="14"/>
      <c r="K26" s="14"/>
    </row>
    <row r="27" spans="1:11" ht="13.5" customHeight="1" x14ac:dyDescent="0.15">
      <c r="A27" s="14"/>
      <c r="B27" s="17" t="str">
        <f t="array" ref="B27">IFERROR(INDEX(每日用粉紀錄表!$C$5:$C$105,SMALL(IF($C$4=每日用粉紀錄表!$B$5:$B$105,ROW(每日用粉紀錄表!$B$5:$B$105)-ROW(每日用粉紀錄表!$B$5)+1),ROW(21:21))),"")</f>
        <v/>
      </c>
      <c r="C27" s="18" t="str">
        <f t="array" ref="C27">IFERROR(INDEX(每日用粉紀錄表!$D$5:$D$105,SMALL(IF($C$4=每日用粉紀錄表!$B$5:$B$105,ROW(每日用粉紀錄表!$B$5:$B$105)-ROW(每日用粉紀錄表!$B$5)+1),ROW(21:21))),"")</f>
        <v/>
      </c>
      <c r="D27" s="19" t="str">
        <f t="array" ref="D27">IFERROR(INDEX(每日用粉紀錄表!$J$5:$J$103,SMALL(IF($C$4=每日用粉紀錄表!$B$5:$B$103,ROW(每日用粉紀錄表!$B$5:$B$103)-ROW(每日用粉紀錄表!$B$5)+1),ROW(21:21))),"")</f>
        <v/>
      </c>
      <c r="E27" s="20" t="str">
        <f t="array" ref="E27">IFERROR(INDEX(每日用粉紀錄表!$E$5:$E$103,SMALL(IF($C$4=每日用粉紀錄表!$B$5:$B$103,ROW(每日用粉紀錄表!$B$5:$B$103)-ROW(每日用粉紀錄表!$B$5)+1),ROW(21:21))),"")</f>
        <v/>
      </c>
      <c r="F27" s="14"/>
      <c r="G27" s="14"/>
      <c r="H27" s="14"/>
      <c r="I27" s="14"/>
      <c r="J27" s="14"/>
      <c r="K27" s="14"/>
    </row>
    <row r="28" spans="1:11" ht="13.5" customHeight="1" x14ac:dyDescent="0.15">
      <c r="A28" s="14"/>
      <c r="B28" s="17" t="str">
        <f t="array" ref="B28">IFERROR(INDEX(每日用粉紀錄表!$C$5:$C$105,SMALL(IF($C$4=每日用粉紀錄表!$B$5:$B$105,ROW(每日用粉紀錄表!$B$5:$B$105)-ROW(每日用粉紀錄表!$B$5)+1),ROW(22:22))),"")</f>
        <v/>
      </c>
      <c r="C28" s="18" t="str">
        <f t="array" ref="C28">IFERROR(INDEX(每日用粉紀錄表!$D$5:$D$105,SMALL(IF($C$4=每日用粉紀錄表!$B$5:$B$105,ROW(每日用粉紀錄表!$B$5:$B$105)-ROW(每日用粉紀錄表!$B$5)+1),ROW(22:22))),"")</f>
        <v/>
      </c>
      <c r="D28" s="19" t="str">
        <f t="array" ref="D28">IFERROR(INDEX(每日用粉紀錄表!$J$5:$J$103,SMALL(IF($C$4=每日用粉紀錄表!$B$5:$B$103,ROW(每日用粉紀錄表!$B$5:$B$103)-ROW(每日用粉紀錄表!$B$5)+1),ROW(22:22))),"")</f>
        <v/>
      </c>
      <c r="E28" s="20" t="str">
        <f t="array" ref="E28">IFERROR(INDEX(每日用粉紀錄表!$E$5:$E$103,SMALL(IF($C$4=每日用粉紀錄表!$B$5:$B$103,ROW(每日用粉紀錄表!$B$5:$B$103)-ROW(每日用粉紀錄表!$B$5)+1),ROW(22:22))),"")</f>
        <v/>
      </c>
      <c r="F28" s="14"/>
      <c r="G28" s="14"/>
      <c r="H28" s="14"/>
      <c r="I28" s="14"/>
      <c r="J28" s="14"/>
      <c r="K28" s="14"/>
    </row>
    <row r="29" spans="1:11" ht="13.5" customHeight="1" x14ac:dyDescent="0.15">
      <c r="A29" s="14"/>
      <c r="B29" s="17" t="str">
        <f t="array" ref="B29">IFERROR(INDEX(每日用粉紀錄表!$C$5:$C$105,SMALL(IF($C$4=每日用粉紀錄表!$B$5:$B$105,ROW(每日用粉紀錄表!$B$5:$B$105)-ROW(每日用粉紀錄表!$B$5)+1),ROW(23:23))),"")</f>
        <v/>
      </c>
      <c r="C29" s="18" t="str">
        <f t="array" ref="C29">IFERROR(INDEX(每日用粉紀錄表!$D$5:$D$105,SMALL(IF($C$4=每日用粉紀錄表!$B$5:$B$105,ROW(每日用粉紀錄表!$B$5:$B$105)-ROW(每日用粉紀錄表!$B$5)+1),ROW(23:23))),"")</f>
        <v/>
      </c>
      <c r="D29" s="19" t="str">
        <f t="array" ref="D29">IFERROR(INDEX(每日用粉紀錄表!$J$5:$J$103,SMALL(IF($C$4=每日用粉紀錄表!$B$5:$B$103,ROW(每日用粉紀錄表!$B$5:$B$103)-ROW(每日用粉紀錄表!$B$5)+1),ROW(23:23))),"")</f>
        <v/>
      </c>
      <c r="E29" s="20" t="str">
        <f t="array" ref="E29">IFERROR(INDEX(每日用粉紀錄表!$E$5:$E$103,SMALL(IF($C$4=每日用粉紀錄表!$B$5:$B$103,ROW(每日用粉紀錄表!$B$5:$B$103)-ROW(每日用粉紀錄表!$B$5)+1),ROW(23:23))),"")</f>
        <v/>
      </c>
      <c r="F29" s="14"/>
      <c r="G29" s="14"/>
      <c r="H29" s="14"/>
      <c r="I29" s="14"/>
      <c r="J29" s="14"/>
      <c r="K29" s="14"/>
    </row>
    <row r="30" spans="1:11" ht="13.5" customHeight="1" x14ac:dyDescent="0.15">
      <c r="A30" s="14"/>
      <c r="B30" s="17" t="str">
        <f t="array" ref="B30">IFERROR(INDEX(每日用粉紀錄表!$C$5:$C$105,SMALL(IF($C$4=每日用粉紀錄表!$B$5:$B$105,ROW(每日用粉紀錄表!$B$5:$B$105)-ROW(每日用粉紀錄表!$B$5)+1),ROW(24:24))),"")</f>
        <v/>
      </c>
      <c r="C30" s="18" t="str">
        <f t="array" ref="C30">IFERROR(INDEX(每日用粉紀錄表!$D$5:$D$105,SMALL(IF($C$4=每日用粉紀錄表!$B$5:$B$105,ROW(每日用粉紀錄表!$B$5:$B$105)-ROW(每日用粉紀錄表!$B$5)+1),ROW(24:24))),"")</f>
        <v/>
      </c>
      <c r="D30" s="19" t="str">
        <f t="array" ref="D30">IFERROR(INDEX(每日用粉紀錄表!$J$5:$J$103,SMALL(IF($C$4=每日用粉紀錄表!$B$5:$B$103,ROW(每日用粉紀錄表!$B$5:$B$103)-ROW(每日用粉紀錄表!$B$5)+1),ROW(24:24))),"")</f>
        <v/>
      </c>
      <c r="E30" s="20" t="str">
        <f t="array" ref="E30">IFERROR(INDEX(每日用粉紀錄表!$E$5:$E$103,SMALL(IF($C$4=每日用粉紀錄表!$B$5:$B$103,ROW(每日用粉紀錄表!$B$5:$B$103)-ROW(每日用粉紀錄表!$B$5)+1),ROW(24:24))),"")</f>
        <v/>
      </c>
      <c r="F30" s="14"/>
      <c r="G30" s="14"/>
      <c r="H30" s="14"/>
      <c r="I30" s="14"/>
      <c r="J30" s="14"/>
      <c r="K30" s="14"/>
    </row>
    <row r="31" spans="1:11" ht="13.5" customHeight="1" x14ac:dyDescent="0.15">
      <c r="A31" s="14"/>
      <c r="B31" s="17" t="str">
        <f t="array" ref="B31">IFERROR(INDEX(每日用粉紀錄表!$C$5:$C$105,SMALL(IF($C$4=每日用粉紀錄表!$B$5:$B$105,ROW(每日用粉紀錄表!$B$5:$B$105)-ROW(每日用粉紀錄表!$B$5)+1),ROW(25:25))),"")</f>
        <v/>
      </c>
      <c r="C31" s="18" t="str">
        <f t="array" ref="C31">IFERROR(INDEX(每日用粉紀錄表!$D$5:$D$105,SMALL(IF($C$4=每日用粉紀錄表!$B$5:$B$105,ROW(每日用粉紀錄表!$B$5:$B$105)-ROW(每日用粉紀錄表!$B$5)+1),ROW(25:25))),"")</f>
        <v/>
      </c>
      <c r="D31" s="19" t="str">
        <f t="array" ref="D31">IFERROR(INDEX(每日用粉紀錄表!$J$5:$J$103,SMALL(IF($C$4=每日用粉紀錄表!$B$5:$B$103,ROW(每日用粉紀錄表!$B$5:$B$103)-ROW(每日用粉紀錄表!$B$5)+1),ROW(25:25))),"")</f>
        <v/>
      </c>
      <c r="E31" s="20" t="str">
        <f t="array" ref="E31">IFERROR(INDEX(每日用粉紀錄表!$E$5:$E$103,SMALL(IF($C$4=每日用粉紀錄表!$B$5:$B$103,ROW(每日用粉紀錄表!$B$5:$B$103)-ROW(每日用粉紀錄表!$B$5)+1),ROW(25:25))),"")</f>
        <v/>
      </c>
      <c r="F31" s="14"/>
      <c r="G31" s="14"/>
      <c r="H31" s="14"/>
      <c r="I31" s="14"/>
      <c r="J31" s="14"/>
      <c r="K31" s="14"/>
    </row>
    <row r="32" spans="1:11" ht="13.5" customHeight="1" x14ac:dyDescent="0.15">
      <c r="A32" s="14"/>
      <c r="B32" s="17" t="str">
        <f t="array" ref="B32">IFERROR(INDEX(每日用粉紀錄表!$C$5:$C$105,SMALL(IF($C$4=每日用粉紀錄表!$B$5:$B$105,ROW(每日用粉紀錄表!$B$5:$B$105)-ROW(每日用粉紀錄表!$B$5)+1),ROW(26:26))),"")</f>
        <v/>
      </c>
      <c r="C32" s="18" t="str">
        <f t="array" ref="C32">IFERROR(INDEX(每日用粉紀錄表!$D$5:$D$105,SMALL(IF($C$4=每日用粉紀錄表!$B$5:$B$105,ROW(每日用粉紀錄表!$B$5:$B$105)-ROW(每日用粉紀錄表!$B$5)+1),ROW(26:26))),"")</f>
        <v/>
      </c>
      <c r="D32" s="19" t="str">
        <f t="array" ref="D32">IFERROR(INDEX(每日用粉紀錄表!$J$5:$J$103,SMALL(IF($C$4=每日用粉紀錄表!$B$5:$B$103,ROW(每日用粉紀錄表!$B$5:$B$103)-ROW(每日用粉紀錄表!$B$5)+1),ROW(26:26))),"")</f>
        <v/>
      </c>
      <c r="E32" s="20" t="str">
        <f t="array" ref="E32">IFERROR(INDEX(每日用粉紀錄表!$E$5:$E$103,SMALL(IF($C$4=每日用粉紀錄表!$B$5:$B$103,ROW(每日用粉紀錄表!$B$5:$B$103)-ROW(每日用粉紀錄表!$B$5)+1),ROW(26:26))),"")</f>
        <v/>
      </c>
      <c r="F32" s="14"/>
      <c r="G32" s="14"/>
      <c r="H32" s="14"/>
      <c r="I32" s="14"/>
      <c r="J32" s="14"/>
      <c r="K32" s="14"/>
    </row>
    <row r="33" spans="1:11" ht="13.5" customHeight="1" x14ac:dyDescent="0.15">
      <c r="A33" s="14"/>
      <c r="B33" s="17" t="str">
        <f t="array" ref="B33">IFERROR(INDEX(每日用粉紀錄表!$C$5:$C$105,SMALL(IF($C$4=每日用粉紀錄表!$B$5:$B$105,ROW(每日用粉紀錄表!$B$5:$B$105)-ROW(每日用粉紀錄表!$B$5)+1),ROW(27:27))),"")</f>
        <v/>
      </c>
      <c r="C33" s="18" t="str">
        <f t="array" ref="C33">IFERROR(INDEX(每日用粉紀錄表!$D$5:$D$105,SMALL(IF($C$4=每日用粉紀錄表!$B$5:$B$105,ROW(每日用粉紀錄表!$B$5:$B$105)-ROW(每日用粉紀錄表!$B$5)+1),ROW(27:27))),"")</f>
        <v/>
      </c>
      <c r="D33" s="19" t="str">
        <f t="array" ref="D33">IFERROR(INDEX(每日用粉紀錄表!$J$5:$J$103,SMALL(IF($C$4=每日用粉紀錄表!$B$5:$B$103,ROW(每日用粉紀錄表!$B$5:$B$103)-ROW(每日用粉紀錄表!$B$5)+1),ROW(27:27))),"")</f>
        <v/>
      </c>
      <c r="E33" s="20" t="str">
        <f t="array" ref="E33">IFERROR(INDEX(每日用粉紀錄表!$E$5:$E$103,SMALL(IF($C$4=每日用粉紀錄表!$B$5:$B$103,ROW(每日用粉紀錄表!$B$5:$B$103)-ROW(每日用粉紀錄表!$B$5)+1),ROW(27:27))),"")</f>
        <v/>
      </c>
      <c r="F33" s="14"/>
      <c r="G33" s="14"/>
      <c r="H33" s="14"/>
      <c r="I33" s="14"/>
      <c r="J33" s="14"/>
      <c r="K33" s="14"/>
    </row>
    <row r="34" spans="1:11" ht="13.5" customHeight="1" x14ac:dyDescent="0.15">
      <c r="A34" s="14"/>
      <c r="B34" s="14"/>
      <c r="C34" s="14"/>
      <c r="D34" s="14"/>
      <c r="E34" s="14"/>
      <c r="F34" s="14"/>
      <c r="G34" s="14"/>
      <c r="H34" s="14"/>
      <c r="I34" s="14"/>
      <c r="J34" s="14"/>
      <c r="K34" s="14"/>
    </row>
    <row r="35" spans="1:11" ht="13.5" customHeight="1" x14ac:dyDescent="0.15">
      <c r="A35" s="14"/>
      <c r="B35" s="14"/>
      <c r="C35" s="14"/>
      <c r="D35" s="14"/>
      <c r="E35" s="14"/>
      <c r="F35" s="14"/>
      <c r="G35" s="14"/>
      <c r="H35" s="14"/>
      <c r="I35" s="14"/>
      <c r="J35" s="14"/>
      <c r="K35" s="14"/>
    </row>
    <row r="36" spans="1:11" ht="13.5" customHeight="1" x14ac:dyDescent="0.15">
      <c r="A36" s="14"/>
      <c r="B36" s="14"/>
      <c r="C36" s="14"/>
      <c r="D36" s="14"/>
      <c r="E36" s="14"/>
      <c r="F36" s="14"/>
      <c r="G36" s="14"/>
      <c r="H36" s="14"/>
      <c r="I36" s="14"/>
      <c r="J36" s="14"/>
      <c r="K36" s="14"/>
    </row>
    <row r="37" spans="1:11" ht="13.5" customHeight="1" x14ac:dyDescent="0.15">
      <c r="A37" s="14"/>
      <c r="B37" s="14"/>
      <c r="C37" s="14"/>
      <c r="D37" s="14"/>
      <c r="E37" s="14"/>
      <c r="F37" s="14"/>
      <c r="G37" s="14"/>
      <c r="H37" s="14"/>
      <c r="I37" s="14"/>
      <c r="J37" s="14"/>
      <c r="K37" s="14"/>
    </row>
    <row r="38" spans="1:11" ht="13.5" customHeight="1" x14ac:dyDescent="0.15">
      <c r="A38" s="14"/>
      <c r="B38" s="14"/>
      <c r="C38" s="14"/>
      <c r="D38" s="14"/>
      <c r="E38" s="14"/>
      <c r="F38" s="14"/>
      <c r="G38" s="14"/>
      <c r="H38" s="14"/>
      <c r="I38" s="14"/>
      <c r="J38" s="14"/>
      <c r="K38" s="14"/>
    </row>
    <row r="39" spans="1:11" ht="13.5" customHeight="1" x14ac:dyDescent="0.15">
      <c r="A39" s="14"/>
      <c r="B39" s="14"/>
      <c r="C39" s="14"/>
      <c r="D39" s="14"/>
      <c r="E39" s="14"/>
      <c r="F39" s="14"/>
      <c r="G39" s="14"/>
      <c r="H39" s="14"/>
      <c r="I39" s="14"/>
      <c r="J39" s="14"/>
      <c r="K39" s="14"/>
    </row>
    <row r="40" spans="1:11" ht="13.5" customHeight="1" x14ac:dyDescent="0.15">
      <c r="A40" s="14"/>
      <c r="B40" s="14"/>
      <c r="C40" s="14"/>
      <c r="D40" s="14"/>
      <c r="E40" s="14"/>
      <c r="F40" s="14"/>
      <c r="G40" s="14"/>
      <c r="H40" s="14"/>
      <c r="I40" s="14"/>
      <c r="J40" s="14"/>
      <c r="K40" s="14"/>
    </row>
    <row r="41" spans="1:11" ht="13.5" customHeight="1" x14ac:dyDescent="0.15">
      <c r="A41" s="14"/>
      <c r="B41" s="14"/>
      <c r="C41" s="14"/>
      <c r="D41" s="14"/>
      <c r="E41" s="14"/>
      <c r="F41" s="14"/>
      <c r="G41" s="14"/>
      <c r="H41" s="14"/>
      <c r="I41" s="14"/>
      <c r="J41" s="14"/>
      <c r="K41" s="14"/>
    </row>
    <row r="42" spans="1:11" ht="13.5" customHeight="1" x14ac:dyDescent="0.15">
      <c r="A42" s="14"/>
      <c r="B42" s="14"/>
      <c r="C42" s="14"/>
      <c r="D42" s="14"/>
      <c r="E42" s="14"/>
      <c r="F42" s="14"/>
      <c r="G42" s="14"/>
      <c r="H42" s="14"/>
      <c r="I42" s="14"/>
      <c r="J42" s="14"/>
      <c r="K42" s="14"/>
    </row>
    <row r="43" spans="1:11" ht="13.5" customHeight="1" x14ac:dyDescent="0.15">
      <c r="A43" s="14"/>
      <c r="B43" s="14"/>
      <c r="C43" s="14"/>
      <c r="D43" s="14"/>
      <c r="E43" s="14"/>
      <c r="F43" s="14"/>
      <c r="G43" s="14"/>
      <c r="H43" s="14"/>
      <c r="I43" s="14"/>
      <c r="J43" s="14"/>
      <c r="K43" s="14"/>
    </row>
    <row r="44" spans="1:11" ht="13.5" customHeight="1" x14ac:dyDescent="0.15">
      <c r="A44" s="14"/>
      <c r="B44" s="14"/>
      <c r="C44" s="14"/>
      <c r="D44" s="14"/>
      <c r="E44" s="14"/>
      <c r="F44" s="14"/>
      <c r="G44" s="14"/>
      <c r="H44" s="14"/>
      <c r="I44" s="14"/>
      <c r="J44" s="14"/>
      <c r="K44" s="14"/>
    </row>
    <row r="45" spans="1:11" ht="13.5" customHeight="1" x14ac:dyDescent="0.15">
      <c r="A45" s="14"/>
      <c r="B45" s="14"/>
      <c r="C45" s="14"/>
      <c r="D45" s="14"/>
      <c r="E45" s="14"/>
      <c r="F45" s="14"/>
      <c r="G45" s="14"/>
      <c r="H45" s="14"/>
      <c r="I45" s="14"/>
      <c r="J45" s="14"/>
      <c r="K45" s="14"/>
    </row>
    <row r="46" spans="1:11" ht="13.5" customHeight="1" x14ac:dyDescent="0.15">
      <c r="A46" s="14"/>
      <c r="B46" s="14"/>
      <c r="C46" s="14"/>
      <c r="D46" s="14"/>
      <c r="E46" s="14"/>
      <c r="F46" s="14"/>
      <c r="G46" s="14"/>
      <c r="H46" s="14"/>
      <c r="I46" s="14"/>
      <c r="J46" s="14"/>
      <c r="K46" s="14"/>
    </row>
    <row r="47" spans="1:11" ht="13.5" customHeight="1" x14ac:dyDescent="0.15">
      <c r="A47" s="14"/>
      <c r="B47" s="14"/>
      <c r="C47" s="14"/>
      <c r="D47" s="14"/>
      <c r="E47" s="14"/>
      <c r="F47" s="14"/>
      <c r="G47" s="14"/>
      <c r="H47" s="14"/>
      <c r="I47" s="14"/>
      <c r="J47" s="14"/>
      <c r="K47" s="14"/>
    </row>
    <row r="48" spans="1:11" ht="13.5" customHeight="1" x14ac:dyDescent="0.15">
      <c r="A48" s="14"/>
      <c r="B48" s="14"/>
      <c r="C48" s="14"/>
      <c r="D48" s="14"/>
      <c r="E48" s="14"/>
      <c r="F48" s="14"/>
      <c r="G48" s="14"/>
      <c r="H48" s="14"/>
      <c r="I48" s="14"/>
      <c r="J48" s="14"/>
      <c r="K48" s="14"/>
    </row>
    <row r="49" spans="1:11" ht="13.5" customHeight="1" x14ac:dyDescent="0.15">
      <c r="A49" s="14"/>
      <c r="B49" s="14"/>
      <c r="C49" s="14"/>
      <c r="D49" s="14"/>
      <c r="E49" s="14"/>
      <c r="F49" s="14"/>
      <c r="G49" s="14"/>
      <c r="H49" s="14"/>
      <c r="I49" s="14"/>
      <c r="J49" s="14"/>
      <c r="K49" s="14"/>
    </row>
    <row r="50" spans="1:11" ht="13.5" customHeight="1" x14ac:dyDescent="0.15">
      <c r="A50" s="14"/>
      <c r="B50" s="14"/>
      <c r="C50" s="14"/>
      <c r="D50" s="14"/>
      <c r="E50" s="14"/>
      <c r="F50" s="14"/>
      <c r="G50" s="14"/>
      <c r="H50" s="14"/>
      <c r="I50" s="14"/>
      <c r="J50" s="14"/>
      <c r="K50" s="14"/>
    </row>
    <row r="51" spans="1:11" ht="13.5" customHeight="1" x14ac:dyDescent="0.15">
      <c r="A51" s="14"/>
      <c r="B51" s="14"/>
      <c r="C51" s="14"/>
      <c r="D51" s="14"/>
      <c r="E51" s="14"/>
      <c r="F51" s="14"/>
      <c r="G51" s="14"/>
      <c r="H51" s="14"/>
      <c r="I51" s="14"/>
      <c r="J51" s="14"/>
      <c r="K51" s="14"/>
    </row>
    <row r="52" spans="1:11" ht="13.5" customHeight="1" x14ac:dyDescent="0.15">
      <c r="A52" s="14"/>
      <c r="B52" s="14"/>
      <c r="C52" s="14"/>
      <c r="D52" s="14"/>
      <c r="E52" s="14"/>
      <c r="F52" s="14"/>
      <c r="G52" s="14"/>
      <c r="H52" s="14"/>
      <c r="I52" s="14"/>
      <c r="J52" s="14"/>
      <c r="K52" s="14"/>
    </row>
    <row r="53" spans="1:11" ht="13.5" customHeight="1" x14ac:dyDescent="0.15">
      <c r="A53" s="14"/>
      <c r="B53" s="14"/>
      <c r="C53" s="14"/>
      <c r="D53" s="14"/>
      <c r="E53" s="14"/>
      <c r="F53" s="14"/>
      <c r="G53" s="14"/>
      <c r="H53" s="14"/>
      <c r="I53" s="14"/>
      <c r="J53" s="14"/>
      <c r="K53" s="14"/>
    </row>
    <row r="54" spans="1:11" ht="13.5" customHeight="1" x14ac:dyDescent="0.15">
      <c r="A54" s="14"/>
      <c r="B54" s="14"/>
      <c r="C54" s="14"/>
      <c r="D54" s="14"/>
      <c r="E54" s="14"/>
      <c r="F54" s="14"/>
      <c r="G54" s="14"/>
      <c r="H54" s="14"/>
      <c r="I54" s="14"/>
      <c r="J54" s="14"/>
      <c r="K54" s="14"/>
    </row>
    <row r="55" spans="1:11" ht="13.5" customHeight="1" x14ac:dyDescent="0.15">
      <c r="A55" s="14"/>
      <c r="B55" s="14"/>
      <c r="C55" s="14"/>
      <c r="D55" s="14"/>
      <c r="E55" s="14"/>
      <c r="F55" s="14"/>
      <c r="G55" s="14"/>
      <c r="H55" s="14"/>
      <c r="I55" s="14"/>
      <c r="J55" s="14"/>
      <c r="K55" s="14"/>
    </row>
    <row r="56" spans="1:11" ht="13.5" customHeight="1" x14ac:dyDescent="0.15">
      <c r="A56" s="14"/>
      <c r="B56" s="14"/>
      <c r="C56" s="14"/>
      <c r="D56" s="14"/>
      <c r="E56" s="14"/>
      <c r="F56" s="14"/>
      <c r="G56" s="14"/>
      <c r="H56" s="14"/>
      <c r="I56" s="14"/>
      <c r="J56" s="14"/>
      <c r="K56" s="14"/>
    </row>
    <row r="57" spans="1:11" ht="13.5" customHeight="1" x14ac:dyDescent="0.15">
      <c r="A57" s="14"/>
      <c r="B57" s="14"/>
      <c r="C57" s="14"/>
      <c r="D57" s="14"/>
      <c r="E57" s="14"/>
      <c r="F57" s="14"/>
      <c r="G57" s="14"/>
      <c r="H57" s="14"/>
      <c r="I57" s="14"/>
      <c r="J57" s="14"/>
      <c r="K57" s="14"/>
    </row>
    <row r="58" spans="1:11" ht="13.5" customHeight="1" x14ac:dyDescent="0.15">
      <c r="A58" s="14"/>
      <c r="B58" s="14"/>
      <c r="C58" s="14"/>
      <c r="D58" s="14"/>
      <c r="E58" s="14"/>
      <c r="F58" s="14"/>
      <c r="G58" s="14"/>
      <c r="H58" s="14"/>
      <c r="I58" s="14"/>
      <c r="J58" s="14"/>
      <c r="K58" s="14"/>
    </row>
    <row r="59" spans="1:11" ht="13.5" customHeight="1" x14ac:dyDescent="0.15">
      <c r="A59" s="14"/>
      <c r="B59" s="14"/>
      <c r="C59" s="14"/>
      <c r="D59" s="14"/>
      <c r="E59" s="14"/>
      <c r="F59" s="14"/>
      <c r="G59" s="14"/>
      <c r="H59" s="14"/>
      <c r="I59" s="14"/>
      <c r="J59" s="14"/>
      <c r="K59" s="14"/>
    </row>
    <row r="60" spans="1:11" ht="13.5" customHeight="1" x14ac:dyDescent="0.15">
      <c r="A60" s="14"/>
      <c r="B60" s="14"/>
      <c r="C60" s="14"/>
      <c r="D60" s="14"/>
      <c r="E60" s="14"/>
      <c r="F60" s="14"/>
      <c r="G60" s="14"/>
      <c r="H60" s="14"/>
      <c r="I60" s="14"/>
      <c r="J60" s="14"/>
      <c r="K60" s="14"/>
    </row>
    <row r="61" spans="1:11" ht="13.5" customHeight="1" x14ac:dyDescent="0.15">
      <c r="A61" s="14"/>
      <c r="B61" s="14"/>
      <c r="C61" s="14"/>
      <c r="D61" s="14"/>
      <c r="E61" s="14"/>
      <c r="F61" s="14"/>
      <c r="G61" s="14"/>
      <c r="H61" s="14"/>
      <c r="I61" s="14"/>
      <c r="J61" s="14"/>
      <c r="K61" s="14"/>
    </row>
    <row r="62" spans="1:11" ht="13.5" customHeight="1" x14ac:dyDescent="0.15">
      <c r="A62" s="14"/>
      <c r="B62" s="14"/>
      <c r="C62" s="14"/>
      <c r="D62" s="14"/>
      <c r="E62" s="14"/>
      <c r="F62" s="14"/>
      <c r="G62" s="14"/>
      <c r="H62" s="14"/>
      <c r="I62" s="14"/>
      <c r="J62" s="14"/>
      <c r="K62" s="14"/>
    </row>
    <row r="63" spans="1:11" ht="13.5" customHeight="1" x14ac:dyDescent="0.15">
      <c r="A63" s="14"/>
      <c r="B63" s="14"/>
      <c r="C63" s="14"/>
      <c r="D63" s="14"/>
      <c r="E63" s="14"/>
      <c r="F63" s="14"/>
      <c r="G63" s="14"/>
      <c r="H63" s="14"/>
      <c r="I63" s="14"/>
      <c r="J63" s="14"/>
      <c r="K63" s="14"/>
    </row>
    <row r="64" spans="1:11" ht="13.5" customHeight="1" x14ac:dyDescent="0.15">
      <c r="A64" s="14"/>
      <c r="B64" s="14"/>
      <c r="C64" s="14"/>
      <c r="D64" s="14"/>
      <c r="E64" s="14"/>
      <c r="F64" s="14"/>
      <c r="G64" s="14"/>
      <c r="H64" s="14"/>
      <c r="I64" s="14"/>
      <c r="J64" s="14"/>
      <c r="K64" s="14"/>
    </row>
    <row r="65" spans="1:11" ht="13.5" customHeight="1" x14ac:dyDescent="0.15">
      <c r="A65" s="14"/>
      <c r="B65" s="14"/>
      <c r="C65" s="14"/>
      <c r="D65" s="14"/>
      <c r="E65" s="14"/>
      <c r="F65" s="14"/>
      <c r="G65" s="14"/>
      <c r="H65" s="14"/>
      <c r="I65" s="14"/>
      <c r="J65" s="14"/>
      <c r="K65" s="14"/>
    </row>
    <row r="66" spans="1:11" ht="13.5" customHeight="1" x14ac:dyDescent="0.15">
      <c r="A66" s="14"/>
      <c r="B66" s="14"/>
      <c r="C66" s="14"/>
      <c r="D66" s="14"/>
      <c r="E66" s="14"/>
      <c r="F66" s="14"/>
      <c r="G66" s="14"/>
      <c r="H66" s="14"/>
      <c r="I66" s="14"/>
      <c r="J66" s="14"/>
      <c r="K66" s="14"/>
    </row>
    <row r="67" spans="1:11" ht="13.5" customHeight="1" x14ac:dyDescent="0.15">
      <c r="A67" s="14"/>
      <c r="B67" s="14"/>
      <c r="C67" s="14"/>
      <c r="D67" s="14"/>
      <c r="E67" s="14"/>
      <c r="F67" s="14"/>
      <c r="G67" s="14"/>
      <c r="H67" s="14"/>
      <c r="I67" s="14"/>
      <c r="J67" s="14"/>
      <c r="K67" s="14"/>
    </row>
    <row r="68" spans="1:11" ht="13.5" customHeight="1" x14ac:dyDescent="0.15">
      <c r="A68" s="14"/>
      <c r="B68" s="14"/>
      <c r="C68" s="14"/>
      <c r="D68" s="14"/>
      <c r="E68" s="14"/>
      <c r="F68" s="14"/>
      <c r="G68" s="14"/>
      <c r="H68" s="14"/>
      <c r="I68" s="14"/>
      <c r="J68" s="14"/>
      <c r="K68" s="14"/>
    </row>
    <row r="69" spans="1:11" ht="13.5" customHeight="1" x14ac:dyDescent="0.15">
      <c r="A69" s="14"/>
      <c r="B69" s="14"/>
      <c r="C69" s="14"/>
      <c r="D69" s="14"/>
      <c r="E69" s="14"/>
      <c r="F69" s="14"/>
      <c r="G69" s="14"/>
      <c r="H69" s="14"/>
      <c r="I69" s="14"/>
      <c r="J69" s="14"/>
      <c r="K69" s="14"/>
    </row>
    <row r="70" spans="1:11" ht="13.5" customHeight="1" x14ac:dyDescent="0.15">
      <c r="A70" s="14"/>
      <c r="B70" s="14"/>
      <c r="C70" s="14"/>
      <c r="D70" s="14"/>
      <c r="E70" s="14"/>
      <c r="F70" s="14"/>
      <c r="G70" s="14"/>
      <c r="H70" s="14"/>
      <c r="I70" s="14"/>
      <c r="J70" s="14"/>
      <c r="K70" s="14"/>
    </row>
    <row r="71" spans="1:11" ht="13.5" customHeight="1" x14ac:dyDescent="0.15">
      <c r="A71" s="14"/>
      <c r="B71" s="14"/>
      <c r="C71" s="14"/>
      <c r="D71" s="14"/>
      <c r="E71" s="14"/>
      <c r="F71" s="14"/>
      <c r="G71" s="14"/>
      <c r="H71" s="14"/>
      <c r="I71" s="14"/>
      <c r="J71" s="14"/>
      <c r="K71" s="14"/>
    </row>
    <row r="72" spans="1:11" ht="13.5" customHeight="1" x14ac:dyDescent="0.15">
      <c r="A72" s="14"/>
      <c r="B72" s="14"/>
      <c r="C72" s="14"/>
      <c r="D72" s="14"/>
      <c r="E72" s="14"/>
      <c r="F72" s="14"/>
      <c r="G72" s="14"/>
      <c r="H72" s="14"/>
      <c r="I72" s="14"/>
      <c r="J72" s="14"/>
      <c r="K72" s="14"/>
    </row>
    <row r="73" spans="1:11" ht="13.5" customHeight="1" x14ac:dyDescent="0.15">
      <c r="A73" s="14"/>
      <c r="B73" s="14"/>
      <c r="C73" s="14"/>
      <c r="D73" s="14"/>
      <c r="E73" s="14"/>
      <c r="F73" s="14"/>
      <c r="G73" s="14"/>
      <c r="H73" s="14"/>
      <c r="I73" s="14"/>
      <c r="J73" s="14"/>
      <c r="K73" s="14"/>
    </row>
    <row r="74" spans="1:11" ht="13.5" customHeight="1" x14ac:dyDescent="0.15">
      <c r="A74" s="14"/>
      <c r="B74" s="14"/>
      <c r="C74" s="14"/>
      <c r="D74" s="14"/>
      <c r="E74" s="14"/>
      <c r="F74" s="14"/>
      <c r="G74" s="14"/>
      <c r="H74" s="14"/>
      <c r="I74" s="14"/>
      <c r="J74" s="14"/>
      <c r="K74" s="14"/>
    </row>
    <row r="75" spans="1:11" ht="13.5" customHeight="1" x14ac:dyDescent="0.15">
      <c r="A75" s="14"/>
      <c r="B75" s="14"/>
      <c r="C75" s="14"/>
      <c r="D75" s="14"/>
      <c r="E75" s="14"/>
      <c r="F75" s="14"/>
      <c r="G75" s="14"/>
      <c r="H75" s="14"/>
      <c r="I75" s="14"/>
      <c r="J75" s="14"/>
      <c r="K75" s="14"/>
    </row>
    <row r="76" spans="1:11" ht="13.5" customHeight="1" x14ac:dyDescent="0.15">
      <c r="A76" s="14"/>
      <c r="B76" s="14"/>
      <c r="C76" s="14"/>
      <c r="D76" s="14"/>
      <c r="E76" s="14"/>
      <c r="F76" s="14"/>
      <c r="G76" s="14"/>
      <c r="H76" s="14"/>
      <c r="I76" s="14"/>
      <c r="J76" s="14"/>
      <c r="K76" s="14"/>
    </row>
    <row r="77" spans="1:11" ht="13.5" customHeight="1" x14ac:dyDescent="0.15">
      <c r="A77" s="14"/>
      <c r="B77" s="14"/>
      <c r="C77" s="14"/>
      <c r="D77" s="14"/>
      <c r="E77" s="14"/>
      <c r="F77" s="14"/>
      <c r="G77" s="14"/>
      <c r="H77" s="14"/>
      <c r="I77" s="14"/>
      <c r="J77" s="14"/>
      <c r="K77" s="14"/>
    </row>
    <row r="78" spans="1:11" ht="13.5" customHeight="1" x14ac:dyDescent="0.15">
      <c r="A78" s="14"/>
      <c r="B78" s="14"/>
      <c r="C78" s="14"/>
      <c r="D78" s="14"/>
      <c r="E78" s="14"/>
      <c r="F78" s="14"/>
      <c r="G78" s="14"/>
      <c r="H78" s="14"/>
      <c r="I78" s="14"/>
      <c r="J78" s="14"/>
      <c r="K78" s="14"/>
    </row>
    <row r="79" spans="1:11" ht="13.5" customHeight="1" x14ac:dyDescent="0.15">
      <c r="A79" s="14"/>
      <c r="B79" s="14"/>
      <c r="C79" s="14"/>
      <c r="D79" s="14"/>
      <c r="E79" s="14"/>
      <c r="F79" s="14"/>
      <c r="G79" s="14"/>
      <c r="H79" s="14"/>
      <c r="I79" s="14"/>
      <c r="J79" s="14"/>
      <c r="K79" s="14"/>
    </row>
    <row r="80" spans="1:11" ht="13.5" customHeight="1" x14ac:dyDescent="0.15">
      <c r="A80" s="14"/>
      <c r="B80" s="14"/>
      <c r="C80" s="14"/>
      <c r="D80" s="14"/>
      <c r="E80" s="14"/>
      <c r="F80" s="14"/>
      <c r="G80" s="14"/>
      <c r="H80" s="14"/>
      <c r="I80" s="14"/>
      <c r="J80" s="14"/>
      <c r="K80" s="14"/>
    </row>
    <row r="81" spans="1:11" ht="13.5" customHeight="1" x14ac:dyDescent="0.15">
      <c r="A81" s="14"/>
      <c r="B81" s="14"/>
      <c r="C81" s="14"/>
      <c r="D81" s="14"/>
      <c r="E81" s="14"/>
      <c r="F81" s="14"/>
      <c r="G81" s="14"/>
      <c r="H81" s="14"/>
      <c r="I81" s="14"/>
      <c r="J81" s="14"/>
      <c r="K81" s="14"/>
    </row>
    <row r="82" spans="1:11" ht="13.5" customHeight="1" x14ac:dyDescent="0.15">
      <c r="A82" s="14"/>
      <c r="B82" s="14"/>
      <c r="C82" s="14"/>
      <c r="D82" s="14"/>
      <c r="E82" s="14"/>
      <c r="F82" s="14"/>
      <c r="G82" s="14"/>
      <c r="H82" s="14"/>
      <c r="I82" s="14"/>
      <c r="J82" s="14"/>
      <c r="K82" s="14"/>
    </row>
    <row r="83" spans="1:11" ht="13.5" customHeight="1" x14ac:dyDescent="0.15">
      <c r="A83" s="14"/>
      <c r="B83" s="14"/>
      <c r="C83" s="14"/>
      <c r="D83" s="14"/>
      <c r="E83" s="14"/>
      <c r="F83" s="14"/>
      <c r="G83" s="14"/>
      <c r="H83" s="14"/>
      <c r="I83" s="14"/>
      <c r="J83" s="14"/>
      <c r="K83" s="14"/>
    </row>
    <row r="84" spans="1:11" ht="13.5" customHeight="1" x14ac:dyDescent="0.15">
      <c r="A84" s="14"/>
      <c r="B84" s="14"/>
      <c r="C84" s="14"/>
      <c r="D84" s="14"/>
      <c r="E84" s="14"/>
      <c r="F84" s="14"/>
      <c r="G84" s="14"/>
      <c r="H84" s="14"/>
      <c r="I84" s="14"/>
      <c r="J84" s="14"/>
      <c r="K84" s="14"/>
    </row>
    <row r="85" spans="1:11" ht="13.5" customHeight="1" x14ac:dyDescent="0.15">
      <c r="A85" s="14"/>
      <c r="B85" s="14"/>
      <c r="C85" s="14"/>
      <c r="D85" s="14"/>
      <c r="E85" s="14"/>
      <c r="F85" s="14"/>
      <c r="G85" s="14"/>
      <c r="H85" s="14"/>
      <c r="I85" s="14"/>
      <c r="J85" s="14"/>
      <c r="K85" s="14"/>
    </row>
    <row r="86" spans="1:11" ht="13.5" customHeight="1" x14ac:dyDescent="0.15">
      <c r="A86" s="14"/>
      <c r="B86" s="14"/>
      <c r="C86" s="14"/>
      <c r="D86" s="14"/>
      <c r="E86" s="14"/>
      <c r="F86" s="14"/>
      <c r="G86" s="14"/>
      <c r="H86" s="14"/>
      <c r="I86" s="14"/>
      <c r="J86" s="14"/>
      <c r="K86" s="14"/>
    </row>
    <row r="87" spans="1:11" ht="13.5" customHeight="1" x14ac:dyDescent="0.15">
      <c r="A87" s="14"/>
      <c r="B87" s="14"/>
      <c r="C87" s="14"/>
      <c r="D87" s="14"/>
      <c r="E87" s="14"/>
      <c r="F87" s="14"/>
      <c r="G87" s="14"/>
      <c r="H87" s="14"/>
      <c r="I87" s="14"/>
      <c r="J87" s="14"/>
      <c r="K87" s="14"/>
    </row>
    <row r="88" spans="1:11" ht="13.5" customHeight="1" x14ac:dyDescent="0.15">
      <c r="A88" s="14"/>
      <c r="B88" s="14"/>
      <c r="C88" s="14"/>
      <c r="D88" s="14"/>
      <c r="E88" s="14"/>
      <c r="F88" s="14"/>
      <c r="G88" s="14"/>
      <c r="H88" s="14"/>
      <c r="I88" s="14"/>
      <c r="J88" s="14"/>
      <c r="K88" s="14"/>
    </row>
    <row r="89" spans="1:11" ht="13.5" customHeight="1" x14ac:dyDescent="0.15">
      <c r="A89" s="14"/>
      <c r="B89" s="14"/>
      <c r="C89" s="14"/>
      <c r="D89" s="14"/>
      <c r="E89" s="14"/>
      <c r="F89" s="14"/>
      <c r="G89" s="14"/>
      <c r="H89" s="14"/>
      <c r="I89" s="14"/>
      <c r="J89" s="14"/>
      <c r="K89" s="14"/>
    </row>
    <row r="90" spans="1:11" ht="13.5" customHeight="1" x14ac:dyDescent="0.15">
      <c r="A90" s="14"/>
      <c r="B90" s="14"/>
      <c r="C90" s="14"/>
      <c r="D90" s="14"/>
      <c r="E90" s="14"/>
      <c r="F90" s="14"/>
      <c r="G90" s="14"/>
      <c r="H90" s="14"/>
      <c r="I90" s="14"/>
      <c r="J90" s="14"/>
      <c r="K90" s="14"/>
    </row>
    <row r="91" spans="1:11" ht="13.5" customHeight="1" x14ac:dyDescent="0.15">
      <c r="A91" s="14"/>
      <c r="B91" s="14"/>
      <c r="C91" s="14"/>
      <c r="D91" s="14"/>
      <c r="E91" s="14"/>
      <c r="F91" s="14"/>
      <c r="G91" s="14"/>
      <c r="H91" s="14"/>
      <c r="I91" s="14"/>
      <c r="J91" s="14"/>
      <c r="K91" s="14"/>
    </row>
    <row r="92" spans="1:11" ht="13.5" customHeight="1" x14ac:dyDescent="0.15">
      <c r="A92" s="14"/>
      <c r="B92" s="14"/>
      <c r="C92" s="14"/>
      <c r="D92" s="14"/>
      <c r="E92" s="14"/>
      <c r="F92" s="14"/>
      <c r="G92" s="14"/>
      <c r="H92" s="14"/>
      <c r="I92" s="14"/>
      <c r="J92" s="14"/>
      <c r="K92" s="14"/>
    </row>
    <row r="93" spans="1:11" ht="13.5" customHeight="1" x14ac:dyDescent="0.15">
      <c r="A93" s="14"/>
      <c r="B93" s="14"/>
      <c r="C93" s="14"/>
      <c r="D93" s="14"/>
      <c r="E93" s="14"/>
      <c r="F93" s="14"/>
      <c r="G93" s="14"/>
      <c r="H93" s="14"/>
      <c r="I93" s="14"/>
      <c r="J93" s="14"/>
      <c r="K93" s="14"/>
    </row>
    <row r="94" spans="1:11" ht="13.5" customHeight="1" x14ac:dyDescent="0.15">
      <c r="A94" s="14"/>
      <c r="B94" s="14"/>
      <c r="C94" s="14"/>
      <c r="D94" s="14"/>
      <c r="E94" s="14"/>
      <c r="F94" s="14"/>
      <c r="G94" s="14"/>
      <c r="H94" s="14"/>
      <c r="I94" s="14"/>
      <c r="J94" s="14"/>
      <c r="K94" s="14"/>
    </row>
    <row r="95" spans="1:11" ht="13.5" customHeight="1" x14ac:dyDescent="0.15">
      <c r="A95" s="14"/>
      <c r="B95" s="14"/>
      <c r="C95" s="14"/>
      <c r="D95" s="14"/>
      <c r="E95" s="14"/>
      <c r="F95" s="14"/>
      <c r="G95" s="14"/>
      <c r="H95" s="14"/>
      <c r="I95" s="14"/>
      <c r="J95" s="14"/>
      <c r="K95" s="14"/>
    </row>
    <row r="96" spans="1:11" ht="13.5" customHeight="1" x14ac:dyDescent="0.15">
      <c r="A96" s="14"/>
      <c r="B96" s="14"/>
      <c r="C96" s="14"/>
      <c r="D96" s="14"/>
      <c r="E96" s="14"/>
      <c r="F96" s="14"/>
      <c r="G96" s="14"/>
      <c r="H96" s="14"/>
      <c r="I96" s="14"/>
      <c r="J96" s="14"/>
      <c r="K96" s="14"/>
    </row>
    <row r="97" spans="1:11" ht="13.5" customHeight="1" x14ac:dyDescent="0.15">
      <c r="A97" s="14"/>
      <c r="B97" s="14"/>
      <c r="C97" s="14"/>
      <c r="D97" s="14"/>
      <c r="E97" s="14"/>
      <c r="F97" s="14"/>
      <c r="G97" s="14"/>
      <c r="H97" s="14"/>
      <c r="I97" s="14"/>
      <c r="J97" s="14"/>
      <c r="K97" s="14"/>
    </row>
    <row r="98" spans="1:11" ht="13.5" customHeight="1" x14ac:dyDescent="0.15">
      <c r="A98" s="14"/>
      <c r="B98" s="14"/>
      <c r="C98" s="14"/>
      <c r="D98" s="14"/>
      <c r="E98" s="14"/>
      <c r="F98" s="14"/>
      <c r="G98" s="14"/>
      <c r="H98" s="14"/>
      <c r="I98" s="14"/>
      <c r="J98" s="14"/>
      <c r="K98" s="14"/>
    </row>
    <row r="99" spans="1:11" ht="13.5" customHeight="1" x14ac:dyDescent="0.15">
      <c r="A99" s="14"/>
      <c r="B99" s="14"/>
      <c r="C99" s="14"/>
      <c r="D99" s="14"/>
      <c r="E99" s="14"/>
      <c r="F99" s="14"/>
      <c r="G99" s="14"/>
      <c r="H99" s="14"/>
      <c r="I99" s="14"/>
      <c r="J99" s="14"/>
      <c r="K99" s="14"/>
    </row>
    <row r="100" spans="1:11" ht="13.5" customHeight="1" x14ac:dyDescent="0.15">
      <c r="A100" s="14"/>
      <c r="B100" s="14"/>
      <c r="C100" s="14"/>
      <c r="D100" s="14"/>
      <c r="E100" s="14"/>
      <c r="F100" s="14"/>
      <c r="G100" s="14"/>
      <c r="H100" s="14"/>
      <c r="I100" s="14"/>
      <c r="J100" s="14"/>
      <c r="K100" s="14"/>
    </row>
  </sheetData>
  <mergeCells count="3">
    <mergeCell ref="C4:E5"/>
    <mergeCell ref="B4:B5"/>
    <mergeCell ref="B1:E3"/>
  </mergeCells>
  <pageMargins left="0.7" right="0.7" top="0.75" bottom="0.75" header="0" footer="0"/>
  <pageSetup paperSize="9"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1"/>
  <sheetViews>
    <sheetView workbookViewId="0"/>
  </sheetViews>
  <sheetFormatPr defaultColWidth="13.97265625" defaultRowHeight="15" customHeight="1" x14ac:dyDescent="0.15"/>
  <cols>
    <col min="1" max="1" width="12.01171875" customWidth="1"/>
    <col min="2" max="2" width="13.97265625" customWidth="1"/>
    <col min="3" max="3" width="6.86328125" customWidth="1"/>
    <col min="4" max="4" width="7.23046875" customWidth="1"/>
    <col min="5" max="5" width="20.83984375" customWidth="1"/>
    <col min="6" max="6" width="8.82421875" customWidth="1"/>
    <col min="7" max="7" width="12.9921875" customWidth="1"/>
    <col min="8" max="8" width="31.26171875" customWidth="1"/>
    <col min="9" max="9" width="37.7578125" customWidth="1"/>
    <col min="10" max="11" width="8.82421875" customWidth="1"/>
  </cols>
  <sheetData>
    <row r="1" spans="1:11" ht="13.5" customHeight="1" x14ac:dyDescent="0.15">
      <c r="A1" s="21" t="s">
        <v>20</v>
      </c>
      <c r="B1" s="21" t="s">
        <v>21</v>
      </c>
      <c r="C1" s="21" t="s">
        <v>17</v>
      </c>
      <c r="D1" s="21" t="s">
        <v>22</v>
      </c>
      <c r="E1" s="21" t="s">
        <v>23</v>
      </c>
      <c r="F1" s="21" t="s">
        <v>24</v>
      </c>
      <c r="G1" s="21" t="s">
        <v>25</v>
      </c>
      <c r="H1" s="21" t="s">
        <v>26</v>
      </c>
      <c r="I1" s="21"/>
      <c r="J1" s="21" t="s">
        <v>27</v>
      </c>
      <c r="K1" s="21"/>
    </row>
    <row r="2" spans="1:11" ht="13.5" customHeight="1" x14ac:dyDescent="0.15">
      <c r="A2" s="22" t="s">
        <v>28</v>
      </c>
      <c r="B2" s="22" t="s">
        <v>29</v>
      </c>
      <c r="C2" s="22" t="s">
        <v>30</v>
      </c>
      <c r="D2" s="22"/>
      <c r="E2" s="22" t="s">
        <v>31</v>
      </c>
      <c r="F2" s="22" t="s">
        <v>32</v>
      </c>
      <c r="G2" s="22"/>
      <c r="H2" s="22"/>
      <c r="I2" s="22"/>
      <c r="J2" s="22"/>
      <c r="K2" s="22"/>
    </row>
    <row r="3" spans="1:11" ht="13.5" customHeight="1" x14ac:dyDescent="0.15">
      <c r="A3" s="22" t="s">
        <v>33</v>
      </c>
      <c r="B3" s="22" t="s">
        <v>29</v>
      </c>
      <c r="C3" s="22" t="s">
        <v>30</v>
      </c>
      <c r="D3" s="22"/>
      <c r="E3" s="22" t="s">
        <v>34</v>
      </c>
      <c r="F3" s="22" t="s">
        <v>35</v>
      </c>
      <c r="G3" s="22" t="s">
        <v>36</v>
      </c>
      <c r="H3" s="22"/>
      <c r="I3" s="22"/>
      <c r="J3" s="22"/>
      <c r="K3" s="22"/>
    </row>
    <row r="4" spans="1:11" ht="13.5" customHeight="1" x14ac:dyDescent="0.15">
      <c r="A4" s="22"/>
      <c r="B4" s="22" t="s">
        <v>29</v>
      </c>
      <c r="C4" s="22" t="s">
        <v>30</v>
      </c>
      <c r="D4" s="22"/>
      <c r="E4" s="22" t="s">
        <v>37</v>
      </c>
      <c r="F4" s="22" t="s">
        <v>38</v>
      </c>
      <c r="G4" s="22" t="s">
        <v>39</v>
      </c>
      <c r="H4" s="22" t="s">
        <v>40</v>
      </c>
      <c r="I4" s="22"/>
      <c r="J4" s="22"/>
      <c r="K4" s="22"/>
    </row>
    <row r="5" spans="1:11" ht="13.5" customHeight="1" x14ac:dyDescent="0.15">
      <c r="A5" s="22" t="s">
        <v>28</v>
      </c>
      <c r="B5" s="22" t="s">
        <v>29</v>
      </c>
      <c r="C5" s="22" t="s">
        <v>41</v>
      </c>
      <c r="D5" s="22"/>
      <c r="E5" s="22" t="s">
        <v>42</v>
      </c>
      <c r="F5" s="22" t="s">
        <v>43</v>
      </c>
      <c r="G5" s="22"/>
      <c r="H5" s="22"/>
      <c r="I5" s="22"/>
      <c r="J5" s="22"/>
      <c r="K5" s="22"/>
    </row>
    <row r="6" spans="1:11" ht="13.5" customHeight="1" x14ac:dyDescent="0.15">
      <c r="A6" s="22" t="s">
        <v>44</v>
      </c>
      <c r="B6" s="22" t="s">
        <v>29</v>
      </c>
      <c r="C6" s="22" t="s">
        <v>41</v>
      </c>
      <c r="D6" s="22"/>
      <c r="E6" s="22" t="s">
        <v>45</v>
      </c>
      <c r="F6" s="22" t="s">
        <v>46</v>
      </c>
      <c r="G6" s="22" t="s">
        <v>47</v>
      </c>
      <c r="H6" s="22"/>
      <c r="I6" s="22"/>
      <c r="J6" s="22" t="s">
        <v>48</v>
      </c>
      <c r="K6" s="22"/>
    </row>
    <row r="7" spans="1:11" ht="13.5" customHeight="1" x14ac:dyDescent="0.15">
      <c r="A7" s="22" t="s">
        <v>49</v>
      </c>
      <c r="B7" s="22" t="s">
        <v>29</v>
      </c>
      <c r="C7" s="22" t="s">
        <v>41</v>
      </c>
      <c r="D7" s="22"/>
      <c r="E7" s="22" t="s">
        <v>50</v>
      </c>
      <c r="F7" s="22" t="s">
        <v>38</v>
      </c>
      <c r="G7" s="22" t="s">
        <v>39</v>
      </c>
      <c r="H7" s="22" t="s">
        <v>51</v>
      </c>
      <c r="I7" s="22" t="s">
        <v>52</v>
      </c>
      <c r="J7" s="22"/>
      <c r="K7" s="22"/>
    </row>
    <row r="8" spans="1:11" ht="13.5" customHeight="1" x14ac:dyDescent="0.15">
      <c r="A8" s="22" t="s">
        <v>28</v>
      </c>
      <c r="B8" s="22" t="s">
        <v>29</v>
      </c>
      <c r="C8" s="22" t="s">
        <v>53</v>
      </c>
      <c r="D8" s="22"/>
      <c r="E8" s="22" t="s">
        <v>54</v>
      </c>
      <c r="F8" s="22" t="s">
        <v>32</v>
      </c>
      <c r="G8" s="22"/>
      <c r="H8" s="22" t="s">
        <v>55</v>
      </c>
      <c r="I8" s="22"/>
      <c r="J8" s="22"/>
      <c r="K8" s="22"/>
    </row>
    <row r="9" spans="1:11" ht="13.5" customHeight="1" x14ac:dyDescent="0.15">
      <c r="A9" s="22" t="s">
        <v>28</v>
      </c>
      <c r="B9" s="22" t="s">
        <v>29</v>
      </c>
      <c r="C9" s="22" t="s">
        <v>56</v>
      </c>
      <c r="D9" s="22"/>
      <c r="E9" s="22" t="s">
        <v>57</v>
      </c>
      <c r="F9" s="22" t="s">
        <v>32</v>
      </c>
      <c r="G9" s="22"/>
      <c r="H9" s="22">
        <v>40023</v>
      </c>
      <c r="I9" s="22"/>
      <c r="J9" s="22"/>
      <c r="K9" s="22"/>
    </row>
    <row r="10" spans="1:11" ht="13.5" customHeight="1" x14ac:dyDescent="0.15">
      <c r="A10" s="22" t="s">
        <v>44</v>
      </c>
      <c r="B10" s="22" t="s">
        <v>29</v>
      </c>
      <c r="C10" s="22" t="s">
        <v>56</v>
      </c>
      <c r="D10" s="22"/>
      <c r="E10" s="22" t="s">
        <v>58</v>
      </c>
      <c r="F10" s="22" t="s">
        <v>46</v>
      </c>
      <c r="G10" s="22" t="s">
        <v>59</v>
      </c>
      <c r="H10" s="22" t="s">
        <v>60</v>
      </c>
      <c r="I10" s="22"/>
      <c r="J10" s="22" t="s">
        <v>61</v>
      </c>
      <c r="K10" s="22"/>
    </row>
    <row r="11" spans="1:11" ht="13.5" customHeight="1" x14ac:dyDescent="0.15">
      <c r="A11" s="22" t="s">
        <v>62</v>
      </c>
      <c r="B11" s="22" t="s">
        <v>63</v>
      </c>
      <c r="C11" s="22" t="s">
        <v>64</v>
      </c>
      <c r="D11" s="22"/>
      <c r="E11" s="22" t="s">
        <v>65</v>
      </c>
      <c r="F11" s="22" t="s">
        <v>66</v>
      </c>
      <c r="G11" s="22" t="s">
        <v>39</v>
      </c>
      <c r="H11" s="22" t="s">
        <v>67</v>
      </c>
      <c r="I11" s="22"/>
      <c r="J11" s="22"/>
      <c r="K11" s="22"/>
    </row>
    <row r="12" spans="1:11" ht="13.5" customHeight="1" x14ac:dyDescent="0.15">
      <c r="A12" s="22" t="s">
        <v>28</v>
      </c>
      <c r="B12" s="22" t="s">
        <v>68</v>
      </c>
      <c r="C12" s="22" t="s">
        <v>69</v>
      </c>
      <c r="D12" s="22"/>
      <c r="E12" s="22" t="s">
        <v>70</v>
      </c>
      <c r="F12" s="22" t="s">
        <v>32</v>
      </c>
      <c r="G12" s="22"/>
      <c r="H12" s="22"/>
      <c r="I12" s="22"/>
      <c r="J12" s="22"/>
      <c r="K12" s="22"/>
    </row>
    <row r="13" spans="1:11" ht="13.5" customHeight="1" x14ac:dyDescent="0.15">
      <c r="A13" s="22" t="s">
        <v>28</v>
      </c>
      <c r="B13" s="22" t="s">
        <v>71</v>
      </c>
      <c r="C13" s="22" t="s">
        <v>72</v>
      </c>
      <c r="D13" s="22"/>
      <c r="E13" s="22" t="s">
        <v>73</v>
      </c>
      <c r="F13" s="22" t="s">
        <v>32</v>
      </c>
      <c r="G13" s="22"/>
      <c r="H13" s="22"/>
      <c r="I13" s="22"/>
      <c r="J13" s="22"/>
      <c r="K13" s="22"/>
    </row>
    <row r="14" spans="1:11" ht="13.5" customHeight="1" x14ac:dyDescent="0.15">
      <c r="A14" s="22" t="s">
        <v>28</v>
      </c>
      <c r="B14" s="22" t="s">
        <v>74</v>
      </c>
      <c r="C14" s="22" t="s">
        <v>75</v>
      </c>
      <c r="D14" s="22"/>
      <c r="E14" s="22" t="s">
        <v>76</v>
      </c>
      <c r="F14" s="22" t="s">
        <v>32</v>
      </c>
      <c r="G14" s="22"/>
      <c r="H14" s="22"/>
      <c r="I14" s="22"/>
      <c r="J14" s="22"/>
      <c r="K14" s="22"/>
    </row>
    <row r="15" spans="1:11" ht="13.5" customHeight="1" x14ac:dyDescent="0.15">
      <c r="A15" s="22" t="s">
        <v>49</v>
      </c>
      <c r="B15" s="22" t="s">
        <v>77</v>
      </c>
      <c r="C15" s="22" t="s">
        <v>78</v>
      </c>
      <c r="D15" s="22"/>
      <c r="E15" s="22" t="s">
        <v>79</v>
      </c>
      <c r="F15" s="22" t="s">
        <v>35</v>
      </c>
      <c r="G15" s="22" t="s">
        <v>36</v>
      </c>
      <c r="H15" s="22" t="s">
        <v>80</v>
      </c>
      <c r="I15" s="22"/>
      <c r="J15" s="22"/>
      <c r="K15" s="22"/>
    </row>
    <row r="16" spans="1:11" ht="13.5" customHeight="1" x14ac:dyDescent="0.15">
      <c r="A16" s="22" t="s">
        <v>81</v>
      </c>
      <c r="B16" s="22" t="s">
        <v>82</v>
      </c>
      <c r="C16" s="22" t="s">
        <v>83</v>
      </c>
      <c r="D16" s="22"/>
      <c r="E16" s="22" t="s">
        <v>84</v>
      </c>
      <c r="F16" s="22" t="s">
        <v>85</v>
      </c>
      <c r="G16" s="22" t="s">
        <v>86</v>
      </c>
      <c r="H16" s="22" t="s">
        <v>87</v>
      </c>
      <c r="I16" s="22" t="s">
        <v>88</v>
      </c>
      <c r="J16" s="22"/>
      <c r="K16" s="22"/>
    </row>
    <row r="17" spans="1:11" ht="13.5" customHeight="1" x14ac:dyDescent="0.15">
      <c r="A17" s="22" t="s">
        <v>81</v>
      </c>
      <c r="B17" s="22" t="s">
        <v>82</v>
      </c>
      <c r="C17" s="22" t="s">
        <v>83</v>
      </c>
      <c r="D17" s="22"/>
      <c r="E17" s="22" t="s">
        <v>89</v>
      </c>
      <c r="F17" s="22" t="s">
        <v>90</v>
      </c>
      <c r="G17" s="22" t="s">
        <v>86</v>
      </c>
      <c r="H17" s="22" t="s">
        <v>87</v>
      </c>
      <c r="I17" s="22"/>
      <c r="J17" s="22"/>
      <c r="K17" s="22"/>
    </row>
    <row r="18" spans="1:11" ht="13.5" customHeight="1" x14ac:dyDescent="0.15">
      <c r="A18" s="22" t="s">
        <v>28</v>
      </c>
      <c r="B18" s="22" t="s">
        <v>91</v>
      </c>
      <c r="C18" s="22" t="s">
        <v>92</v>
      </c>
      <c r="D18" s="22"/>
      <c r="E18" s="22" t="s">
        <v>93</v>
      </c>
      <c r="F18" s="22" t="s">
        <v>32</v>
      </c>
      <c r="G18" s="22"/>
      <c r="H18" s="22"/>
      <c r="I18" s="22"/>
      <c r="J18" s="22"/>
      <c r="K18" s="22"/>
    </row>
    <row r="19" spans="1:11" ht="13.5" customHeight="1" x14ac:dyDescent="0.15">
      <c r="A19" s="22" t="s">
        <v>28</v>
      </c>
      <c r="B19" s="22" t="s">
        <v>94</v>
      </c>
      <c r="C19" s="22" t="s">
        <v>95</v>
      </c>
      <c r="D19" s="22"/>
      <c r="E19" s="22" t="s">
        <v>96</v>
      </c>
      <c r="F19" s="22" t="s">
        <v>32</v>
      </c>
      <c r="G19" s="22"/>
      <c r="H19" s="22" t="s">
        <v>97</v>
      </c>
      <c r="I19" s="22"/>
      <c r="J19" s="22"/>
      <c r="K19" s="22"/>
    </row>
    <row r="20" spans="1:11" ht="13.5" customHeight="1" x14ac:dyDescent="0.15">
      <c r="A20" s="22" t="s">
        <v>49</v>
      </c>
      <c r="B20" s="22" t="s">
        <v>94</v>
      </c>
      <c r="C20" s="22" t="s">
        <v>95</v>
      </c>
      <c r="D20" s="22"/>
      <c r="E20" s="22" t="s">
        <v>98</v>
      </c>
      <c r="F20" s="22" t="s">
        <v>46</v>
      </c>
      <c r="G20" s="22" t="s">
        <v>59</v>
      </c>
      <c r="H20" s="22" t="s">
        <v>99</v>
      </c>
      <c r="I20" s="22"/>
      <c r="J20" s="22"/>
      <c r="K20" s="22"/>
    </row>
    <row r="21" spans="1:11" ht="13.5" customHeight="1" x14ac:dyDescent="0.15">
      <c r="A21" s="22" t="s">
        <v>49</v>
      </c>
      <c r="B21" s="22" t="s">
        <v>100</v>
      </c>
      <c r="C21" s="22" t="s">
        <v>101</v>
      </c>
      <c r="D21" s="22"/>
      <c r="E21" s="22" t="s">
        <v>102</v>
      </c>
      <c r="F21" s="22" t="s">
        <v>85</v>
      </c>
      <c r="G21" s="22" t="s">
        <v>59</v>
      </c>
      <c r="H21" s="22"/>
      <c r="I21" s="22"/>
      <c r="J21" s="22"/>
      <c r="K21" s="22"/>
    </row>
    <row r="22" spans="1:11" ht="13.5" customHeight="1" x14ac:dyDescent="0.15">
      <c r="A22" s="22" t="s">
        <v>28</v>
      </c>
      <c r="B22" s="22" t="s">
        <v>103</v>
      </c>
      <c r="C22" s="22" t="s">
        <v>104</v>
      </c>
      <c r="D22" s="22"/>
      <c r="E22" s="22" t="s">
        <v>105</v>
      </c>
      <c r="F22" s="22" t="s">
        <v>85</v>
      </c>
      <c r="G22" s="22" t="s">
        <v>59</v>
      </c>
      <c r="H22" s="22"/>
      <c r="I22" s="22"/>
      <c r="J22" s="22"/>
      <c r="K22" s="22"/>
    </row>
    <row r="23" spans="1:11" ht="13.5" customHeight="1" x14ac:dyDescent="0.15">
      <c r="A23" s="22" t="s">
        <v>81</v>
      </c>
      <c r="B23" s="22" t="s">
        <v>106</v>
      </c>
      <c r="C23" s="22" t="s">
        <v>107</v>
      </c>
      <c r="D23" s="22"/>
      <c r="E23" s="22" t="s">
        <v>108</v>
      </c>
      <c r="F23" s="22" t="s">
        <v>85</v>
      </c>
      <c r="G23" s="22" t="s">
        <v>59</v>
      </c>
      <c r="H23" s="22" t="s">
        <v>109</v>
      </c>
      <c r="I23" s="22" t="s">
        <v>110</v>
      </c>
      <c r="J23" s="22"/>
      <c r="K23" s="22"/>
    </row>
    <row r="24" spans="1:11" ht="13.5" customHeight="1" x14ac:dyDescent="0.15">
      <c r="A24" s="22" t="s">
        <v>28</v>
      </c>
      <c r="B24" s="22" t="s">
        <v>106</v>
      </c>
      <c r="C24" s="22" t="s">
        <v>111</v>
      </c>
      <c r="D24" s="22"/>
      <c r="E24" s="22" t="s">
        <v>112</v>
      </c>
      <c r="F24" s="22" t="s">
        <v>43</v>
      </c>
      <c r="G24" s="22" t="s">
        <v>86</v>
      </c>
      <c r="H24" s="22">
        <v>136</v>
      </c>
      <c r="I24" s="22"/>
      <c r="J24" s="22"/>
      <c r="K24" s="22"/>
    </row>
    <row r="25" spans="1:11" ht="13.5" customHeight="1" x14ac:dyDescent="0.15">
      <c r="A25" s="22" t="s">
        <v>28</v>
      </c>
      <c r="B25" s="22" t="s">
        <v>113</v>
      </c>
      <c r="C25" s="22"/>
      <c r="D25" s="22"/>
      <c r="E25" s="22" t="s">
        <v>114</v>
      </c>
      <c r="F25" s="22" t="s">
        <v>43</v>
      </c>
      <c r="G25" s="22" t="s">
        <v>86</v>
      </c>
      <c r="H25" s="22"/>
      <c r="I25" s="22"/>
      <c r="J25" s="22"/>
      <c r="K25" s="22"/>
    </row>
    <row r="26" spans="1:11" ht="13.5" customHeight="1" x14ac:dyDescent="0.15">
      <c r="A26" s="22" t="s">
        <v>49</v>
      </c>
      <c r="B26" s="22" t="s">
        <v>115</v>
      </c>
      <c r="C26" s="22" t="s">
        <v>116</v>
      </c>
      <c r="D26" s="22"/>
      <c r="E26" s="22" t="s">
        <v>117</v>
      </c>
      <c r="F26" s="22" t="s">
        <v>43</v>
      </c>
      <c r="G26" s="22" t="s">
        <v>59</v>
      </c>
      <c r="H26" s="22"/>
      <c r="I26" s="22"/>
      <c r="J26" s="22"/>
      <c r="K26" s="22"/>
    </row>
    <row r="27" spans="1:11" ht="13.5" customHeight="1" x14ac:dyDescent="0.15">
      <c r="A27" s="22" t="s">
        <v>118</v>
      </c>
      <c r="B27" s="22" t="s">
        <v>119</v>
      </c>
      <c r="C27" s="22" t="s">
        <v>120</v>
      </c>
      <c r="D27" s="22"/>
      <c r="E27" s="22" t="s">
        <v>121</v>
      </c>
      <c r="F27" s="22" t="s">
        <v>46</v>
      </c>
      <c r="G27" s="22" t="s">
        <v>86</v>
      </c>
      <c r="H27" s="22" t="s">
        <v>122</v>
      </c>
      <c r="I27" s="22" t="s">
        <v>123</v>
      </c>
      <c r="J27" s="22"/>
      <c r="K27" s="22"/>
    </row>
    <row r="28" spans="1:11" ht="13.5" customHeight="1" x14ac:dyDescent="0.15">
      <c r="A28" s="22" t="s">
        <v>124</v>
      </c>
      <c r="B28" s="22" t="s">
        <v>125</v>
      </c>
      <c r="C28" s="22" t="s">
        <v>126</v>
      </c>
      <c r="D28" s="22"/>
      <c r="E28" s="22" t="s">
        <v>127</v>
      </c>
      <c r="F28" s="22" t="s">
        <v>35</v>
      </c>
      <c r="G28" s="22" t="s">
        <v>36</v>
      </c>
      <c r="H28" s="22" t="s">
        <v>128</v>
      </c>
      <c r="I28" s="22"/>
      <c r="J28" s="22"/>
      <c r="K28" s="22"/>
    </row>
    <row r="29" spans="1:11" ht="13.5" customHeight="1" x14ac:dyDescent="0.15">
      <c r="A29" s="22" t="s">
        <v>49</v>
      </c>
      <c r="B29" s="22" t="s">
        <v>129</v>
      </c>
      <c r="C29" s="22" t="s">
        <v>130</v>
      </c>
      <c r="D29" s="22"/>
      <c r="E29" s="22" t="s">
        <v>131</v>
      </c>
      <c r="F29" s="22" t="s">
        <v>35</v>
      </c>
      <c r="G29" s="22" t="s">
        <v>36</v>
      </c>
      <c r="H29" s="22" t="s">
        <v>132</v>
      </c>
      <c r="I29" s="22"/>
      <c r="J29" s="22"/>
      <c r="K29" s="22"/>
    </row>
    <row r="30" spans="1:11" ht="13.5" customHeight="1" x14ac:dyDescent="0.15">
      <c r="A30" s="22" t="s">
        <v>28</v>
      </c>
      <c r="B30" s="22" t="s">
        <v>133</v>
      </c>
      <c r="C30" s="22"/>
      <c r="D30" s="22"/>
      <c r="E30" s="22" t="s">
        <v>134</v>
      </c>
      <c r="F30" s="22" t="s">
        <v>32</v>
      </c>
      <c r="G30" s="22"/>
      <c r="H30" s="22"/>
      <c r="I30" s="22"/>
      <c r="J30" s="22"/>
      <c r="K30" s="22"/>
    </row>
    <row r="31" spans="1:11" ht="13.5" customHeight="1" x14ac:dyDescent="0.15">
      <c r="A31" s="22" t="s">
        <v>28</v>
      </c>
      <c r="B31" s="22" t="s">
        <v>135</v>
      </c>
      <c r="C31" s="22" t="s">
        <v>136</v>
      </c>
      <c r="D31" s="22"/>
      <c r="E31" s="22" t="s">
        <v>137</v>
      </c>
      <c r="F31" s="22" t="s">
        <v>85</v>
      </c>
      <c r="G31" s="22" t="s">
        <v>86</v>
      </c>
      <c r="H31" s="22"/>
      <c r="I31" s="22"/>
      <c r="J31" s="22"/>
      <c r="K31" s="22"/>
    </row>
    <row r="32" spans="1:11" ht="13.5" customHeight="1" x14ac:dyDescent="0.15">
      <c r="A32" s="22" t="s">
        <v>49</v>
      </c>
      <c r="B32" s="22" t="s">
        <v>135</v>
      </c>
      <c r="C32" s="22" t="s">
        <v>136</v>
      </c>
      <c r="D32" s="22"/>
      <c r="E32" s="22" t="s">
        <v>2</v>
      </c>
      <c r="F32" s="22" t="s">
        <v>46</v>
      </c>
      <c r="G32" s="22" t="s">
        <v>59</v>
      </c>
      <c r="H32" s="22" t="s">
        <v>99</v>
      </c>
      <c r="I32" s="22"/>
      <c r="J32" s="22"/>
      <c r="K32" s="22"/>
    </row>
    <row r="33" spans="1:11" ht="13.5" customHeight="1" x14ac:dyDescent="0.15">
      <c r="A33" s="22" t="s">
        <v>28</v>
      </c>
      <c r="B33" s="22" t="s">
        <v>138</v>
      </c>
      <c r="C33" s="22" t="s">
        <v>139</v>
      </c>
      <c r="D33" s="22"/>
      <c r="E33" s="22" t="s">
        <v>140</v>
      </c>
      <c r="F33" s="22" t="s">
        <v>43</v>
      </c>
      <c r="G33" s="22" t="s">
        <v>59</v>
      </c>
      <c r="H33" s="22"/>
      <c r="I33" s="22"/>
      <c r="J33" s="22"/>
      <c r="K33" s="22"/>
    </row>
    <row r="34" spans="1:11" ht="13.5" customHeight="1" x14ac:dyDescent="0.15">
      <c r="A34" s="22" t="s">
        <v>49</v>
      </c>
      <c r="B34" s="22" t="s">
        <v>138</v>
      </c>
      <c r="C34" s="22" t="s">
        <v>139</v>
      </c>
      <c r="D34" s="22"/>
      <c r="E34" s="22" t="s">
        <v>141</v>
      </c>
      <c r="F34" s="22" t="s">
        <v>43</v>
      </c>
      <c r="G34" s="22" t="s">
        <v>59</v>
      </c>
      <c r="H34" s="22"/>
      <c r="I34" s="22"/>
      <c r="J34" s="22"/>
      <c r="K34" s="22"/>
    </row>
    <row r="35" spans="1:11" ht="13.5" customHeight="1" x14ac:dyDescent="0.15">
      <c r="A35" s="22" t="s">
        <v>81</v>
      </c>
      <c r="B35" s="22" t="s">
        <v>138</v>
      </c>
      <c r="C35" s="22" t="s">
        <v>139</v>
      </c>
      <c r="D35" s="22"/>
      <c r="E35" s="22" t="s">
        <v>142</v>
      </c>
      <c r="F35" s="22" t="s">
        <v>85</v>
      </c>
      <c r="G35" s="22" t="s">
        <v>59</v>
      </c>
      <c r="H35" s="22" t="s">
        <v>143</v>
      </c>
      <c r="I35" s="22"/>
      <c r="J35" s="22"/>
      <c r="K35" s="22"/>
    </row>
    <row r="36" spans="1:11" ht="13.5" customHeight="1" x14ac:dyDescent="0.15">
      <c r="A36" s="22" t="s">
        <v>28</v>
      </c>
      <c r="B36" s="22" t="s">
        <v>144</v>
      </c>
      <c r="C36" s="22" t="s">
        <v>145</v>
      </c>
      <c r="D36" s="22"/>
      <c r="E36" s="22" t="s">
        <v>146</v>
      </c>
      <c r="F36" s="22" t="s">
        <v>85</v>
      </c>
      <c r="G36" s="22" t="s">
        <v>59</v>
      </c>
      <c r="H36" s="22"/>
      <c r="I36" s="22"/>
      <c r="J36" s="22"/>
      <c r="K36" s="22"/>
    </row>
    <row r="37" spans="1:11" ht="13.5" customHeight="1" x14ac:dyDescent="0.15">
      <c r="A37" s="22" t="s">
        <v>33</v>
      </c>
      <c r="B37" s="22" t="s">
        <v>144</v>
      </c>
      <c r="C37" s="22" t="s">
        <v>145</v>
      </c>
      <c r="D37" s="22"/>
      <c r="E37" s="22" t="s">
        <v>147</v>
      </c>
      <c r="F37" s="22" t="s">
        <v>38</v>
      </c>
      <c r="G37" s="22" t="s">
        <v>148</v>
      </c>
      <c r="H37" s="22" t="s">
        <v>149</v>
      </c>
      <c r="I37" s="22" t="s">
        <v>150</v>
      </c>
      <c r="J37" s="22"/>
      <c r="K37" s="22"/>
    </row>
    <row r="38" spans="1:11" ht="13.5" customHeight="1" x14ac:dyDescent="0.15">
      <c r="A38" s="22" t="s">
        <v>49</v>
      </c>
      <c r="B38" s="22" t="s">
        <v>151</v>
      </c>
      <c r="C38" s="22" t="s">
        <v>152</v>
      </c>
      <c r="D38" s="22"/>
      <c r="E38" s="22" t="s">
        <v>153</v>
      </c>
      <c r="F38" s="22" t="s">
        <v>46</v>
      </c>
      <c r="G38" s="22" t="s">
        <v>59</v>
      </c>
      <c r="H38" s="22" t="s">
        <v>99</v>
      </c>
      <c r="I38" s="22"/>
      <c r="J38" s="22"/>
      <c r="K38" s="22"/>
    </row>
    <row r="39" spans="1:11" ht="13.5" customHeight="1" x14ac:dyDescent="0.15">
      <c r="A39" s="22" t="s">
        <v>33</v>
      </c>
      <c r="B39" s="22" t="s">
        <v>154</v>
      </c>
      <c r="C39" s="22" t="s">
        <v>155</v>
      </c>
      <c r="D39" s="22"/>
      <c r="E39" s="22" t="s">
        <v>156</v>
      </c>
      <c r="F39" s="22" t="s">
        <v>35</v>
      </c>
      <c r="G39" s="22" t="s">
        <v>36</v>
      </c>
      <c r="H39" s="22"/>
      <c r="I39" s="22"/>
      <c r="J39" s="22"/>
      <c r="K39" s="22"/>
    </row>
    <row r="40" spans="1:11" ht="13.5" customHeight="1" x14ac:dyDescent="0.15">
      <c r="A40" s="22" t="s">
        <v>28</v>
      </c>
      <c r="B40" s="22" t="s">
        <v>157</v>
      </c>
      <c r="C40" s="22" t="s">
        <v>158</v>
      </c>
      <c r="D40" s="22"/>
      <c r="E40" s="22" t="s">
        <v>159</v>
      </c>
      <c r="F40" s="22" t="s">
        <v>32</v>
      </c>
      <c r="G40" s="22"/>
      <c r="H40" s="22"/>
      <c r="I40" s="22"/>
      <c r="J40" s="22"/>
      <c r="K40" s="22"/>
    </row>
    <row r="41" spans="1:11" ht="13.5" customHeight="1" x14ac:dyDescent="0.15">
      <c r="A41" s="22" t="s">
        <v>28</v>
      </c>
      <c r="B41" s="22" t="s">
        <v>160</v>
      </c>
      <c r="C41" s="22" t="s">
        <v>161</v>
      </c>
      <c r="D41" s="22"/>
      <c r="E41" s="22"/>
      <c r="F41" s="22" t="s">
        <v>32</v>
      </c>
      <c r="G41" s="22"/>
      <c r="H41" s="22"/>
      <c r="I41" s="22"/>
      <c r="J41" s="22"/>
      <c r="K41" s="22"/>
    </row>
    <row r="42" spans="1:11" ht="13.5" customHeight="1" x14ac:dyDescent="0.15">
      <c r="A42" s="22" t="s">
        <v>28</v>
      </c>
      <c r="B42" s="22" t="s">
        <v>162</v>
      </c>
      <c r="C42" s="22" t="s">
        <v>163</v>
      </c>
      <c r="D42" s="22"/>
      <c r="E42" s="22" t="s">
        <v>164</v>
      </c>
      <c r="F42" s="22" t="s">
        <v>32</v>
      </c>
      <c r="G42" s="22"/>
      <c r="H42" s="22"/>
      <c r="I42" s="22"/>
      <c r="J42" s="22"/>
      <c r="K42" s="22"/>
    </row>
    <row r="43" spans="1:11" ht="13.5" customHeight="1" x14ac:dyDescent="0.15">
      <c r="A43" s="22" t="s">
        <v>28</v>
      </c>
      <c r="B43" s="22" t="s">
        <v>165</v>
      </c>
      <c r="C43" s="22" t="s">
        <v>166</v>
      </c>
      <c r="D43" s="22"/>
      <c r="E43" s="22"/>
      <c r="F43" s="22" t="s">
        <v>32</v>
      </c>
      <c r="G43" s="22"/>
      <c r="H43" s="22"/>
      <c r="I43" s="22"/>
      <c r="J43" s="22"/>
      <c r="K43" s="22"/>
    </row>
    <row r="44" spans="1:11" ht="13.5" customHeight="1" x14ac:dyDescent="0.15">
      <c r="A44" s="22" t="s">
        <v>28</v>
      </c>
      <c r="B44" s="22" t="s">
        <v>162</v>
      </c>
      <c r="C44" s="22" t="s">
        <v>167</v>
      </c>
      <c r="D44" s="22"/>
      <c r="E44" s="22" t="s">
        <v>168</v>
      </c>
      <c r="F44" s="22" t="s">
        <v>32</v>
      </c>
      <c r="G44" s="22"/>
      <c r="H44" s="22"/>
      <c r="I44" s="22"/>
      <c r="J44" s="22"/>
      <c r="K44" s="22"/>
    </row>
    <row r="45" spans="1:11" ht="13.5" customHeight="1" x14ac:dyDescent="0.15">
      <c r="A45" s="22" t="s">
        <v>28</v>
      </c>
      <c r="B45" s="22" t="s">
        <v>162</v>
      </c>
      <c r="C45" s="22" t="s">
        <v>169</v>
      </c>
      <c r="D45" s="22"/>
      <c r="E45" s="22" t="s">
        <v>170</v>
      </c>
      <c r="F45" s="22" t="s">
        <v>32</v>
      </c>
      <c r="G45" s="22"/>
      <c r="H45" s="22"/>
      <c r="I45" s="22"/>
      <c r="J45" s="22"/>
      <c r="K45" s="22"/>
    </row>
    <row r="46" spans="1:11" ht="13.5" customHeight="1" x14ac:dyDescent="0.15">
      <c r="A46" s="22" t="s">
        <v>44</v>
      </c>
      <c r="B46" s="22" t="s">
        <v>171</v>
      </c>
      <c r="C46" s="22" t="s">
        <v>172</v>
      </c>
      <c r="D46" s="22"/>
      <c r="E46" s="22" t="s">
        <v>173</v>
      </c>
      <c r="F46" s="22" t="s">
        <v>85</v>
      </c>
      <c r="G46" s="22" t="s">
        <v>86</v>
      </c>
      <c r="H46" s="22" t="s">
        <v>174</v>
      </c>
      <c r="I46" s="22" t="s">
        <v>123</v>
      </c>
      <c r="J46" s="22"/>
      <c r="K46" s="22"/>
    </row>
    <row r="47" spans="1:11" ht="13.5" customHeight="1" x14ac:dyDescent="0.15">
      <c r="A47" s="22" t="s">
        <v>49</v>
      </c>
      <c r="B47" s="22" t="s">
        <v>175</v>
      </c>
      <c r="C47" s="22" t="s">
        <v>172</v>
      </c>
      <c r="D47" s="22"/>
      <c r="E47" s="22" t="s">
        <v>176</v>
      </c>
      <c r="F47" s="22" t="s">
        <v>38</v>
      </c>
      <c r="G47" s="22"/>
      <c r="H47" s="22" t="s">
        <v>174</v>
      </c>
      <c r="I47" s="22"/>
      <c r="J47" s="22"/>
      <c r="K47" s="22"/>
    </row>
    <row r="48" spans="1:11" ht="13.5" customHeight="1" x14ac:dyDescent="0.15">
      <c r="A48" s="22" t="s">
        <v>28</v>
      </c>
      <c r="B48" s="22" t="s">
        <v>177</v>
      </c>
      <c r="C48" s="22" t="s">
        <v>178</v>
      </c>
      <c r="D48" s="22"/>
      <c r="E48" s="22" t="s">
        <v>179</v>
      </c>
      <c r="F48" s="22" t="s">
        <v>85</v>
      </c>
      <c r="G48" s="22" t="s">
        <v>86</v>
      </c>
      <c r="H48" s="22" t="s">
        <v>180</v>
      </c>
      <c r="I48" s="22" t="s">
        <v>123</v>
      </c>
      <c r="J48" s="22"/>
      <c r="K48" s="22"/>
    </row>
    <row r="49" spans="1:11" ht="13.5" customHeight="1" x14ac:dyDescent="0.15">
      <c r="A49" s="22" t="s">
        <v>33</v>
      </c>
      <c r="B49" s="22" t="s">
        <v>177</v>
      </c>
      <c r="C49" s="22" t="s">
        <v>178</v>
      </c>
      <c r="D49" s="22"/>
      <c r="E49" s="22" t="s">
        <v>181</v>
      </c>
      <c r="F49" s="22" t="s">
        <v>46</v>
      </c>
      <c r="G49" s="22" t="s">
        <v>86</v>
      </c>
      <c r="H49" s="22" t="s">
        <v>99</v>
      </c>
      <c r="I49" s="22" t="s">
        <v>123</v>
      </c>
      <c r="J49" s="22"/>
      <c r="K49" s="22"/>
    </row>
    <row r="50" spans="1:11" ht="13.5" customHeight="1" x14ac:dyDescent="0.15">
      <c r="A50" s="22" t="s">
        <v>28</v>
      </c>
      <c r="B50" s="22" t="s">
        <v>182</v>
      </c>
      <c r="C50" s="22" t="s">
        <v>183</v>
      </c>
      <c r="D50" s="22"/>
      <c r="E50" s="22" t="s">
        <v>184</v>
      </c>
      <c r="F50" s="22" t="s">
        <v>32</v>
      </c>
      <c r="G50" s="22"/>
      <c r="H50" s="22"/>
      <c r="I50" s="22"/>
      <c r="J50" s="22"/>
      <c r="K50" s="22"/>
    </row>
    <row r="51" spans="1:11" ht="13.5" customHeight="1" x14ac:dyDescent="0.15">
      <c r="A51" s="22" t="s">
        <v>28</v>
      </c>
      <c r="B51" s="22" t="s">
        <v>185</v>
      </c>
      <c r="C51" s="22" t="s">
        <v>186</v>
      </c>
      <c r="D51" s="22"/>
      <c r="E51" s="22" t="s">
        <v>187</v>
      </c>
      <c r="F51" s="22" t="s">
        <v>32</v>
      </c>
      <c r="G51" s="22"/>
      <c r="H51" s="22"/>
      <c r="I51" s="22"/>
      <c r="J51" s="22"/>
      <c r="K51" s="22"/>
    </row>
    <row r="52" spans="1:11" ht="13.5" customHeight="1" x14ac:dyDescent="0.15">
      <c r="A52" s="22" t="s">
        <v>49</v>
      </c>
      <c r="B52" s="22" t="s">
        <v>188</v>
      </c>
      <c r="C52" s="22" t="s">
        <v>189</v>
      </c>
      <c r="D52" s="22"/>
      <c r="E52" s="22" t="s">
        <v>190</v>
      </c>
      <c r="F52" s="22" t="s">
        <v>85</v>
      </c>
      <c r="G52" s="22" t="s">
        <v>59</v>
      </c>
      <c r="H52" s="22"/>
      <c r="I52" s="22" t="s">
        <v>191</v>
      </c>
      <c r="J52" s="22"/>
      <c r="K52" s="22"/>
    </row>
    <row r="53" spans="1:11" ht="13.5" customHeight="1" x14ac:dyDescent="0.15">
      <c r="A53" s="22" t="s">
        <v>28</v>
      </c>
      <c r="B53" s="22" t="s">
        <v>192</v>
      </c>
      <c r="C53" s="22" t="s">
        <v>193</v>
      </c>
      <c r="D53" s="22"/>
      <c r="E53" s="22" t="s">
        <v>194</v>
      </c>
      <c r="F53" s="22" t="s">
        <v>32</v>
      </c>
      <c r="G53" s="22"/>
      <c r="H53" s="22" t="s">
        <v>195</v>
      </c>
      <c r="I53" s="22"/>
      <c r="J53" s="22"/>
      <c r="K53" s="22"/>
    </row>
    <row r="54" spans="1:11" ht="13.5" customHeight="1" x14ac:dyDescent="0.15">
      <c r="A54" s="22" t="s">
        <v>28</v>
      </c>
      <c r="B54" s="22" t="s">
        <v>196</v>
      </c>
      <c r="C54" s="22" t="s">
        <v>197</v>
      </c>
      <c r="D54" s="22"/>
      <c r="E54" s="22" t="s">
        <v>198</v>
      </c>
      <c r="F54" s="22" t="s">
        <v>32</v>
      </c>
      <c r="G54" s="22"/>
      <c r="H54" s="22" t="s">
        <v>199</v>
      </c>
      <c r="I54" s="22"/>
      <c r="J54" s="22"/>
      <c r="K54" s="22"/>
    </row>
    <row r="55" spans="1:11" ht="13.5" customHeight="1" x14ac:dyDescent="0.15">
      <c r="A55" s="22" t="s">
        <v>28</v>
      </c>
      <c r="B55" s="22" t="s">
        <v>200</v>
      </c>
      <c r="C55" s="22" t="s">
        <v>201</v>
      </c>
      <c r="D55" s="22"/>
      <c r="E55" s="22" t="s">
        <v>202</v>
      </c>
      <c r="F55" s="22" t="s">
        <v>85</v>
      </c>
      <c r="G55" s="22" t="s">
        <v>59</v>
      </c>
      <c r="H55" s="22"/>
      <c r="I55" s="22"/>
      <c r="J55" s="22"/>
      <c r="K55" s="22"/>
    </row>
    <row r="56" spans="1:11" ht="13.5" customHeight="1" x14ac:dyDescent="0.15">
      <c r="A56" s="22" t="s">
        <v>49</v>
      </c>
      <c r="B56" s="22" t="s">
        <v>200</v>
      </c>
      <c r="C56" s="22" t="s">
        <v>201</v>
      </c>
      <c r="D56" s="22"/>
      <c r="E56" s="22" t="s">
        <v>203</v>
      </c>
      <c r="F56" s="22" t="s">
        <v>46</v>
      </c>
      <c r="G56" s="22" t="s">
        <v>59</v>
      </c>
      <c r="H56" s="22"/>
      <c r="I56" s="22"/>
      <c r="J56" s="22"/>
      <c r="K56" s="22"/>
    </row>
    <row r="57" spans="1:11" ht="13.5" customHeight="1" x14ac:dyDescent="0.15">
      <c r="A57" s="22" t="s">
        <v>49</v>
      </c>
      <c r="B57" s="22" t="s">
        <v>204</v>
      </c>
      <c r="C57" s="22" t="s">
        <v>205</v>
      </c>
      <c r="D57" s="22"/>
      <c r="E57" s="22" t="s">
        <v>206</v>
      </c>
      <c r="F57" s="22" t="s">
        <v>85</v>
      </c>
      <c r="G57" s="22" t="s">
        <v>59</v>
      </c>
      <c r="H57" s="22"/>
      <c r="I57" s="22"/>
      <c r="J57" s="22"/>
      <c r="K57" s="22"/>
    </row>
    <row r="58" spans="1:11" ht="13.5" customHeight="1" x14ac:dyDescent="0.15">
      <c r="A58" s="22" t="s">
        <v>28</v>
      </c>
      <c r="B58" s="22" t="s">
        <v>207</v>
      </c>
      <c r="C58" s="22" t="s">
        <v>208</v>
      </c>
      <c r="D58" s="22"/>
      <c r="E58" s="22" t="s">
        <v>209</v>
      </c>
      <c r="F58" s="22" t="s">
        <v>32</v>
      </c>
      <c r="G58" s="22"/>
      <c r="H58" s="22"/>
      <c r="I58" s="22"/>
      <c r="J58" s="22"/>
      <c r="K58" s="22"/>
    </row>
    <row r="59" spans="1:11" ht="13.5" customHeight="1" x14ac:dyDescent="0.15">
      <c r="A59" s="22" t="s">
        <v>28</v>
      </c>
      <c r="B59" s="22" t="s">
        <v>210</v>
      </c>
      <c r="C59" s="22" t="s">
        <v>211</v>
      </c>
      <c r="D59" s="22"/>
      <c r="E59" s="22" t="s">
        <v>212</v>
      </c>
      <c r="F59" s="22" t="s">
        <v>32</v>
      </c>
      <c r="G59" s="22"/>
      <c r="H59" s="22"/>
      <c r="I59" s="22"/>
      <c r="J59" s="22"/>
      <c r="K59" s="22"/>
    </row>
    <row r="60" spans="1:11" ht="13.5" customHeight="1" x14ac:dyDescent="0.15">
      <c r="A60" s="22" t="s">
        <v>49</v>
      </c>
      <c r="B60" s="22" t="s">
        <v>213</v>
      </c>
      <c r="C60" s="22" t="s">
        <v>214</v>
      </c>
      <c r="D60" s="22"/>
      <c r="E60" s="22" t="s">
        <v>215</v>
      </c>
      <c r="F60" s="22" t="s">
        <v>85</v>
      </c>
      <c r="G60" s="22" t="s">
        <v>86</v>
      </c>
      <c r="H60" s="22" t="s">
        <v>216</v>
      </c>
      <c r="I60" s="22"/>
      <c r="J60" s="22"/>
      <c r="K60" s="22"/>
    </row>
    <row r="61" spans="1:11" ht="13.5" customHeight="1" x14ac:dyDescent="0.15">
      <c r="A61" s="22" t="s">
        <v>28</v>
      </c>
      <c r="B61" s="22" t="s">
        <v>217</v>
      </c>
      <c r="C61" s="22" t="s">
        <v>218</v>
      </c>
      <c r="D61" s="22"/>
      <c r="E61" s="22" t="s">
        <v>219</v>
      </c>
      <c r="F61" s="22" t="s">
        <v>32</v>
      </c>
      <c r="G61" s="22"/>
      <c r="H61" s="22">
        <v>880</v>
      </c>
      <c r="I61" s="22"/>
      <c r="J61" s="22"/>
      <c r="K61" s="22"/>
    </row>
    <row r="62" spans="1:11" ht="13.5" customHeight="1" x14ac:dyDescent="0.15">
      <c r="A62" s="22" t="s">
        <v>33</v>
      </c>
      <c r="B62" s="22" t="s">
        <v>220</v>
      </c>
      <c r="C62" s="22" t="s">
        <v>221</v>
      </c>
      <c r="D62" s="22"/>
      <c r="E62" s="22" t="s">
        <v>222</v>
      </c>
      <c r="F62" s="22" t="s">
        <v>85</v>
      </c>
      <c r="G62" s="22" t="s">
        <v>59</v>
      </c>
      <c r="H62" s="22" t="s">
        <v>99</v>
      </c>
      <c r="I62" s="22"/>
      <c r="J62" s="22"/>
      <c r="K62" s="22"/>
    </row>
    <row r="63" spans="1:11" ht="13.5" customHeight="1" x14ac:dyDescent="0.15">
      <c r="A63" s="22" t="s">
        <v>44</v>
      </c>
      <c r="B63" s="22" t="s">
        <v>223</v>
      </c>
      <c r="C63" s="22" t="s">
        <v>224</v>
      </c>
      <c r="D63" s="22"/>
      <c r="E63" s="22" t="s">
        <v>225</v>
      </c>
      <c r="F63" s="22" t="s">
        <v>85</v>
      </c>
      <c r="G63" s="22" t="s">
        <v>86</v>
      </c>
      <c r="H63" s="22" t="s">
        <v>226</v>
      </c>
      <c r="I63" s="22" t="s">
        <v>227</v>
      </c>
      <c r="J63" s="22"/>
      <c r="K63" s="22"/>
    </row>
    <row r="64" spans="1:11" ht="13.5" customHeight="1" x14ac:dyDescent="0.15">
      <c r="A64" s="22" t="s">
        <v>49</v>
      </c>
      <c r="B64" s="22" t="s">
        <v>223</v>
      </c>
      <c r="C64" s="22" t="s">
        <v>224</v>
      </c>
      <c r="D64" s="22"/>
      <c r="E64" s="22" t="s">
        <v>228</v>
      </c>
      <c r="F64" s="22" t="s">
        <v>46</v>
      </c>
      <c r="G64" s="22" t="s">
        <v>59</v>
      </c>
      <c r="H64" s="22"/>
      <c r="I64" s="22" t="s">
        <v>229</v>
      </c>
      <c r="J64" s="22"/>
      <c r="K64" s="22"/>
    </row>
    <row r="65" spans="1:11" ht="13.5" customHeight="1" x14ac:dyDescent="0.15">
      <c r="A65" s="22" t="s">
        <v>28</v>
      </c>
      <c r="B65" s="22" t="s">
        <v>230</v>
      </c>
      <c r="C65" s="22" t="s">
        <v>231</v>
      </c>
      <c r="D65" s="22"/>
      <c r="E65" s="22" t="s">
        <v>232</v>
      </c>
      <c r="F65" s="22" t="s">
        <v>32</v>
      </c>
      <c r="G65" s="22"/>
      <c r="H65" s="22"/>
      <c r="I65" s="22"/>
      <c r="J65" s="22"/>
      <c r="K65" s="22"/>
    </row>
    <row r="66" spans="1:11" ht="13.5" customHeight="1" x14ac:dyDescent="0.15">
      <c r="A66" s="22" t="s">
        <v>28</v>
      </c>
      <c r="B66" s="22" t="s">
        <v>233</v>
      </c>
      <c r="C66" s="22" t="s">
        <v>234</v>
      </c>
      <c r="D66" s="22"/>
      <c r="E66" s="22" t="s">
        <v>235</v>
      </c>
      <c r="F66" s="22" t="s">
        <v>32</v>
      </c>
      <c r="G66" s="22"/>
      <c r="H66" s="22"/>
      <c r="I66" s="22"/>
      <c r="J66" s="22"/>
      <c r="K66" s="22"/>
    </row>
    <row r="67" spans="1:11" ht="13.5" customHeight="1" x14ac:dyDescent="0.15">
      <c r="A67" s="22" t="s">
        <v>28</v>
      </c>
      <c r="B67" s="22" t="s">
        <v>236</v>
      </c>
      <c r="C67" s="22" t="s">
        <v>237</v>
      </c>
      <c r="D67" s="22"/>
      <c r="E67" s="22" t="s">
        <v>238</v>
      </c>
      <c r="F67" s="22" t="s">
        <v>32</v>
      </c>
      <c r="G67" s="22"/>
      <c r="H67" s="22"/>
      <c r="I67" s="22"/>
      <c r="J67" s="22"/>
      <c r="K67" s="22"/>
    </row>
    <row r="68" spans="1:11" ht="13.5" customHeight="1" x14ac:dyDescent="0.15">
      <c r="A68" s="22" t="s">
        <v>81</v>
      </c>
      <c r="B68" s="22" t="s">
        <v>239</v>
      </c>
      <c r="C68" s="22" t="s">
        <v>240</v>
      </c>
      <c r="D68" s="22"/>
      <c r="E68" s="22" t="s">
        <v>241</v>
      </c>
      <c r="F68" s="22" t="s">
        <v>85</v>
      </c>
      <c r="G68" s="22" t="s">
        <v>59</v>
      </c>
      <c r="H68" s="22" t="s">
        <v>242</v>
      </c>
      <c r="I68" s="22" t="s">
        <v>243</v>
      </c>
      <c r="J68" s="22"/>
      <c r="K68" s="22"/>
    </row>
    <row r="69" spans="1:11" ht="13.5" customHeight="1" x14ac:dyDescent="0.15">
      <c r="A69" s="22" t="s">
        <v>81</v>
      </c>
      <c r="B69" s="22" t="s">
        <v>244</v>
      </c>
      <c r="C69" s="22" t="s">
        <v>245</v>
      </c>
      <c r="D69" s="22"/>
      <c r="E69" s="22" t="s">
        <v>246</v>
      </c>
      <c r="F69" s="22" t="s">
        <v>46</v>
      </c>
      <c r="G69" s="22" t="s">
        <v>59</v>
      </c>
      <c r="H69" s="22" t="s">
        <v>247</v>
      </c>
      <c r="I69" s="22"/>
      <c r="J69" s="22"/>
      <c r="K69" s="22"/>
    </row>
    <row r="70" spans="1:11" ht="13.5" customHeight="1" x14ac:dyDescent="0.15">
      <c r="A70" s="22" t="s">
        <v>28</v>
      </c>
      <c r="B70" s="22" t="s">
        <v>248</v>
      </c>
      <c r="C70" s="22" t="s">
        <v>249</v>
      </c>
      <c r="D70" s="22"/>
      <c r="E70" s="22" t="s">
        <v>250</v>
      </c>
      <c r="F70" s="22" t="s">
        <v>32</v>
      </c>
      <c r="G70" s="22"/>
      <c r="H70" s="22"/>
      <c r="I70" s="22"/>
      <c r="J70" s="22"/>
      <c r="K70" s="22"/>
    </row>
    <row r="71" spans="1:11" ht="13.5" customHeight="1" x14ac:dyDescent="0.15">
      <c r="A71" s="22" t="s">
        <v>28</v>
      </c>
      <c r="B71" s="22" t="s">
        <v>251</v>
      </c>
      <c r="C71" s="22" t="s">
        <v>252</v>
      </c>
      <c r="D71" s="22"/>
      <c r="E71" s="22" t="s">
        <v>253</v>
      </c>
      <c r="F71" s="22" t="s">
        <v>32</v>
      </c>
      <c r="G71" s="22"/>
      <c r="H71" s="22"/>
      <c r="I71" s="22"/>
      <c r="J71" s="22"/>
      <c r="K71" s="22"/>
    </row>
    <row r="72" spans="1:11" ht="13.5" customHeight="1" x14ac:dyDescent="0.15">
      <c r="A72" s="22" t="s">
        <v>28</v>
      </c>
      <c r="B72" s="22" t="s">
        <v>254</v>
      </c>
      <c r="C72" s="22" t="s">
        <v>255</v>
      </c>
      <c r="D72" s="22"/>
      <c r="E72" s="22" t="s">
        <v>256</v>
      </c>
      <c r="F72" s="22" t="s">
        <v>32</v>
      </c>
      <c r="G72" s="22"/>
      <c r="H72" s="22"/>
      <c r="I72" s="22"/>
      <c r="J72" s="22"/>
      <c r="K72" s="22"/>
    </row>
    <row r="73" spans="1:11" ht="13.5" customHeight="1" x14ac:dyDescent="0.15">
      <c r="A73" s="22" t="s">
        <v>28</v>
      </c>
      <c r="B73" s="22" t="s">
        <v>257</v>
      </c>
      <c r="C73" s="22" t="s">
        <v>258</v>
      </c>
      <c r="D73" s="22"/>
      <c r="E73" s="22" t="s">
        <v>259</v>
      </c>
      <c r="F73" s="22" t="s">
        <v>32</v>
      </c>
      <c r="G73" s="22"/>
      <c r="H73" s="22"/>
      <c r="I73" s="22"/>
      <c r="J73" s="22"/>
      <c r="K73" s="22"/>
    </row>
    <row r="74" spans="1:11" ht="13.5" customHeight="1" x14ac:dyDescent="0.15">
      <c r="A74" s="22" t="s">
        <v>28</v>
      </c>
      <c r="B74" s="22" t="s">
        <v>260</v>
      </c>
      <c r="C74" s="22" t="s">
        <v>261</v>
      </c>
      <c r="D74" s="22"/>
      <c r="E74" s="22" t="s">
        <v>262</v>
      </c>
      <c r="F74" s="22" t="s">
        <v>32</v>
      </c>
      <c r="G74" s="22"/>
      <c r="H74" s="22"/>
      <c r="I74" s="22"/>
      <c r="J74" s="22"/>
      <c r="K74" s="22"/>
    </row>
    <row r="75" spans="1:11" ht="13.5" customHeight="1" x14ac:dyDescent="0.15">
      <c r="A75" s="22" t="s">
        <v>28</v>
      </c>
      <c r="B75" s="22" t="s">
        <v>263</v>
      </c>
      <c r="C75" s="22" t="s">
        <v>264</v>
      </c>
      <c r="D75" s="22"/>
      <c r="E75" s="22"/>
      <c r="F75" s="22" t="s">
        <v>32</v>
      </c>
      <c r="G75" s="22"/>
      <c r="H75" s="22" t="s">
        <v>265</v>
      </c>
      <c r="I75" s="22"/>
      <c r="J75" s="22"/>
      <c r="K75" s="22"/>
    </row>
    <row r="76" spans="1:11" ht="13.5" customHeight="1" x14ac:dyDescent="0.15">
      <c r="A76" s="22" t="s">
        <v>49</v>
      </c>
      <c r="B76" s="22" t="s">
        <v>266</v>
      </c>
      <c r="C76" s="22" t="s">
        <v>267</v>
      </c>
      <c r="D76" s="22"/>
      <c r="E76" s="22" t="s">
        <v>268</v>
      </c>
      <c r="F76" s="22" t="s">
        <v>46</v>
      </c>
      <c r="G76" s="22" t="s">
        <v>59</v>
      </c>
      <c r="H76" s="22" t="s">
        <v>195</v>
      </c>
      <c r="I76" s="22"/>
      <c r="J76" s="22"/>
      <c r="K76" s="22"/>
    </row>
    <row r="77" spans="1:11" ht="13.5" customHeight="1" x14ac:dyDescent="0.15">
      <c r="A77" s="22" t="s">
        <v>49</v>
      </c>
      <c r="B77" s="22" t="s">
        <v>269</v>
      </c>
      <c r="C77" s="22" t="s">
        <v>270</v>
      </c>
      <c r="D77" s="22"/>
      <c r="E77" s="22" t="s">
        <v>271</v>
      </c>
      <c r="F77" s="22" t="s">
        <v>46</v>
      </c>
      <c r="G77" s="22" t="s">
        <v>86</v>
      </c>
      <c r="H77" s="22" t="s">
        <v>195</v>
      </c>
      <c r="I77" s="22"/>
      <c r="J77" s="22"/>
      <c r="K77" s="22"/>
    </row>
    <row r="78" spans="1:11" ht="13.5" customHeight="1" x14ac:dyDescent="0.15">
      <c r="A78" s="22" t="s">
        <v>44</v>
      </c>
      <c r="B78" s="22" t="s">
        <v>272</v>
      </c>
      <c r="C78" s="22" t="s">
        <v>273</v>
      </c>
      <c r="D78" s="22"/>
      <c r="E78" s="22" t="s">
        <v>274</v>
      </c>
      <c r="F78" s="22" t="s">
        <v>38</v>
      </c>
      <c r="G78" s="22" t="s">
        <v>148</v>
      </c>
      <c r="H78" s="22" t="s">
        <v>275</v>
      </c>
      <c r="I78" s="22" t="s">
        <v>150</v>
      </c>
      <c r="J78" s="22"/>
      <c r="K78" s="22"/>
    </row>
    <row r="79" spans="1:11" ht="13.5" customHeight="1" x14ac:dyDescent="0.15">
      <c r="A79" s="22" t="s">
        <v>276</v>
      </c>
      <c r="B79" s="22" t="s">
        <v>277</v>
      </c>
      <c r="C79" s="22" t="s">
        <v>278</v>
      </c>
      <c r="D79" s="22"/>
      <c r="E79" s="22" t="s">
        <v>279</v>
      </c>
      <c r="F79" s="22" t="s">
        <v>85</v>
      </c>
      <c r="G79" s="22" t="s">
        <v>59</v>
      </c>
      <c r="H79" s="22"/>
      <c r="I79" s="22"/>
      <c r="J79" s="22"/>
      <c r="K79" s="22"/>
    </row>
    <row r="80" spans="1:11" ht="13.5" customHeight="1" x14ac:dyDescent="0.15">
      <c r="A80" s="22" t="s">
        <v>44</v>
      </c>
      <c r="B80" s="22" t="s">
        <v>280</v>
      </c>
      <c r="C80" s="22"/>
      <c r="D80" s="22"/>
      <c r="E80" s="22" t="s">
        <v>281</v>
      </c>
      <c r="F80" s="22" t="s">
        <v>38</v>
      </c>
      <c r="G80" s="22" t="s">
        <v>148</v>
      </c>
      <c r="H80" s="22" t="s">
        <v>282</v>
      </c>
      <c r="I80" s="22"/>
      <c r="J80" s="22"/>
      <c r="K80" s="22"/>
    </row>
    <row r="81" spans="1:11" ht="13.5" customHeight="1" x14ac:dyDescent="0.15">
      <c r="A81" s="22" t="s">
        <v>44</v>
      </c>
      <c r="B81" s="22" t="s">
        <v>283</v>
      </c>
      <c r="C81" s="22"/>
      <c r="D81" s="22"/>
      <c r="E81" s="22" t="s">
        <v>284</v>
      </c>
      <c r="F81" s="22" t="s">
        <v>85</v>
      </c>
      <c r="G81" s="22" t="s">
        <v>86</v>
      </c>
      <c r="H81" s="22" t="s">
        <v>285</v>
      </c>
      <c r="I81" s="22"/>
      <c r="J81" s="22"/>
      <c r="K81" s="22"/>
    </row>
    <row r="82" spans="1:11" ht="13.5" customHeight="1" x14ac:dyDescent="0.15">
      <c r="A82" s="22" t="s">
        <v>44</v>
      </c>
      <c r="B82" s="22" t="s">
        <v>286</v>
      </c>
      <c r="C82" s="22"/>
      <c r="D82" s="22"/>
      <c r="E82" s="22" t="s">
        <v>287</v>
      </c>
      <c r="F82" s="22" t="s">
        <v>85</v>
      </c>
      <c r="G82" s="22" t="s">
        <v>59</v>
      </c>
      <c r="H82" s="22" t="s">
        <v>288</v>
      </c>
      <c r="I82" s="22"/>
      <c r="J82" s="22"/>
      <c r="K82" s="22"/>
    </row>
    <row r="83" spans="1:11" ht="13.5" customHeight="1" x14ac:dyDescent="0.15">
      <c r="A83" s="22" t="s">
        <v>44</v>
      </c>
      <c r="B83" s="22" t="s">
        <v>289</v>
      </c>
      <c r="C83" s="22"/>
      <c r="D83" s="22"/>
      <c r="E83" s="22" t="s">
        <v>290</v>
      </c>
      <c r="F83" s="22" t="s">
        <v>85</v>
      </c>
      <c r="G83" s="22" t="s">
        <v>59</v>
      </c>
      <c r="H83" s="22" t="s">
        <v>288</v>
      </c>
      <c r="I83" s="22"/>
      <c r="J83" s="22"/>
      <c r="K83" s="22"/>
    </row>
    <row r="84" spans="1:11" ht="13.5" customHeight="1" x14ac:dyDescent="0.15">
      <c r="A84" s="22"/>
      <c r="B84" s="22"/>
      <c r="C84" s="22"/>
      <c r="D84" s="22"/>
      <c r="E84" s="22"/>
      <c r="F84" s="22"/>
      <c r="G84" s="22"/>
      <c r="H84" s="22"/>
      <c r="I84" s="22"/>
      <c r="J84" s="22"/>
      <c r="K84" s="22"/>
    </row>
    <row r="85" spans="1:11" ht="13.5" customHeight="1" x14ac:dyDescent="0.15">
      <c r="A85" s="22"/>
      <c r="B85" s="22"/>
      <c r="C85" s="22"/>
      <c r="D85" s="22"/>
      <c r="E85" s="22"/>
      <c r="F85" s="22"/>
      <c r="G85" s="22"/>
      <c r="H85" s="22"/>
      <c r="I85" s="22"/>
      <c r="J85" s="22"/>
      <c r="K85" s="22"/>
    </row>
    <row r="86" spans="1:11" ht="13.5" customHeight="1" x14ac:dyDescent="0.15">
      <c r="A86" s="22"/>
      <c r="B86" s="22"/>
      <c r="C86" s="22"/>
      <c r="D86" s="22"/>
      <c r="E86" s="22"/>
      <c r="F86" s="22"/>
      <c r="G86" s="22"/>
      <c r="H86" s="22"/>
      <c r="I86" s="22"/>
      <c r="J86" s="22"/>
      <c r="K86" s="22"/>
    </row>
    <row r="87" spans="1:11" ht="13.5" customHeight="1" x14ac:dyDescent="0.15">
      <c r="A87" s="197" t="s">
        <v>291</v>
      </c>
      <c r="B87" s="189"/>
      <c r="C87" s="189"/>
      <c r="D87" s="189"/>
      <c r="E87" s="189"/>
      <c r="F87" s="189"/>
      <c r="G87" s="189"/>
      <c r="H87" s="189"/>
      <c r="I87" s="189"/>
      <c r="J87" s="189"/>
      <c r="K87" s="22"/>
    </row>
    <row r="88" spans="1:11" ht="13.5" customHeight="1" x14ac:dyDescent="0.15">
      <c r="A88" s="22"/>
      <c r="B88" s="22"/>
      <c r="C88" s="22" t="s">
        <v>292</v>
      </c>
      <c r="D88" s="22"/>
      <c r="E88" s="22"/>
      <c r="F88" s="22"/>
      <c r="G88" s="22"/>
      <c r="H88" s="22"/>
      <c r="I88" s="22"/>
      <c r="J88" s="22"/>
      <c r="K88" s="22"/>
    </row>
    <row r="89" spans="1:11" ht="13.5" customHeight="1" x14ac:dyDescent="0.15">
      <c r="A89" s="22"/>
      <c r="B89" s="22"/>
      <c r="C89" s="22"/>
      <c r="D89" s="22"/>
      <c r="E89" s="22"/>
      <c r="F89" s="22"/>
      <c r="G89" s="22"/>
      <c r="H89" s="22"/>
      <c r="I89" s="22"/>
      <c r="J89" s="22"/>
      <c r="K89" s="22"/>
    </row>
    <row r="90" spans="1:11" ht="13.5" customHeight="1" x14ac:dyDescent="0.15">
      <c r="A90" s="22"/>
      <c r="B90" s="22"/>
      <c r="C90" s="22" t="s">
        <v>293</v>
      </c>
      <c r="D90" s="22"/>
      <c r="E90" s="22"/>
      <c r="F90" s="22"/>
      <c r="G90" s="22"/>
      <c r="H90" s="22"/>
      <c r="I90" s="22"/>
      <c r="J90" s="22"/>
      <c r="K90" s="22"/>
    </row>
    <row r="91" spans="1:11" ht="13.5" customHeight="1" x14ac:dyDescent="0.15">
      <c r="A91" s="22"/>
      <c r="B91" s="22"/>
      <c r="C91" s="22" t="s">
        <v>294</v>
      </c>
      <c r="D91" s="22"/>
      <c r="E91" s="22"/>
      <c r="F91" s="22"/>
      <c r="G91" s="22"/>
      <c r="H91" s="22"/>
      <c r="I91" s="22"/>
      <c r="J91" s="22"/>
      <c r="K91" s="22"/>
    </row>
    <row r="92" spans="1:11" ht="13.5" customHeight="1" x14ac:dyDescent="0.15">
      <c r="A92" s="22"/>
      <c r="B92" s="22"/>
      <c r="C92" s="22" t="s">
        <v>295</v>
      </c>
      <c r="D92" s="22"/>
      <c r="E92" s="22"/>
      <c r="F92" s="22"/>
      <c r="G92" s="22"/>
      <c r="H92" s="22"/>
      <c r="I92" s="22"/>
      <c r="J92" s="22"/>
      <c r="K92" s="22"/>
    </row>
    <row r="93" spans="1:11" ht="13.5" customHeight="1" x14ac:dyDescent="0.15">
      <c r="A93" s="22"/>
      <c r="B93" s="22"/>
      <c r="C93" s="22"/>
      <c r="D93" s="22"/>
      <c r="E93" s="22"/>
      <c r="F93" s="22"/>
      <c r="G93" s="22"/>
      <c r="H93" s="22"/>
      <c r="I93" s="22"/>
      <c r="J93" s="22"/>
      <c r="K93" s="22"/>
    </row>
    <row r="94" spans="1:11" ht="13.5" customHeight="1" x14ac:dyDescent="0.15">
      <c r="A94" s="22"/>
      <c r="B94" s="22"/>
      <c r="C94" s="22" t="s">
        <v>296</v>
      </c>
      <c r="D94" s="22"/>
      <c r="E94" s="22"/>
      <c r="F94" s="22"/>
      <c r="G94" s="22"/>
      <c r="H94" s="22"/>
      <c r="I94" s="22"/>
      <c r="J94" s="22"/>
      <c r="K94" s="22"/>
    </row>
    <row r="95" spans="1:11" ht="13.5" customHeight="1" x14ac:dyDescent="0.15">
      <c r="A95" s="22"/>
      <c r="B95" s="22"/>
      <c r="C95" s="22" t="s">
        <v>297</v>
      </c>
      <c r="D95" s="22"/>
      <c r="E95" s="22"/>
      <c r="F95" s="22"/>
      <c r="G95" s="22"/>
      <c r="H95" s="22"/>
      <c r="I95" s="22"/>
      <c r="J95" s="22"/>
      <c r="K95" s="22"/>
    </row>
    <row r="96" spans="1:11" ht="13.5" customHeight="1" x14ac:dyDescent="0.15">
      <c r="A96" s="22"/>
      <c r="B96" s="22"/>
      <c r="C96" s="22" t="s">
        <v>298</v>
      </c>
      <c r="D96" s="22"/>
      <c r="E96" s="22"/>
      <c r="F96" s="22"/>
      <c r="G96" s="22"/>
      <c r="H96" s="22"/>
      <c r="I96" s="22"/>
      <c r="J96" s="22"/>
      <c r="K96" s="22"/>
    </row>
    <row r="97" spans="1:11" ht="13.5" customHeight="1" x14ac:dyDescent="0.15">
      <c r="A97" s="22"/>
      <c r="B97" s="22"/>
      <c r="C97" s="22" t="s">
        <v>299</v>
      </c>
      <c r="D97" s="22"/>
      <c r="E97" s="22"/>
      <c r="F97" s="22"/>
      <c r="G97" s="22"/>
      <c r="H97" s="22"/>
      <c r="I97" s="22"/>
      <c r="J97" s="22"/>
      <c r="K97" s="22"/>
    </row>
    <row r="98" spans="1:11" ht="13.5" customHeight="1" x14ac:dyDescent="0.15">
      <c r="A98" s="22"/>
      <c r="B98" s="22"/>
      <c r="C98" s="22"/>
      <c r="D98" s="22"/>
      <c r="E98" s="22"/>
      <c r="F98" s="22"/>
      <c r="G98" s="22"/>
      <c r="H98" s="22"/>
      <c r="I98" s="22"/>
      <c r="J98" s="22"/>
      <c r="K98" s="22"/>
    </row>
    <row r="99" spans="1:11" ht="13.5" customHeight="1" x14ac:dyDescent="0.15">
      <c r="A99" s="22" t="s">
        <v>300</v>
      </c>
      <c r="B99" s="22"/>
      <c r="C99" s="22"/>
      <c r="D99" s="22"/>
      <c r="E99" s="22"/>
      <c r="F99" s="22"/>
      <c r="G99" s="22"/>
      <c r="H99" s="22"/>
      <c r="I99" s="22"/>
      <c r="J99" s="22" t="s">
        <v>301</v>
      </c>
      <c r="K99" s="22" t="s">
        <v>302</v>
      </c>
    </row>
    <row r="100" spans="1:11" ht="13.5" customHeight="1" x14ac:dyDescent="0.15">
      <c r="A100" s="22" t="s">
        <v>303</v>
      </c>
      <c r="B100" s="22"/>
      <c r="C100" s="22" t="s">
        <v>304</v>
      </c>
      <c r="D100" s="22"/>
      <c r="E100" s="22"/>
      <c r="F100" s="22"/>
      <c r="G100" s="22"/>
      <c r="H100" s="22" t="s">
        <v>305</v>
      </c>
      <c r="I100" s="22"/>
      <c r="J100" s="22" t="s">
        <v>44</v>
      </c>
      <c r="K100" s="22" t="s">
        <v>306</v>
      </c>
    </row>
    <row r="101" spans="1:11" ht="13.5" customHeight="1" x14ac:dyDescent="0.15">
      <c r="A101" s="22" t="s">
        <v>307</v>
      </c>
      <c r="B101" s="22"/>
      <c r="C101" s="22"/>
      <c r="D101" s="22"/>
      <c r="E101" s="22"/>
      <c r="F101" s="22"/>
      <c r="G101" s="22"/>
      <c r="H101" s="22"/>
      <c r="I101" s="22" t="s">
        <v>49</v>
      </c>
      <c r="J101" s="22" t="s">
        <v>308</v>
      </c>
      <c r="K101" s="22"/>
    </row>
    <row r="102" spans="1:11" ht="13.5" customHeight="1" x14ac:dyDescent="0.15">
      <c r="A102" s="22" t="s">
        <v>309</v>
      </c>
      <c r="B102" s="22"/>
      <c r="C102" s="22"/>
      <c r="D102" s="22"/>
      <c r="E102" s="22"/>
      <c r="F102" s="22"/>
      <c r="G102" s="22"/>
      <c r="H102" s="22"/>
      <c r="I102" s="22" t="s">
        <v>81</v>
      </c>
      <c r="J102" s="22" t="s">
        <v>310</v>
      </c>
      <c r="K102" s="22"/>
    </row>
    <row r="103" spans="1:11" ht="13.5" customHeight="1" x14ac:dyDescent="0.15">
      <c r="A103" s="22"/>
      <c r="B103" s="22"/>
      <c r="C103" s="22"/>
      <c r="D103" s="22"/>
      <c r="E103" s="22"/>
      <c r="F103" s="22"/>
      <c r="G103" s="22"/>
      <c r="H103" s="22"/>
      <c r="I103" s="22"/>
      <c r="J103" s="22"/>
      <c r="K103" s="22"/>
    </row>
    <row r="104" spans="1:11" ht="13.5" customHeight="1" x14ac:dyDescent="0.15">
      <c r="A104" s="22"/>
      <c r="B104" s="22"/>
      <c r="C104" s="22" t="s">
        <v>311</v>
      </c>
      <c r="D104" s="22"/>
      <c r="E104" s="22"/>
      <c r="F104" s="22"/>
      <c r="G104" s="22"/>
      <c r="H104" s="22"/>
      <c r="I104" s="22"/>
      <c r="J104" s="22"/>
      <c r="K104" s="22" t="s">
        <v>312</v>
      </c>
    </row>
    <row r="105" spans="1:11" ht="13.5" customHeight="1" x14ac:dyDescent="0.15">
      <c r="A105" s="22"/>
      <c r="B105" s="22"/>
      <c r="C105" s="22"/>
      <c r="D105" s="22"/>
      <c r="E105" s="22"/>
      <c r="F105" s="22"/>
      <c r="G105" s="22"/>
      <c r="H105" s="22"/>
      <c r="I105" s="22"/>
      <c r="J105" s="22"/>
      <c r="K105" s="22" t="s">
        <v>313</v>
      </c>
    </row>
    <row r="106" spans="1:11" ht="13.5" customHeight="1" x14ac:dyDescent="0.15">
      <c r="A106" s="22" t="s">
        <v>314</v>
      </c>
      <c r="B106" s="22"/>
      <c r="C106" s="22" t="s">
        <v>315</v>
      </c>
      <c r="D106" s="22"/>
      <c r="E106" s="22"/>
      <c r="F106" s="22"/>
      <c r="G106" s="22"/>
      <c r="H106" s="22"/>
      <c r="I106" s="22"/>
      <c r="J106" s="22"/>
      <c r="K106" s="22"/>
    </row>
    <row r="107" spans="1:11" ht="13.5" customHeight="1" x14ac:dyDescent="0.15">
      <c r="A107" s="22" t="s">
        <v>316</v>
      </c>
      <c r="B107" s="22"/>
      <c r="C107" s="22"/>
      <c r="D107" s="22"/>
      <c r="E107" s="22"/>
      <c r="F107" s="22"/>
      <c r="G107" s="22"/>
      <c r="H107" s="22"/>
      <c r="I107" s="22"/>
      <c r="J107" s="22"/>
      <c r="K107" s="22"/>
    </row>
    <row r="108" spans="1:11" ht="13.5" customHeight="1" x14ac:dyDescent="0.15">
      <c r="A108" s="22" t="s">
        <v>317</v>
      </c>
      <c r="B108" s="22"/>
      <c r="C108" s="22"/>
      <c r="D108" s="22"/>
      <c r="E108" s="22"/>
      <c r="F108" s="22"/>
      <c r="G108" s="22"/>
      <c r="H108" s="22"/>
      <c r="I108" s="22"/>
      <c r="J108" s="22"/>
      <c r="K108" s="22"/>
    </row>
    <row r="109" spans="1:11" ht="13.5" customHeight="1" x14ac:dyDescent="0.15">
      <c r="A109" s="22" t="s">
        <v>318</v>
      </c>
      <c r="B109" s="22"/>
      <c r="C109" s="22"/>
      <c r="D109" s="22"/>
      <c r="E109" s="22"/>
      <c r="F109" s="22"/>
      <c r="G109" s="22"/>
      <c r="H109" s="22"/>
      <c r="I109" s="22"/>
      <c r="J109" s="22"/>
      <c r="K109" s="22"/>
    </row>
    <row r="110" spans="1:11" ht="13.5" customHeight="1" x14ac:dyDescent="0.15">
      <c r="A110" s="22" t="s">
        <v>319</v>
      </c>
      <c r="B110" s="22"/>
      <c r="C110" s="22"/>
      <c r="D110" s="22"/>
      <c r="E110" s="22"/>
      <c r="F110" s="22"/>
      <c r="G110" s="22"/>
      <c r="H110" s="22"/>
      <c r="I110" s="22"/>
      <c r="J110" s="22"/>
      <c r="K110" s="22"/>
    </row>
    <row r="111" spans="1:11" ht="13.5" customHeight="1" x14ac:dyDescent="0.15">
      <c r="A111" s="22" t="s">
        <v>320</v>
      </c>
      <c r="B111" s="22"/>
      <c r="C111" s="22"/>
      <c r="D111" s="22"/>
      <c r="E111" s="22"/>
      <c r="F111" s="22"/>
      <c r="G111" s="22"/>
      <c r="H111" s="22"/>
      <c r="I111" s="22"/>
      <c r="J111" s="22"/>
      <c r="K111" s="22"/>
    </row>
  </sheetData>
  <mergeCells count="1">
    <mergeCell ref="A87:J87"/>
  </mergeCells>
  <pageMargins left="0.7" right="0.7" top="0.75" bottom="0.75" header="0" footer="0"/>
  <pageSetup paperSize="9" fitToWidth="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26"/>
  <sheetViews>
    <sheetView workbookViewId="0">
      <pane ySplit="4" topLeftCell="A22" activePane="bottomLeft" state="frozen"/>
      <selection pane="bottomLeft" activeCell="B25" sqref="B25"/>
    </sheetView>
  </sheetViews>
  <sheetFormatPr defaultColWidth="13.97265625" defaultRowHeight="15" customHeight="1" x14ac:dyDescent="0.15"/>
  <cols>
    <col min="1" max="1" width="2.6953125" customWidth="1"/>
    <col min="2" max="2" width="11.5234375" customWidth="1"/>
    <col min="3" max="3" width="11.64453125" customWidth="1"/>
    <col min="4" max="4" width="10.05078125" customWidth="1"/>
    <col min="5" max="5" width="7.23046875" customWidth="1"/>
    <col min="6" max="6" width="7.96484375" customWidth="1"/>
    <col min="7" max="7" width="7.4765625" customWidth="1"/>
    <col min="8" max="8" width="11.64453125" customWidth="1"/>
    <col min="9" max="9" width="7.59765625" customWidth="1"/>
    <col min="10" max="10" width="13.484375" customWidth="1"/>
    <col min="11" max="11" width="8.578125" customWidth="1"/>
    <col min="12" max="12" width="9.4375" customWidth="1"/>
    <col min="13" max="13" width="14.33984375" customWidth="1"/>
    <col min="14" max="14" width="15.4453125" customWidth="1"/>
    <col min="15" max="15" width="10.05078125" customWidth="1"/>
    <col min="16" max="16" width="9.19140625" customWidth="1"/>
    <col min="17" max="35" width="10.05078125" customWidth="1"/>
  </cols>
  <sheetData>
    <row r="1" spans="1:35" ht="13.5" customHeight="1" x14ac:dyDescent="0.15">
      <c r="A1" s="23"/>
      <c r="B1" s="24"/>
      <c r="C1" s="25"/>
      <c r="D1" s="26"/>
      <c r="E1" s="25"/>
      <c r="F1" s="27"/>
      <c r="G1" s="28"/>
      <c r="H1" s="27"/>
      <c r="I1" s="29"/>
      <c r="J1" s="28"/>
      <c r="K1" s="30"/>
      <c r="L1" s="31"/>
      <c r="M1" s="32"/>
      <c r="N1" s="33"/>
      <c r="O1" s="34"/>
      <c r="P1" s="35"/>
      <c r="Q1" s="35"/>
      <c r="R1" s="35"/>
      <c r="S1" s="35"/>
      <c r="T1" s="35"/>
      <c r="U1" s="35"/>
      <c r="V1" s="35"/>
      <c r="W1" s="35"/>
      <c r="X1" s="35"/>
      <c r="Y1" s="35"/>
      <c r="Z1" s="35"/>
      <c r="AA1" s="35"/>
      <c r="AB1" s="35"/>
      <c r="AC1" s="35"/>
      <c r="AD1" s="35"/>
      <c r="AE1" s="35"/>
      <c r="AF1" s="35"/>
      <c r="AG1" s="33"/>
      <c r="AH1" s="33"/>
      <c r="AI1" s="33"/>
    </row>
    <row r="2" spans="1:35" ht="58.5" customHeight="1" x14ac:dyDescent="0.15">
      <c r="A2" s="23"/>
      <c r="B2" s="198" t="s">
        <v>321</v>
      </c>
      <c r="C2" s="199"/>
      <c r="D2" s="199"/>
      <c r="E2" s="199"/>
      <c r="F2" s="199"/>
      <c r="G2" s="199"/>
      <c r="H2" s="199"/>
      <c r="I2" s="199"/>
      <c r="J2" s="200"/>
      <c r="K2" s="36"/>
      <c r="L2" s="37"/>
      <c r="M2" s="38"/>
      <c r="N2" s="39"/>
      <c r="O2" s="40"/>
      <c r="P2" s="40"/>
      <c r="Q2" s="40"/>
      <c r="R2" s="40"/>
      <c r="S2" s="40"/>
      <c r="T2" s="40"/>
      <c r="U2" s="40"/>
      <c r="V2" s="40"/>
      <c r="W2" s="40"/>
      <c r="X2" s="40"/>
      <c r="Y2" s="40"/>
      <c r="Z2" s="40"/>
      <c r="AA2" s="40"/>
      <c r="AB2" s="40"/>
      <c r="AC2" s="40"/>
      <c r="AD2" s="40"/>
      <c r="AE2" s="40"/>
      <c r="AF2" s="40"/>
      <c r="AG2" s="39"/>
      <c r="AH2" s="39"/>
      <c r="AI2" s="39"/>
    </row>
    <row r="3" spans="1:35" ht="58.5" customHeight="1" x14ac:dyDescent="0.15">
      <c r="A3" s="14"/>
      <c r="B3" s="41">
        <v>2025</v>
      </c>
      <c r="C3" s="41"/>
      <c r="D3" s="41">
        <v>11</v>
      </c>
      <c r="E3" s="41"/>
      <c r="F3" s="41"/>
      <c r="G3" s="41"/>
      <c r="H3" s="41"/>
      <c r="I3" s="41"/>
      <c r="J3" s="41"/>
      <c r="K3" s="42"/>
      <c r="L3" s="43"/>
      <c r="M3" s="44"/>
      <c r="N3" s="45"/>
      <c r="O3" s="45"/>
      <c r="P3" s="45"/>
      <c r="Q3" s="45"/>
      <c r="R3" s="45"/>
      <c r="S3" s="45"/>
      <c r="T3" s="45"/>
      <c r="U3" s="45"/>
      <c r="V3" s="45"/>
      <c r="W3" s="45"/>
      <c r="X3" s="45"/>
      <c r="Y3" s="45"/>
      <c r="Z3" s="45"/>
      <c r="AA3" s="45"/>
      <c r="AB3" s="45"/>
      <c r="AC3" s="45"/>
      <c r="AD3" s="45"/>
      <c r="AE3" s="45"/>
      <c r="AF3" s="45"/>
      <c r="AG3" s="45"/>
      <c r="AH3" s="45"/>
      <c r="AI3" s="45"/>
    </row>
    <row r="4" spans="1:35" ht="13.5" customHeight="1" x14ac:dyDescent="0.15">
      <c r="A4" s="46"/>
      <c r="B4" s="47" t="s">
        <v>322</v>
      </c>
      <c r="C4" s="48" t="s">
        <v>23</v>
      </c>
      <c r="D4" s="48" t="s">
        <v>17</v>
      </c>
      <c r="E4" s="48" t="s">
        <v>19</v>
      </c>
      <c r="F4" s="48" t="s">
        <v>323</v>
      </c>
      <c r="G4" s="48" t="s">
        <v>324</v>
      </c>
      <c r="H4" s="48" t="s">
        <v>325</v>
      </c>
      <c r="I4" s="48" t="s">
        <v>326</v>
      </c>
      <c r="J4" s="48" t="s">
        <v>18</v>
      </c>
      <c r="K4" s="49" t="s">
        <v>327</v>
      </c>
      <c r="L4" s="50" t="s">
        <v>328</v>
      </c>
      <c r="M4" s="48" t="s">
        <v>329</v>
      </c>
      <c r="N4" s="48" t="s">
        <v>330</v>
      </c>
      <c r="O4" s="48" t="s">
        <v>331</v>
      </c>
      <c r="P4" s="51"/>
      <c r="Q4" s="51"/>
      <c r="R4" s="51"/>
      <c r="S4" s="51"/>
      <c r="T4" s="51"/>
      <c r="U4" s="51"/>
      <c r="V4" s="51"/>
      <c r="W4" s="51"/>
      <c r="X4" s="51"/>
      <c r="Y4" s="51"/>
      <c r="Z4" s="51"/>
      <c r="AA4" s="51"/>
      <c r="AB4" s="51"/>
      <c r="AC4" s="51"/>
      <c r="AD4" s="51"/>
      <c r="AE4" s="51"/>
      <c r="AF4" s="51"/>
      <c r="AG4" s="51"/>
      <c r="AH4" s="52"/>
      <c r="AI4" s="51"/>
    </row>
    <row r="5" spans="1:35" ht="13.5" customHeight="1" x14ac:dyDescent="0.15">
      <c r="A5" s="53"/>
      <c r="B5" s="54">
        <v>45959</v>
      </c>
      <c r="C5" s="55" t="s">
        <v>332</v>
      </c>
      <c r="D5" s="55" t="str">
        <f>IFERROR(VLOOKUP($C5,烤漆色號編碼!$A:$C,2,FALSE),"-")</f>
        <v>WE2</v>
      </c>
      <c r="E5" s="55">
        <f>IFERROR(VLOOKUP($C5,當前庫存!$C:$I,5,FALSE),"-")</f>
        <v>18</v>
      </c>
      <c r="F5" s="56">
        <v>5</v>
      </c>
      <c r="G5" s="56">
        <f>8+6</f>
        <v>14</v>
      </c>
      <c r="H5" s="55">
        <f>IFERROR(VLOOKUP($C5,烤漆色號編碼!$A:$D,4,FALSE)*每日用粉紀錄表!$F5+每日用粉紀錄表!$G5,"-")</f>
        <v>139</v>
      </c>
      <c r="I5" s="57">
        <v>8</v>
      </c>
      <c r="J5" s="58">
        <f>IFERROR(每日用粉紀錄表!$H5-每日用粉紀錄表!$I5,"-")</f>
        <v>131</v>
      </c>
      <c r="K5" s="59"/>
      <c r="L5" s="60"/>
      <c r="M5" s="61"/>
      <c r="N5" s="55"/>
      <c r="O5" s="55"/>
      <c r="P5" s="62"/>
      <c r="Q5" s="62"/>
      <c r="R5" s="62"/>
      <c r="S5" s="62"/>
      <c r="T5" s="62"/>
      <c r="U5" s="62"/>
      <c r="V5" s="62"/>
      <c r="W5" s="62"/>
      <c r="X5" s="62"/>
      <c r="Y5" s="62"/>
      <c r="Z5" s="62"/>
      <c r="AA5" s="62"/>
      <c r="AB5" s="62"/>
      <c r="AC5" s="62"/>
      <c r="AD5" s="62"/>
      <c r="AE5" s="62"/>
      <c r="AF5" s="62"/>
      <c r="AG5" s="33"/>
      <c r="AH5" s="33"/>
      <c r="AI5" s="33"/>
    </row>
    <row r="6" spans="1:35" ht="13.5" customHeight="1" x14ac:dyDescent="0.15">
      <c r="A6" s="53"/>
      <c r="B6" s="54">
        <v>45959</v>
      </c>
      <c r="C6" s="55" t="s">
        <v>333</v>
      </c>
      <c r="D6" s="55" t="str">
        <f>IFERROR(VLOOKUP($C6,烤漆色號編碼!$A:$C,2,FALSE),"-")</f>
        <v>-</v>
      </c>
      <c r="E6" s="55" t="str">
        <f>IFERROR(VLOOKUP($C6,當前庫存!$C:$I,5,FALSE),"-")</f>
        <v>-</v>
      </c>
      <c r="F6" s="56">
        <v>1</v>
      </c>
      <c r="G6" s="56"/>
      <c r="H6" s="55">
        <f>IFERROR(VLOOKUP($C6,烤漆色號編碼!$A:$D,4,FALSE)*每日用粉紀錄表!$F6+每日用粉紀錄表!$G6,"-")</f>
        <v>25</v>
      </c>
      <c r="I6" s="57"/>
      <c r="J6" s="58">
        <f>IFERROR(每日用粉紀錄表!$H6-每日用粉紀錄表!$I6,"-")</f>
        <v>25</v>
      </c>
      <c r="K6" s="59"/>
      <c r="L6" s="60"/>
      <c r="M6" s="61"/>
      <c r="N6" s="55"/>
      <c r="O6" s="55"/>
      <c r="P6" s="62"/>
      <c r="Q6" s="62"/>
      <c r="R6" s="62"/>
      <c r="S6" s="62"/>
      <c r="T6" s="62"/>
      <c r="U6" s="62"/>
      <c r="V6" s="62"/>
      <c r="W6" s="62"/>
      <c r="X6" s="62"/>
      <c r="Y6" s="62"/>
      <c r="Z6" s="62"/>
      <c r="AA6" s="62"/>
      <c r="AB6" s="62"/>
      <c r="AC6" s="62"/>
      <c r="AD6" s="62"/>
      <c r="AE6" s="62"/>
      <c r="AF6" s="62"/>
      <c r="AG6" s="33"/>
      <c r="AH6" s="33"/>
      <c r="AI6" s="33"/>
    </row>
    <row r="7" spans="1:35" ht="13.5" customHeight="1" x14ac:dyDescent="0.15">
      <c r="A7" s="53"/>
      <c r="B7" s="54">
        <v>45960</v>
      </c>
      <c r="C7" s="55" t="s">
        <v>334</v>
      </c>
      <c r="D7" s="55" t="str">
        <f>IFERROR(VLOOKUP($C7,烤漆色號編碼!$A:$C,2,FALSE),"-")</f>
        <v>BEG</v>
      </c>
      <c r="E7" s="55">
        <f>IFERROR(VLOOKUP($C7,當前庫存!$C:$I,5,FALSE),"-")</f>
        <v>4</v>
      </c>
      <c r="F7" s="56">
        <v>1</v>
      </c>
      <c r="G7" s="56">
        <v>5</v>
      </c>
      <c r="H7" s="55">
        <f>IFERROR(VLOOKUP($C7,烤漆色號編碼!$A:$D,4,FALSE)*每日用粉紀錄表!$F7+每日用粉紀錄表!$G7,"-")</f>
        <v>30</v>
      </c>
      <c r="I7" s="57">
        <v>21</v>
      </c>
      <c r="J7" s="58">
        <f>IFERROR(每日用粉紀錄表!$H7-每日用粉紀錄表!$I7,"-")</f>
        <v>9</v>
      </c>
      <c r="K7" s="59"/>
      <c r="L7" s="60"/>
      <c r="M7" s="61"/>
      <c r="N7" s="55"/>
      <c r="O7" s="55"/>
      <c r="P7" s="62"/>
      <c r="Q7" s="62"/>
      <c r="R7" s="62"/>
      <c r="S7" s="62"/>
      <c r="T7" s="62"/>
      <c r="U7" s="62"/>
      <c r="V7" s="62"/>
      <c r="W7" s="62"/>
      <c r="X7" s="62"/>
      <c r="Y7" s="62"/>
      <c r="Z7" s="62"/>
      <c r="AA7" s="62"/>
      <c r="AB7" s="62"/>
      <c r="AC7" s="62"/>
      <c r="AD7" s="62"/>
      <c r="AE7" s="62"/>
      <c r="AF7" s="62"/>
      <c r="AG7" s="33"/>
      <c r="AH7" s="33"/>
      <c r="AI7" s="33"/>
    </row>
    <row r="8" spans="1:35" ht="13.5" customHeight="1" x14ac:dyDescent="0.15">
      <c r="A8" s="53"/>
      <c r="B8" s="54">
        <v>45960</v>
      </c>
      <c r="C8" s="55" t="s">
        <v>2</v>
      </c>
      <c r="D8" s="55" t="str">
        <f>IFERROR(VLOOKUP($C8,烤漆色號編碼!$A:$C,2,FALSE),"-")</f>
        <v>BK</v>
      </c>
      <c r="E8" s="55">
        <f>IFERROR(VLOOKUP($C8,當前庫存!$C:$I,5,FALSE),"-")</f>
        <v>4</v>
      </c>
      <c r="F8" s="56"/>
      <c r="G8" s="56">
        <v>11</v>
      </c>
      <c r="H8" s="55">
        <f>IFERROR(VLOOKUP($C8,烤漆色號編碼!$A:$D,4,FALSE)*每日用粉紀錄表!$F8+每日用粉紀錄表!$G8,"-")</f>
        <v>11</v>
      </c>
      <c r="I8" s="57">
        <v>11</v>
      </c>
      <c r="J8" s="58">
        <f>IFERROR(每日用粉紀錄表!$H8-每日用粉紀錄表!$I8,"-")</f>
        <v>0</v>
      </c>
      <c r="K8" s="59"/>
      <c r="L8" s="60"/>
      <c r="M8" s="61"/>
      <c r="N8" s="55"/>
      <c r="O8" s="55"/>
      <c r="P8" s="62"/>
      <c r="Q8" s="62"/>
      <c r="R8" s="62"/>
      <c r="S8" s="62"/>
      <c r="T8" s="62"/>
      <c r="U8" s="62"/>
      <c r="V8" s="62"/>
      <c r="W8" s="62"/>
      <c r="X8" s="62"/>
      <c r="Y8" s="62"/>
      <c r="Z8" s="62"/>
      <c r="AA8" s="62"/>
      <c r="AB8" s="62"/>
      <c r="AC8" s="62"/>
      <c r="AD8" s="62"/>
      <c r="AE8" s="62"/>
      <c r="AF8" s="62"/>
      <c r="AG8" s="33"/>
      <c r="AH8" s="33"/>
      <c r="AI8" s="33"/>
    </row>
    <row r="9" spans="1:35" ht="13.5" customHeight="1" x14ac:dyDescent="0.15">
      <c r="A9" s="53"/>
      <c r="B9" s="54">
        <v>45960</v>
      </c>
      <c r="C9" s="55" t="s">
        <v>335</v>
      </c>
      <c r="D9" s="55" t="str">
        <f>IFERROR(VLOOKUP($C9,烤漆色號編碼!$A:$C,2,FALSE),"-")</f>
        <v>BKH</v>
      </c>
      <c r="E9" s="55">
        <f>IFERROR(VLOOKUP($C9,當前庫存!$C:$I,5,FALSE),"-")</f>
        <v>0</v>
      </c>
      <c r="F9" s="56"/>
      <c r="G9" s="56">
        <v>20</v>
      </c>
      <c r="H9" s="55">
        <f>IFERROR(VLOOKUP($C9,烤漆色號編碼!$A:$D,4,FALSE)*每日用粉紀錄表!$F9+每日用粉紀錄表!$G9,"-")</f>
        <v>20</v>
      </c>
      <c r="I9" s="57">
        <v>18</v>
      </c>
      <c r="J9" s="58">
        <f>IFERROR(每日用粉紀錄表!$H9-每日用粉紀錄表!$I9,"-")</f>
        <v>2</v>
      </c>
      <c r="K9" s="59"/>
      <c r="L9" s="60"/>
      <c r="M9" s="61"/>
      <c r="N9" s="55"/>
      <c r="O9" s="55"/>
      <c r="P9" s="62"/>
      <c r="Q9" s="62"/>
      <c r="R9" s="62"/>
      <c r="S9" s="62"/>
      <c r="T9" s="62"/>
      <c r="U9" s="62"/>
      <c r="V9" s="62"/>
      <c r="W9" s="62"/>
      <c r="X9" s="62"/>
      <c r="Y9" s="62"/>
      <c r="Z9" s="62"/>
      <c r="AA9" s="62"/>
      <c r="AB9" s="62"/>
      <c r="AC9" s="62"/>
      <c r="AD9" s="62"/>
      <c r="AE9" s="62"/>
      <c r="AF9" s="62"/>
      <c r="AG9" s="33"/>
      <c r="AH9" s="33"/>
      <c r="AI9" s="33"/>
    </row>
    <row r="10" spans="1:35" ht="13.5" customHeight="1" x14ac:dyDescent="0.15">
      <c r="A10" s="53"/>
      <c r="B10" s="54">
        <v>45960</v>
      </c>
      <c r="C10" s="55" t="s">
        <v>332</v>
      </c>
      <c r="D10" s="55" t="str">
        <f>IFERROR(VLOOKUP($C10,烤漆色號編碼!$A:$C,2,FALSE),"-")</f>
        <v>WE2</v>
      </c>
      <c r="E10" s="55">
        <f>IFERROR(VLOOKUP($C10,當前庫存!$C:$I,5,FALSE),"-")</f>
        <v>18</v>
      </c>
      <c r="F10" s="56">
        <v>3</v>
      </c>
      <c r="G10" s="56">
        <v>8</v>
      </c>
      <c r="H10" s="55">
        <f>IFERROR(VLOOKUP($C10,烤漆色號編碼!$A:$D,4,FALSE)*每日用粉紀錄表!$F10+每日用粉紀錄表!$G10,"-")</f>
        <v>83</v>
      </c>
      <c r="I10" s="57">
        <v>6</v>
      </c>
      <c r="J10" s="58">
        <f>IFERROR(每日用粉紀錄表!$H10-每日用粉紀錄表!$I10,"-")</f>
        <v>77</v>
      </c>
      <c r="K10" s="59"/>
      <c r="L10" s="60"/>
      <c r="M10" s="61"/>
      <c r="N10" s="55"/>
      <c r="O10" s="55"/>
      <c r="P10" s="62"/>
      <c r="Q10" s="62"/>
      <c r="R10" s="62"/>
      <c r="S10" s="62"/>
      <c r="T10" s="62"/>
      <c r="U10" s="62"/>
      <c r="V10" s="62"/>
      <c r="W10" s="62"/>
      <c r="X10" s="62"/>
      <c r="Y10" s="62"/>
      <c r="Z10" s="62"/>
      <c r="AA10" s="62"/>
      <c r="AB10" s="62"/>
      <c r="AC10" s="62"/>
      <c r="AD10" s="62"/>
      <c r="AE10" s="62"/>
      <c r="AF10" s="62"/>
      <c r="AG10" s="33"/>
      <c r="AH10" s="33"/>
      <c r="AI10" s="33"/>
    </row>
    <row r="11" spans="1:35" ht="13.5" customHeight="1" x14ac:dyDescent="0.15">
      <c r="A11" s="53"/>
      <c r="B11" s="54">
        <v>45960</v>
      </c>
      <c r="C11" s="55" t="s">
        <v>333</v>
      </c>
      <c r="D11" s="55" t="str">
        <f>IFERROR(VLOOKUP($C11,烤漆色號編碼!$A:$C,2,FALSE),"-")</f>
        <v>-</v>
      </c>
      <c r="E11" s="55" t="str">
        <f>IFERROR(VLOOKUP($C11,當前庫存!$C:$I,5,FALSE),"-")</f>
        <v>-</v>
      </c>
      <c r="F11" s="56">
        <v>2</v>
      </c>
      <c r="G11" s="56"/>
      <c r="H11" s="55">
        <f>IFERROR(VLOOKUP($C11,烤漆色號編碼!$A:$D,4,FALSE)*每日用粉紀錄表!$F11+每日用粉紀錄表!$G11,"-")</f>
        <v>50</v>
      </c>
      <c r="I11" s="57"/>
      <c r="J11" s="58">
        <f>IFERROR(每日用粉紀錄表!$H11-每日用粉紀錄表!$I11,"-")</f>
        <v>50</v>
      </c>
      <c r="K11" s="59"/>
      <c r="L11" s="60"/>
      <c r="M11" s="61"/>
      <c r="N11" s="55"/>
      <c r="O11" s="55"/>
      <c r="P11" s="62"/>
      <c r="Q11" s="62"/>
      <c r="R11" s="62"/>
      <c r="S11" s="62"/>
      <c r="T11" s="62"/>
      <c r="U11" s="62"/>
      <c r="V11" s="62"/>
      <c r="W11" s="62"/>
      <c r="X11" s="62"/>
      <c r="Y11" s="62"/>
      <c r="Z11" s="62"/>
      <c r="AA11" s="62"/>
      <c r="AB11" s="62"/>
      <c r="AC11" s="62"/>
      <c r="AD11" s="62"/>
      <c r="AE11" s="62"/>
      <c r="AF11" s="62"/>
      <c r="AG11" s="33"/>
      <c r="AH11" s="33"/>
      <c r="AI11" s="33"/>
    </row>
    <row r="12" spans="1:35" ht="13.5" customHeight="1" x14ac:dyDescent="0.15">
      <c r="A12" s="53"/>
      <c r="B12" s="54">
        <v>45961</v>
      </c>
      <c r="C12" s="55" t="s">
        <v>332</v>
      </c>
      <c r="D12" s="55" t="str">
        <f>IFERROR(VLOOKUP($C12,烤漆色號編碼!$A:$C,2,FALSE),"-")</f>
        <v>WE2</v>
      </c>
      <c r="E12" s="55">
        <f>IFERROR(VLOOKUP($C12,當前庫存!$C:$I,5,FALSE),"-")</f>
        <v>18</v>
      </c>
      <c r="F12" s="56">
        <v>2</v>
      </c>
      <c r="G12" s="56">
        <v>6</v>
      </c>
      <c r="H12" s="55">
        <f>IFERROR(VLOOKUP($C12,烤漆色號編碼!$A:$D,4,FALSE)*每日用粉紀錄表!$F12+每日用粉紀錄表!$G12,"-")</f>
        <v>56</v>
      </c>
      <c r="I12" s="57">
        <f>10+6</f>
        <v>16</v>
      </c>
      <c r="J12" s="58">
        <f>IFERROR(每日用粉紀錄表!$H12-每日用粉紀錄表!$I12,"-")</f>
        <v>40</v>
      </c>
      <c r="K12" s="59"/>
      <c r="L12" s="60"/>
      <c r="M12" s="61"/>
      <c r="N12" s="55"/>
      <c r="O12" s="55"/>
      <c r="P12" s="62"/>
      <c r="Q12" s="62"/>
      <c r="R12" s="62"/>
      <c r="S12" s="62"/>
      <c r="T12" s="62"/>
      <c r="U12" s="62"/>
      <c r="V12" s="62"/>
      <c r="W12" s="62"/>
      <c r="X12" s="62"/>
      <c r="Y12" s="62"/>
      <c r="Z12" s="62"/>
      <c r="AA12" s="62"/>
      <c r="AB12" s="62"/>
      <c r="AC12" s="62"/>
      <c r="AD12" s="62"/>
      <c r="AE12" s="62"/>
      <c r="AF12" s="62"/>
      <c r="AG12" s="33"/>
      <c r="AH12" s="33"/>
      <c r="AI12" s="33"/>
    </row>
    <row r="13" spans="1:35" ht="13.5" customHeight="1" x14ac:dyDescent="0.15">
      <c r="A13" s="53"/>
      <c r="B13" s="54">
        <v>45961</v>
      </c>
      <c r="C13" s="55" t="s">
        <v>336</v>
      </c>
      <c r="D13" s="55" t="str">
        <f>IFERROR(VLOOKUP($C13,烤漆色號編碼!$A:$C,2,FALSE),"-")</f>
        <v>EBK</v>
      </c>
      <c r="E13" s="55">
        <f>IFERROR(VLOOKUP($C13,當前庫存!$C:$I,5,FALSE),"-")</f>
        <v>3</v>
      </c>
      <c r="F13" s="56"/>
      <c r="G13" s="56">
        <v>26</v>
      </c>
      <c r="H13" s="55">
        <f>IFERROR(VLOOKUP($C13,烤漆色號編碼!$A:$D,4,FALSE)*每日用粉紀錄表!$F13+每日用粉紀錄表!$G13,"-")</f>
        <v>26</v>
      </c>
      <c r="I13" s="57">
        <v>24</v>
      </c>
      <c r="J13" s="58">
        <f>IFERROR(每日用粉紀錄表!$H13-每日用粉紀錄表!$I13,"-")</f>
        <v>2</v>
      </c>
      <c r="K13" s="59"/>
      <c r="L13" s="60"/>
      <c r="M13" s="61"/>
      <c r="N13" s="55"/>
      <c r="O13" s="55"/>
      <c r="P13" s="62"/>
      <c r="Q13" s="62"/>
      <c r="R13" s="62"/>
      <c r="S13" s="62"/>
      <c r="T13" s="62"/>
      <c r="U13" s="62"/>
      <c r="V13" s="62"/>
      <c r="W13" s="62"/>
      <c r="X13" s="62"/>
      <c r="Y13" s="62"/>
      <c r="Z13" s="62"/>
      <c r="AA13" s="62"/>
      <c r="AB13" s="62"/>
      <c r="AC13" s="62"/>
      <c r="AD13" s="62"/>
      <c r="AE13" s="62"/>
      <c r="AF13" s="62"/>
      <c r="AG13" s="33"/>
      <c r="AH13" s="33"/>
      <c r="AI13" s="33"/>
    </row>
    <row r="14" spans="1:35" ht="13.5" customHeight="1" x14ac:dyDescent="0.15">
      <c r="A14" s="53"/>
      <c r="B14" s="54">
        <v>45961</v>
      </c>
      <c r="C14" s="55" t="s">
        <v>337</v>
      </c>
      <c r="D14" s="55" t="str">
        <f>IFERROR(VLOOKUP($C14,烤漆色號編碼!$A:$C,2,FALSE),"-")</f>
        <v>IG</v>
      </c>
      <c r="E14" s="55">
        <f>IFERROR(VLOOKUP($C14,當前庫存!$C:$I,5,FALSE),"-")</f>
        <v>0</v>
      </c>
      <c r="F14" s="56"/>
      <c r="G14" s="56">
        <v>12</v>
      </c>
      <c r="H14" s="55">
        <f>IFERROR(VLOOKUP($C14,烤漆色號編碼!$A:$D,4,FALSE)*每日用粉紀錄表!$F14+每日用粉紀錄表!$G14,"-")</f>
        <v>12</v>
      </c>
      <c r="I14" s="57">
        <v>12</v>
      </c>
      <c r="J14" s="58">
        <f>IFERROR(每日用粉紀錄表!$H14-每日用粉紀錄表!$I14,"-")</f>
        <v>0</v>
      </c>
      <c r="K14" s="59"/>
      <c r="L14" s="60"/>
      <c r="M14" s="61"/>
      <c r="N14" s="55"/>
      <c r="O14" s="55"/>
      <c r="P14" s="62"/>
      <c r="Q14" s="62"/>
      <c r="R14" s="62"/>
      <c r="S14" s="62"/>
      <c r="T14" s="62"/>
      <c r="U14" s="62"/>
      <c r="V14" s="62"/>
      <c r="W14" s="62"/>
      <c r="X14" s="62"/>
      <c r="Y14" s="62"/>
      <c r="Z14" s="62"/>
      <c r="AA14" s="62"/>
      <c r="AB14" s="62"/>
      <c r="AC14" s="62"/>
      <c r="AD14" s="62"/>
      <c r="AE14" s="62"/>
      <c r="AF14" s="62"/>
      <c r="AG14" s="33"/>
      <c r="AH14" s="33"/>
      <c r="AI14" s="33"/>
    </row>
    <row r="15" spans="1:35" ht="13.5" customHeight="1" x14ac:dyDescent="0.15">
      <c r="A15" s="53"/>
      <c r="B15" s="54">
        <v>45961</v>
      </c>
      <c r="C15" s="55" t="s">
        <v>335</v>
      </c>
      <c r="D15" s="55" t="str">
        <f>IFERROR(VLOOKUP($C15,烤漆色號編碼!$A:$C,2,FALSE),"-")</f>
        <v>BKH</v>
      </c>
      <c r="E15" s="55">
        <f>IFERROR(VLOOKUP($C15,當前庫存!$C:$I,5,FALSE),"-")</f>
        <v>0</v>
      </c>
      <c r="F15" s="56"/>
      <c r="G15" s="56">
        <v>18</v>
      </c>
      <c r="H15" s="55">
        <f>IFERROR(VLOOKUP($C15,烤漆色號編碼!$A:$D,4,FALSE)*每日用粉紀錄表!$F15+每日用粉紀錄表!$G15,"-")</f>
        <v>18</v>
      </c>
      <c r="I15" s="57">
        <v>17</v>
      </c>
      <c r="J15" s="58">
        <f>IFERROR(每日用粉紀錄表!$H15-每日用粉紀錄表!$I15,"-")</f>
        <v>1</v>
      </c>
      <c r="K15" s="59"/>
      <c r="L15" s="60"/>
      <c r="M15" s="61"/>
      <c r="N15" s="55"/>
      <c r="O15" s="55"/>
      <c r="P15" s="62"/>
      <c r="Q15" s="62"/>
      <c r="R15" s="62"/>
      <c r="S15" s="62"/>
      <c r="T15" s="62"/>
      <c r="U15" s="62"/>
      <c r="V15" s="62"/>
      <c r="W15" s="62"/>
      <c r="X15" s="62"/>
      <c r="Y15" s="62"/>
      <c r="Z15" s="62"/>
      <c r="AA15" s="62"/>
      <c r="AB15" s="62"/>
      <c r="AC15" s="62"/>
      <c r="AD15" s="62"/>
      <c r="AE15" s="62"/>
      <c r="AF15" s="62"/>
      <c r="AG15" s="33"/>
      <c r="AH15" s="33"/>
      <c r="AI15" s="33"/>
    </row>
    <row r="16" spans="1:35" ht="13.5" customHeight="1" x14ac:dyDescent="0.15">
      <c r="A16" s="53"/>
      <c r="B16" s="54">
        <v>45961</v>
      </c>
      <c r="C16" s="55" t="s">
        <v>338</v>
      </c>
      <c r="D16" s="55" t="str">
        <f>IFERROR(VLOOKUP($C16,烤漆色號編碼!$A:$C,2,FALSE),"-")</f>
        <v>YW1</v>
      </c>
      <c r="E16" s="55">
        <f>IFERROR(VLOOKUP($C16,當前庫存!$C:$I,5,FALSE),"-")</f>
        <v>11</v>
      </c>
      <c r="F16" s="56">
        <v>2</v>
      </c>
      <c r="G16" s="56">
        <v>5</v>
      </c>
      <c r="H16" s="55">
        <f>IFERROR(VLOOKUP($C16,烤漆色號編碼!$A:$D,4,FALSE)*每日用粉紀錄表!$F16+每日用粉紀錄表!$G16,"-")</f>
        <v>55</v>
      </c>
      <c r="I16" s="57">
        <v>19</v>
      </c>
      <c r="J16" s="58">
        <f>IFERROR(每日用粉紀錄表!$H16-每日用粉紀錄表!$I16,"-")</f>
        <v>36</v>
      </c>
      <c r="K16" s="59"/>
      <c r="L16" s="60"/>
      <c r="M16" s="61"/>
      <c r="N16" s="55"/>
      <c r="O16" s="55"/>
      <c r="P16" s="62"/>
      <c r="Q16" s="62"/>
      <c r="R16" s="62"/>
      <c r="S16" s="62"/>
      <c r="T16" s="62"/>
      <c r="U16" s="62"/>
      <c r="V16" s="62"/>
      <c r="W16" s="62"/>
      <c r="X16" s="62"/>
      <c r="Y16" s="62"/>
      <c r="Z16" s="62"/>
      <c r="AA16" s="62"/>
      <c r="AB16" s="62"/>
      <c r="AC16" s="62"/>
      <c r="AD16" s="62"/>
      <c r="AE16" s="62"/>
      <c r="AF16" s="62"/>
      <c r="AG16" s="33"/>
      <c r="AH16" s="33"/>
      <c r="AI16" s="33"/>
    </row>
    <row r="17" spans="1:35" ht="13.5" customHeight="1" x14ac:dyDescent="0.15">
      <c r="A17" s="53"/>
      <c r="B17" s="54">
        <v>45961</v>
      </c>
      <c r="C17" s="55" t="s">
        <v>339</v>
      </c>
      <c r="D17" s="55" t="str">
        <f>IFERROR(VLOOKUP($C17,烤漆色號編碼!$A:$C,2,FALSE),"-")</f>
        <v>BKS1</v>
      </c>
      <c r="E17" s="55">
        <f>IFERROR(VLOOKUP($C17,當前庫存!$C:$I,5,FALSE),"-")</f>
        <v>24</v>
      </c>
      <c r="F17" s="56"/>
      <c r="G17" s="56">
        <v>18</v>
      </c>
      <c r="H17" s="55">
        <f>IFERROR(VLOOKUP($C17,烤漆色號編碼!$A:$D,4,FALSE)*每日用粉紀錄表!$F17+每日用粉紀錄表!$G17,"-")</f>
        <v>18</v>
      </c>
      <c r="I17" s="57">
        <v>7</v>
      </c>
      <c r="J17" s="58">
        <f>IFERROR(每日用粉紀錄表!$H17-每日用粉紀錄表!$I17,"-")</f>
        <v>11</v>
      </c>
      <c r="K17" s="59"/>
      <c r="L17" s="60"/>
      <c r="M17" s="61"/>
      <c r="N17" s="55"/>
      <c r="O17" s="55"/>
      <c r="P17" s="62"/>
      <c r="Q17" s="62"/>
      <c r="R17" s="62"/>
      <c r="S17" s="62"/>
      <c r="T17" s="62"/>
      <c r="U17" s="62"/>
      <c r="V17" s="62"/>
      <c r="W17" s="62"/>
      <c r="X17" s="62"/>
      <c r="Y17" s="62"/>
      <c r="Z17" s="62"/>
      <c r="AA17" s="62"/>
      <c r="AB17" s="62"/>
      <c r="AC17" s="62"/>
      <c r="AD17" s="62"/>
      <c r="AE17" s="62"/>
      <c r="AF17" s="62"/>
      <c r="AG17" s="33"/>
      <c r="AH17" s="33"/>
      <c r="AI17" s="33"/>
    </row>
    <row r="18" spans="1:35" ht="13.5" customHeight="1" x14ac:dyDescent="0.15">
      <c r="A18" s="53"/>
      <c r="B18" s="54">
        <v>45961</v>
      </c>
      <c r="C18" s="55" t="s">
        <v>333</v>
      </c>
      <c r="D18" s="55" t="str">
        <f>IFERROR(VLOOKUP($C18,烤漆色號編碼!$A:$C,2,FALSE),"-")</f>
        <v>-</v>
      </c>
      <c r="E18" s="55" t="str">
        <f>IFERROR(VLOOKUP($C18,當前庫存!$C:$I,5,FALSE),"-")</f>
        <v>-</v>
      </c>
      <c r="F18" s="56">
        <v>1</v>
      </c>
      <c r="G18" s="56"/>
      <c r="H18" s="55">
        <f>IFERROR(VLOOKUP($C18,烤漆色號編碼!$A:$D,4,FALSE)*每日用粉紀錄表!$F18+每日用粉紀錄表!$G18,"-")</f>
        <v>25</v>
      </c>
      <c r="I18" s="57"/>
      <c r="J18" s="58">
        <f>IFERROR(每日用粉紀錄表!$H18-每日用粉紀錄表!$I18,"-")</f>
        <v>25</v>
      </c>
      <c r="K18" s="59"/>
      <c r="L18" s="60"/>
      <c r="M18" s="61"/>
      <c r="N18" s="55"/>
      <c r="O18" s="55"/>
      <c r="P18" s="62"/>
      <c r="Q18" s="62"/>
      <c r="R18" s="62"/>
      <c r="S18" s="62"/>
      <c r="T18" s="62"/>
      <c r="U18" s="62"/>
      <c r="V18" s="62"/>
      <c r="W18" s="62"/>
      <c r="X18" s="62"/>
      <c r="Y18" s="62"/>
      <c r="Z18" s="62"/>
      <c r="AA18" s="62"/>
      <c r="AB18" s="62"/>
      <c r="AC18" s="62"/>
      <c r="AD18" s="62"/>
      <c r="AE18" s="62"/>
      <c r="AF18" s="62"/>
      <c r="AG18" s="33"/>
      <c r="AH18" s="33"/>
      <c r="AI18" s="33"/>
    </row>
    <row r="19" spans="1:35" ht="13.5" customHeight="1" x14ac:dyDescent="0.15">
      <c r="A19" s="53"/>
      <c r="B19" s="54">
        <v>45962</v>
      </c>
      <c r="C19" s="55" t="s">
        <v>340</v>
      </c>
      <c r="D19" s="55" t="str">
        <f>IFERROR(VLOOKUP($C19,烤漆色號編碼!$A:$C,2,FALSE),"-")</f>
        <v>-</v>
      </c>
      <c r="E19" s="55" t="str">
        <f>IFERROR(VLOOKUP($C19,當前庫存!$C:$I,5,FALSE),"-")</f>
        <v>-</v>
      </c>
      <c r="F19" s="56"/>
      <c r="G19" s="56"/>
      <c r="H19" s="55" t="str">
        <f>IFERROR(VLOOKUP($C19,烤漆色號編碼!$A:$D,4,FALSE)*每日用粉紀錄表!$F19+每日用粉紀錄表!$G19,"-")</f>
        <v>-</v>
      </c>
      <c r="I19" s="57"/>
      <c r="J19" s="58" t="str">
        <f>IFERROR(每日用粉紀錄表!$H19-每日用粉紀錄表!$I19,"-")</f>
        <v>-</v>
      </c>
      <c r="K19" s="59"/>
      <c r="L19" s="60"/>
      <c r="M19" s="61"/>
      <c r="N19" s="55"/>
      <c r="O19" s="55"/>
      <c r="P19" s="62"/>
      <c r="Q19" s="62"/>
      <c r="R19" s="62"/>
      <c r="S19" s="62"/>
      <c r="T19" s="62"/>
      <c r="U19" s="62"/>
      <c r="V19" s="62"/>
      <c r="W19" s="62"/>
      <c r="X19" s="62"/>
      <c r="Y19" s="62"/>
      <c r="Z19" s="62"/>
      <c r="AA19" s="62"/>
      <c r="AB19" s="62"/>
      <c r="AC19" s="62"/>
      <c r="AD19" s="62"/>
      <c r="AE19" s="62"/>
      <c r="AF19" s="62"/>
      <c r="AG19" s="33"/>
      <c r="AH19" s="33"/>
      <c r="AI19" s="33"/>
    </row>
    <row r="20" spans="1:35" ht="13.5" customHeight="1" x14ac:dyDescent="0.15">
      <c r="A20" s="53"/>
      <c r="B20" s="54">
        <v>45963</v>
      </c>
      <c r="C20" s="55" t="s">
        <v>340</v>
      </c>
      <c r="D20" s="55" t="str">
        <f>IFERROR(VLOOKUP($C20,烤漆色號編碼!$A:$C,2,FALSE),"-")</f>
        <v>-</v>
      </c>
      <c r="E20" s="55" t="str">
        <f>IFERROR(VLOOKUP($C20,當前庫存!$C:$I,5,FALSE),"-")</f>
        <v>-</v>
      </c>
      <c r="F20" s="56"/>
      <c r="G20" s="56"/>
      <c r="H20" s="55" t="str">
        <f>IFERROR(VLOOKUP($C20,烤漆色號編碼!$A:$D,4,FALSE)*每日用粉紀錄表!$F20+每日用粉紀錄表!$G20,"-")</f>
        <v>-</v>
      </c>
      <c r="I20" s="57"/>
      <c r="J20" s="58" t="str">
        <f>IFERROR(每日用粉紀錄表!$H20-每日用粉紀錄表!$I20,"-")</f>
        <v>-</v>
      </c>
      <c r="K20" s="59"/>
      <c r="L20" s="60"/>
      <c r="M20" s="61"/>
      <c r="N20" s="55"/>
      <c r="O20" s="55"/>
      <c r="P20" s="62"/>
      <c r="Q20" s="62"/>
      <c r="R20" s="62"/>
      <c r="S20" s="62"/>
      <c r="T20" s="62"/>
      <c r="U20" s="62"/>
      <c r="V20" s="62"/>
      <c r="W20" s="62"/>
      <c r="X20" s="62"/>
      <c r="Y20" s="62"/>
      <c r="Z20" s="62"/>
      <c r="AA20" s="62"/>
      <c r="AB20" s="62"/>
      <c r="AC20" s="62"/>
      <c r="AD20" s="62"/>
      <c r="AE20" s="62"/>
      <c r="AF20" s="62"/>
      <c r="AG20" s="33"/>
      <c r="AH20" s="33"/>
      <c r="AI20" s="33"/>
    </row>
    <row r="21" spans="1:35" ht="13.5" customHeight="1" x14ac:dyDescent="0.15">
      <c r="A21" s="53"/>
      <c r="B21" s="54">
        <v>45964</v>
      </c>
      <c r="C21" s="55" t="s">
        <v>341</v>
      </c>
      <c r="D21" s="55" t="str">
        <f>IFERROR(VLOOKUP($C21,烤漆色號編碼!$A:$C,2,FALSE),"-")</f>
        <v>RD</v>
      </c>
      <c r="E21" s="55">
        <f>IFERROR(VLOOKUP($C21,當前庫存!$C:$I,5,FALSE),"-")</f>
        <v>3</v>
      </c>
      <c r="F21" s="56"/>
      <c r="G21" s="56">
        <v>12</v>
      </c>
      <c r="H21" s="55">
        <f>IFERROR(VLOOKUP($C21,烤漆色號編碼!$A:$D,4,FALSE)*每日用粉紀錄表!$F21+每日用粉紀錄表!$G21,"-")</f>
        <v>12</v>
      </c>
      <c r="I21" s="57">
        <v>11</v>
      </c>
      <c r="J21" s="58">
        <f>IFERROR(每日用粉紀錄表!$H21-每日用粉紀錄表!$I21,"-")</f>
        <v>1</v>
      </c>
      <c r="K21" s="59"/>
      <c r="L21" s="60"/>
      <c r="M21" s="61"/>
      <c r="N21" s="55"/>
      <c r="O21" s="55"/>
      <c r="P21" s="62"/>
      <c r="Q21" s="62"/>
      <c r="R21" s="62"/>
      <c r="S21" s="62"/>
      <c r="T21" s="62"/>
      <c r="U21" s="62"/>
      <c r="V21" s="62"/>
      <c r="W21" s="62"/>
      <c r="X21" s="62"/>
      <c r="Y21" s="62"/>
      <c r="Z21" s="62"/>
      <c r="AA21" s="62"/>
      <c r="AB21" s="62"/>
      <c r="AC21" s="62"/>
      <c r="AD21" s="62"/>
      <c r="AE21" s="62"/>
      <c r="AF21" s="62"/>
      <c r="AG21" s="33"/>
      <c r="AH21" s="33"/>
      <c r="AI21" s="33"/>
    </row>
    <row r="22" spans="1:35" ht="13.5" customHeight="1" x14ac:dyDescent="0.15">
      <c r="A22" s="53"/>
      <c r="B22" s="54">
        <v>45964</v>
      </c>
      <c r="C22" s="55" t="s">
        <v>342</v>
      </c>
      <c r="D22" s="55" t="str">
        <f>IFERROR(VLOOKUP($C22,烤漆色號編碼!$A:$C,2,FALSE),"-")</f>
        <v>IGS</v>
      </c>
      <c r="E22" s="55">
        <f>IFERROR(VLOOKUP($C22,當前庫存!$C:$I,5,FALSE),"-")</f>
        <v>2</v>
      </c>
      <c r="F22" s="56"/>
      <c r="G22" s="56">
        <v>14</v>
      </c>
      <c r="H22" s="55">
        <f>IFERROR(VLOOKUP($C22,烤漆色號編碼!$A:$D,4,FALSE)*每日用粉紀錄表!$F22+每日用粉紀錄表!$G22,"-")</f>
        <v>14</v>
      </c>
      <c r="I22" s="57">
        <v>13</v>
      </c>
      <c r="J22" s="58">
        <f>IFERROR(每日用粉紀錄表!$H22-每日用粉紀錄表!$I22,"-")</f>
        <v>1</v>
      </c>
      <c r="K22" s="59"/>
      <c r="L22" s="60"/>
      <c r="M22" s="61"/>
      <c r="N22" s="55"/>
      <c r="O22" s="55"/>
      <c r="P22" s="62"/>
      <c r="Q22" s="62"/>
      <c r="R22" s="62"/>
      <c r="S22" s="62"/>
      <c r="T22" s="62"/>
      <c r="U22" s="62"/>
      <c r="V22" s="62"/>
      <c r="W22" s="62"/>
      <c r="X22" s="62"/>
      <c r="Y22" s="62"/>
      <c r="Z22" s="62"/>
      <c r="AA22" s="62"/>
      <c r="AB22" s="62"/>
      <c r="AC22" s="62"/>
      <c r="AD22" s="62"/>
      <c r="AE22" s="62"/>
      <c r="AF22" s="62"/>
      <c r="AG22" s="33"/>
      <c r="AH22" s="33"/>
      <c r="AI22" s="33"/>
    </row>
    <row r="23" spans="1:35" ht="13.5" customHeight="1" x14ac:dyDescent="0.15">
      <c r="A23" s="53"/>
      <c r="B23" s="54">
        <v>45964</v>
      </c>
      <c r="C23" s="55" t="s">
        <v>339</v>
      </c>
      <c r="D23" s="55" t="str">
        <f>IFERROR(VLOOKUP($C23,烤漆色號編碼!$A:$C,2,FALSE),"-")</f>
        <v>BKS1</v>
      </c>
      <c r="E23" s="55">
        <f>IFERROR(VLOOKUP($C23,當前庫存!$C:$I,5,FALSE),"-")</f>
        <v>24</v>
      </c>
      <c r="F23" s="56"/>
      <c r="G23" s="56">
        <v>7</v>
      </c>
      <c r="H23" s="55">
        <f>IFERROR(VLOOKUP($C23,烤漆色號編碼!$A:$D,4,FALSE)*每日用粉紀錄表!$F23+每日用粉紀錄表!$G23,"-")</f>
        <v>7</v>
      </c>
      <c r="I23" s="57">
        <v>4</v>
      </c>
      <c r="J23" s="58">
        <f>IFERROR(每日用粉紀錄表!$H23-每日用粉紀錄表!$I23,"-")</f>
        <v>3</v>
      </c>
      <c r="K23" s="59"/>
      <c r="L23" s="60"/>
      <c r="M23" s="61"/>
      <c r="N23" s="55"/>
      <c r="O23" s="55"/>
      <c r="P23" s="62"/>
      <c r="Q23" s="62"/>
      <c r="R23" s="62"/>
      <c r="S23" s="62"/>
      <c r="T23" s="62"/>
      <c r="U23" s="62"/>
      <c r="V23" s="62"/>
      <c r="W23" s="62"/>
      <c r="X23" s="62"/>
      <c r="Y23" s="62"/>
      <c r="Z23" s="62"/>
      <c r="AA23" s="62"/>
      <c r="AB23" s="62"/>
      <c r="AC23" s="62"/>
      <c r="AD23" s="62"/>
      <c r="AE23" s="62"/>
      <c r="AF23" s="62"/>
      <c r="AG23" s="33"/>
      <c r="AH23" s="33"/>
      <c r="AI23" s="33"/>
    </row>
    <row r="24" spans="1:35" ht="13.5" customHeight="1" x14ac:dyDescent="0.15">
      <c r="A24" s="53"/>
      <c r="B24" s="54">
        <v>45964</v>
      </c>
      <c r="C24" s="55" t="s">
        <v>332</v>
      </c>
      <c r="D24" s="55" t="str">
        <f>IFERROR(VLOOKUP($C24,烤漆色號編碼!$A:$C,2,FALSE),"-")</f>
        <v>WE2</v>
      </c>
      <c r="E24" s="55">
        <f>IFERROR(VLOOKUP($C24,當前庫存!$C:$I,5,FALSE),"-")</f>
        <v>18</v>
      </c>
      <c r="F24" s="56">
        <v>3</v>
      </c>
      <c r="G24" s="56">
        <f>10+6</f>
        <v>16</v>
      </c>
      <c r="H24" s="55">
        <f>IFERROR(VLOOKUP($C24,烤漆色號編碼!$A:$D,4,FALSE)*每日用粉紀錄表!$F24+每日用粉紀錄表!$G24,"-")</f>
        <v>91</v>
      </c>
      <c r="I24" s="57">
        <f>12+6</f>
        <v>18</v>
      </c>
      <c r="J24" s="58">
        <f>IFERROR(每日用粉紀錄表!$H24-每日用粉紀錄表!$I24,"-")</f>
        <v>73</v>
      </c>
      <c r="K24" s="59"/>
      <c r="L24" s="60"/>
      <c r="M24" s="61"/>
      <c r="N24" s="55"/>
      <c r="O24" s="55"/>
      <c r="P24" s="62"/>
      <c r="Q24" s="62"/>
      <c r="R24" s="62"/>
      <c r="S24" s="62"/>
      <c r="T24" s="62"/>
      <c r="U24" s="62"/>
      <c r="V24" s="62"/>
      <c r="W24" s="62"/>
      <c r="X24" s="62"/>
      <c r="Y24" s="62"/>
      <c r="Z24" s="62"/>
      <c r="AA24" s="62"/>
      <c r="AB24" s="62"/>
      <c r="AC24" s="62"/>
      <c r="AD24" s="62"/>
      <c r="AE24" s="62"/>
      <c r="AF24" s="62"/>
      <c r="AG24" s="33"/>
      <c r="AH24" s="33"/>
      <c r="AI24" s="33"/>
    </row>
    <row r="25" spans="1:35" ht="13.5" customHeight="1" x14ac:dyDescent="0.15">
      <c r="A25" s="53"/>
      <c r="B25" s="54">
        <v>45964</v>
      </c>
      <c r="C25" s="55" t="s">
        <v>333</v>
      </c>
      <c r="D25" s="55" t="str">
        <f>IFERROR(VLOOKUP($C25,烤漆色號編碼!$A:$C,2,FALSE),"-")</f>
        <v>-</v>
      </c>
      <c r="E25" s="55" t="str">
        <f>IFERROR(VLOOKUP($C25,當前庫存!$C:$I,5,FALSE),"-")</f>
        <v>-</v>
      </c>
      <c r="F25" s="56">
        <v>1</v>
      </c>
      <c r="G25" s="56"/>
      <c r="H25" s="55">
        <f>IFERROR(VLOOKUP($C25,烤漆色號編碼!$A:$D,4,FALSE)*每日用粉紀錄表!$F25+每日用粉紀錄表!$G25,"-")</f>
        <v>25</v>
      </c>
      <c r="I25" s="57"/>
      <c r="J25" s="58">
        <f>IFERROR(每日用粉紀錄表!$H25-每日用粉紀錄表!$I25,"-")</f>
        <v>25</v>
      </c>
      <c r="K25" s="59"/>
      <c r="L25" s="60"/>
      <c r="M25" s="61"/>
      <c r="N25" s="55"/>
      <c r="O25" s="55"/>
      <c r="P25" s="62"/>
      <c r="Q25" s="62"/>
      <c r="R25" s="62"/>
      <c r="S25" s="62"/>
      <c r="T25" s="62"/>
      <c r="U25" s="62"/>
      <c r="V25" s="62"/>
      <c r="W25" s="62"/>
      <c r="X25" s="62"/>
      <c r="Y25" s="62"/>
      <c r="Z25" s="62"/>
      <c r="AA25" s="62"/>
      <c r="AB25" s="62"/>
      <c r="AC25" s="62"/>
      <c r="AD25" s="62"/>
      <c r="AE25" s="62"/>
      <c r="AF25" s="62"/>
      <c r="AG25" s="33"/>
      <c r="AH25" s="33"/>
      <c r="AI25" s="33"/>
    </row>
    <row r="26" spans="1:35" ht="13.5" customHeight="1" x14ac:dyDescent="0.15">
      <c r="A26" s="53"/>
      <c r="B26" s="54">
        <v>45965</v>
      </c>
      <c r="C26" s="55" t="s">
        <v>343</v>
      </c>
      <c r="D26" s="55" t="str">
        <f>IFERROR(VLOOKUP($C26,烤漆色號編碼!$A:$C,2,FALSE),"-")</f>
        <v>-</v>
      </c>
      <c r="E26" s="55" t="str">
        <f>IFERROR(VLOOKUP($C26,當前庫存!$C:$I,5,FALSE),"-")</f>
        <v>-</v>
      </c>
      <c r="F26" s="63"/>
      <c r="G26" s="56"/>
      <c r="H26" s="55" t="str">
        <f>IFERROR(VLOOKUP($C26,烤漆色號編碼!$A:$D,4,FALSE)*每日用粉紀錄表!$F26+每日用粉紀錄表!$G26,"-")</f>
        <v>-</v>
      </c>
      <c r="I26" s="57"/>
      <c r="J26" s="58" t="str">
        <f>IFERROR(每日用粉紀錄表!$H26-每日用粉紀錄表!$I26,"-")</f>
        <v>-</v>
      </c>
      <c r="K26" s="59"/>
      <c r="L26" s="60"/>
      <c r="M26" s="61"/>
      <c r="N26" s="55"/>
      <c r="O26" s="55"/>
      <c r="P26" s="62"/>
      <c r="Q26" s="62"/>
      <c r="R26" s="62"/>
      <c r="S26" s="62"/>
      <c r="T26" s="62"/>
      <c r="U26" s="62"/>
      <c r="V26" s="62"/>
      <c r="W26" s="62"/>
      <c r="X26" s="62"/>
      <c r="Y26" s="62"/>
      <c r="Z26" s="62"/>
      <c r="AA26" s="62"/>
      <c r="AB26" s="62"/>
      <c r="AC26" s="62"/>
      <c r="AD26" s="62"/>
      <c r="AE26" s="62"/>
      <c r="AF26" s="62"/>
      <c r="AG26" s="33"/>
      <c r="AH26" s="33"/>
      <c r="AI26" s="33"/>
    </row>
    <row r="27" spans="1:35" ht="13.5" customHeight="1" x14ac:dyDescent="0.15">
      <c r="A27" s="53"/>
      <c r="B27" s="54">
        <v>45966</v>
      </c>
      <c r="C27" s="55" t="s">
        <v>332</v>
      </c>
      <c r="D27" s="55" t="str">
        <f>IFERROR(VLOOKUP($C27,烤漆色號編碼!$A:$C,2,FALSE),"-")</f>
        <v>WE2</v>
      </c>
      <c r="E27" s="55">
        <f>IFERROR(VLOOKUP($C27,當前庫存!$C:$I,5,FALSE),"-")</f>
        <v>18</v>
      </c>
      <c r="F27" s="56">
        <v>2</v>
      </c>
      <c r="G27" s="56">
        <f>12+6</f>
        <v>18</v>
      </c>
      <c r="H27" s="55">
        <f>IFERROR(VLOOKUP($C27,烤漆色號編碼!$A:$D,4,FALSE)*每日用粉紀錄表!$F27+每日用粉紀錄表!$G27,"-")</f>
        <v>68</v>
      </c>
      <c r="I27" s="57">
        <v>6</v>
      </c>
      <c r="J27" s="58">
        <f>IFERROR(每日用粉紀錄表!$H27-每日用粉紀錄表!$I27,"-")</f>
        <v>62</v>
      </c>
      <c r="K27" s="59"/>
      <c r="L27" s="60"/>
      <c r="M27" s="61"/>
      <c r="N27" s="55"/>
      <c r="O27" s="55"/>
      <c r="P27" s="62"/>
      <c r="Q27" s="62"/>
      <c r="R27" s="62"/>
      <c r="S27" s="62"/>
      <c r="T27" s="62"/>
      <c r="U27" s="62"/>
      <c r="V27" s="62"/>
      <c r="W27" s="62"/>
      <c r="X27" s="62"/>
      <c r="Y27" s="62"/>
      <c r="Z27" s="62"/>
      <c r="AA27" s="62"/>
      <c r="AB27" s="62"/>
      <c r="AC27" s="62"/>
      <c r="AD27" s="62"/>
      <c r="AE27" s="62"/>
      <c r="AF27" s="62"/>
      <c r="AG27" s="33"/>
      <c r="AH27" s="33"/>
      <c r="AI27" s="33"/>
    </row>
    <row r="28" spans="1:35" ht="13.5" customHeight="1" x14ac:dyDescent="0.15">
      <c r="A28" s="53"/>
      <c r="B28" s="54">
        <v>45966</v>
      </c>
      <c r="C28" s="55" t="s">
        <v>334</v>
      </c>
      <c r="D28" s="55" t="str">
        <f>IFERROR(VLOOKUP($C28,烤漆色號編碼!$A:$C,2,FALSE),"-")</f>
        <v>BEG</v>
      </c>
      <c r="E28" s="55">
        <f>IFERROR(VLOOKUP($C28,當前庫存!$C:$I,5,FALSE),"-")</f>
        <v>4</v>
      </c>
      <c r="F28" s="56"/>
      <c r="G28" s="56">
        <v>21</v>
      </c>
      <c r="H28" s="55">
        <f>IFERROR(VLOOKUP($C28,烤漆色號編碼!$A:$D,4,FALSE)*每日用粉紀錄表!$F28+每日用粉紀錄表!$G28,"-")</f>
        <v>21</v>
      </c>
      <c r="I28" s="57">
        <v>21</v>
      </c>
      <c r="J28" s="58">
        <f>IFERROR(每日用粉紀錄表!$H28-每日用粉紀錄表!$I28,"-")</f>
        <v>0</v>
      </c>
      <c r="K28" s="59"/>
      <c r="L28" s="60"/>
      <c r="M28" s="61"/>
      <c r="N28" s="55"/>
      <c r="O28" s="55"/>
      <c r="P28" s="62"/>
      <c r="Q28" s="62"/>
      <c r="R28" s="62"/>
      <c r="S28" s="62"/>
      <c r="T28" s="62"/>
      <c r="U28" s="62"/>
      <c r="V28" s="62"/>
      <c r="W28" s="62"/>
      <c r="X28" s="62"/>
      <c r="Y28" s="62"/>
      <c r="Z28" s="62"/>
      <c r="AA28" s="62"/>
      <c r="AB28" s="62"/>
      <c r="AC28" s="62"/>
      <c r="AD28" s="62"/>
      <c r="AE28" s="62"/>
      <c r="AF28" s="62"/>
      <c r="AG28" s="33"/>
      <c r="AH28" s="33"/>
      <c r="AI28" s="33"/>
    </row>
    <row r="29" spans="1:35" ht="13.5" customHeight="1" x14ac:dyDescent="0.15">
      <c r="A29" s="53"/>
      <c r="B29" s="54">
        <v>45966</v>
      </c>
      <c r="C29" s="55" t="s">
        <v>337</v>
      </c>
      <c r="D29" s="55" t="str">
        <f>IFERROR(VLOOKUP($C29,烤漆色號編碼!$A:$C,2,FALSE),"-")</f>
        <v>IG</v>
      </c>
      <c r="E29" s="55">
        <f>IFERROR(VLOOKUP($C29,當前庫存!$C:$I,5,FALSE),"-")</f>
        <v>0</v>
      </c>
      <c r="F29" s="56"/>
      <c r="G29" s="56">
        <v>12</v>
      </c>
      <c r="H29" s="55">
        <f>IFERROR(VLOOKUP($C29,烤漆色號編碼!$A:$D,4,FALSE)*每日用粉紀錄表!$F29+每日用粉紀錄表!$G29,"-")</f>
        <v>12</v>
      </c>
      <c r="I29" s="57">
        <v>11</v>
      </c>
      <c r="J29" s="58">
        <f>IFERROR(每日用粉紀錄表!$H29-每日用粉紀錄表!$I29,"-")</f>
        <v>1</v>
      </c>
      <c r="K29" s="59"/>
      <c r="L29" s="60"/>
      <c r="M29" s="61"/>
      <c r="N29" s="55"/>
      <c r="O29" s="55"/>
      <c r="P29" s="62"/>
      <c r="Q29" s="62"/>
      <c r="R29" s="62"/>
      <c r="S29" s="62"/>
      <c r="T29" s="62"/>
      <c r="U29" s="62"/>
      <c r="V29" s="62"/>
      <c r="W29" s="62"/>
      <c r="X29" s="62"/>
      <c r="Y29" s="62"/>
      <c r="Z29" s="62"/>
      <c r="AA29" s="62"/>
      <c r="AB29" s="62"/>
      <c r="AC29" s="62"/>
      <c r="AD29" s="62"/>
      <c r="AE29" s="62"/>
      <c r="AF29" s="62"/>
      <c r="AG29" s="33"/>
      <c r="AH29" s="33"/>
      <c r="AI29" s="33"/>
    </row>
    <row r="30" spans="1:35" ht="13.5" customHeight="1" x14ac:dyDescent="0.15">
      <c r="A30" s="53"/>
      <c r="B30" s="54">
        <v>45966</v>
      </c>
      <c r="C30" s="55" t="s">
        <v>336</v>
      </c>
      <c r="D30" s="55" t="str">
        <f>IFERROR(VLOOKUP($C30,烤漆色號編碼!$A:$C,2,FALSE),"-")</f>
        <v>EBK</v>
      </c>
      <c r="E30" s="55">
        <f>IFERROR(VLOOKUP($C30,當前庫存!$C:$I,5,FALSE),"-")</f>
        <v>3</v>
      </c>
      <c r="F30" s="56"/>
      <c r="G30" s="56">
        <v>24</v>
      </c>
      <c r="H30" s="55">
        <f>IFERROR(VLOOKUP($C30,烤漆色號編碼!$A:$D,4,FALSE)*每日用粉紀錄表!$F30+每日用粉紀錄表!$G30,"-")</f>
        <v>24</v>
      </c>
      <c r="I30" s="57">
        <v>23</v>
      </c>
      <c r="J30" s="58">
        <f>IFERROR(每日用粉紀錄表!$H30-每日用粉紀錄表!$I30,"-")</f>
        <v>1</v>
      </c>
      <c r="K30" s="59"/>
      <c r="L30" s="60"/>
      <c r="M30" s="61"/>
      <c r="N30" s="55"/>
      <c r="O30" s="55"/>
      <c r="P30" s="62"/>
      <c r="Q30" s="62"/>
      <c r="R30" s="62"/>
      <c r="S30" s="62"/>
      <c r="T30" s="62"/>
      <c r="U30" s="62"/>
      <c r="V30" s="62"/>
      <c r="W30" s="62"/>
      <c r="X30" s="62"/>
      <c r="Y30" s="62"/>
      <c r="Z30" s="62"/>
      <c r="AA30" s="62"/>
      <c r="AB30" s="62"/>
      <c r="AC30" s="62"/>
      <c r="AD30" s="62"/>
      <c r="AE30" s="62"/>
      <c r="AF30" s="62"/>
      <c r="AG30" s="33"/>
      <c r="AH30" s="33"/>
      <c r="AI30" s="33"/>
    </row>
    <row r="31" spans="1:35" ht="13.5" customHeight="1" x14ac:dyDescent="0.15">
      <c r="A31" s="53"/>
      <c r="B31" s="54">
        <v>45966</v>
      </c>
      <c r="C31" s="55" t="s">
        <v>2</v>
      </c>
      <c r="D31" s="55" t="str">
        <f>IFERROR(VLOOKUP($C31,烤漆色號編碼!$A:$C,2,FALSE),"-")</f>
        <v>BK</v>
      </c>
      <c r="E31" s="55">
        <f>IFERROR(VLOOKUP($C31,當前庫存!$C:$I,5,FALSE),"-")</f>
        <v>4</v>
      </c>
      <c r="F31" s="63"/>
      <c r="G31" s="56">
        <v>11</v>
      </c>
      <c r="H31" s="55">
        <f>IFERROR(VLOOKUP($C31,烤漆色號編碼!$A:$D,4,FALSE)*每日用粉紀錄表!$F31+每日用粉紀錄表!$G31,"-")</f>
        <v>11</v>
      </c>
      <c r="I31" s="57">
        <v>5</v>
      </c>
      <c r="J31" s="58">
        <f>IFERROR(每日用粉紀錄表!$H31-每日用粉紀錄表!$I31,"-")</f>
        <v>6</v>
      </c>
      <c r="K31" s="59"/>
      <c r="L31" s="60"/>
      <c r="M31" s="61"/>
      <c r="N31" s="55"/>
      <c r="O31" s="55"/>
      <c r="P31" s="62"/>
      <c r="Q31" s="62"/>
      <c r="R31" s="62"/>
      <c r="S31" s="62"/>
      <c r="T31" s="62"/>
      <c r="U31" s="62"/>
      <c r="V31" s="62"/>
      <c r="W31" s="62"/>
      <c r="X31" s="62"/>
      <c r="Y31" s="62"/>
      <c r="Z31" s="62"/>
      <c r="AA31" s="62"/>
      <c r="AB31" s="62"/>
      <c r="AC31" s="62"/>
      <c r="AD31" s="62"/>
      <c r="AE31" s="62"/>
      <c r="AF31" s="62"/>
      <c r="AG31" s="33"/>
      <c r="AH31" s="33"/>
      <c r="AI31" s="33"/>
    </row>
    <row r="32" spans="1:35" ht="13.5" customHeight="1" x14ac:dyDescent="0.15">
      <c r="A32" s="53"/>
      <c r="B32" s="54">
        <v>45966</v>
      </c>
      <c r="C32" s="55" t="s">
        <v>333</v>
      </c>
      <c r="D32" s="55" t="str">
        <f>IFERROR(VLOOKUP($C32,烤漆色號編碼!$A:$C,2,FALSE),"-")</f>
        <v>-</v>
      </c>
      <c r="E32" s="55" t="str">
        <f>IFERROR(VLOOKUP($C32,當前庫存!$C:$I,5,FALSE),"-")</f>
        <v>-</v>
      </c>
      <c r="F32" s="56">
        <v>1</v>
      </c>
      <c r="G32" s="56"/>
      <c r="H32" s="55">
        <f>IFERROR(VLOOKUP($C32,烤漆色號編碼!$A:$D,4,FALSE)*每日用粉紀錄表!$F32+每日用粉紀錄表!$G32,"-")</f>
        <v>25</v>
      </c>
      <c r="I32" s="57"/>
      <c r="J32" s="58">
        <f>IFERROR(每日用粉紀錄表!$H32-每日用粉紀錄表!$I32,"-")</f>
        <v>25</v>
      </c>
      <c r="K32" s="59"/>
      <c r="L32" s="60"/>
      <c r="M32" s="61"/>
      <c r="N32" s="55"/>
      <c r="O32" s="55"/>
      <c r="P32" s="62"/>
      <c r="Q32" s="62"/>
      <c r="R32" s="62"/>
      <c r="S32" s="62"/>
      <c r="T32" s="62"/>
      <c r="U32" s="62"/>
      <c r="V32" s="62"/>
      <c r="W32" s="62"/>
      <c r="X32" s="62"/>
      <c r="Y32" s="62"/>
      <c r="Z32" s="62"/>
      <c r="AA32" s="62"/>
      <c r="AB32" s="62"/>
      <c r="AC32" s="62"/>
      <c r="AD32" s="62"/>
      <c r="AE32" s="62"/>
      <c r="AF32" s="62"/>
      <c r="AG32" s="33"/>
      <c r="AH32" s="33"/>
      <c r="AI32" s="33"/>
    </row>
    <row r="33" spans="1:35" ht="13.5" customHeight="1" x14ac:dyDescent="0.15">
      <c r="A33" s="53"/>
      <c r="B33" s="54">
        <v>45967</v>
      </c>
      <c r="C33" s="55" t="s">
        <v>344</v>
      </c>
      <c r="D33" s="55" t="str">
        <f>IFERROR(VLOOKUP($C33,烤漆色號編碼!$A:$C,2,FALSE),"-")</f>
        <v>-</v>
      </c>
      <c r="E33" s="55" t="str">
        <f>IFERROR(VLOOKUP($C33,當前庫存!$C:$I,5,FALSE),"-")</f>
        <v>-</v>
      </c>
      <c r="F33" s="56"/>
      <c r="G33" s="56"/>
      <c r="H33" s="55" t="str">
        <f>IFERROR(VLOOKUP($C33,烤漆色號編碼!$A:$D,4,FALSE)*每日用粉紀錄表!$F33+每日用粉紀錄表!$G33,"-")</f>
        <v>-</v>
      </c>
      <c r="I33" s="57"/>
      <c r="J33" s="55" t="s">
        <v>345</v>
      </c>
      <c r="K33" s="59"/>
      <c r="L33" s="60"/>
      <c r="M33" s="61"/>
      <c r="N33" s="55"/>
      <c r="O33" s="55"/>
      <c r="P33" s="62"/>
      <c r="Q33" s="62"/>
      <c r="R33" s="62"/>
      <c r="S33" s="62"/>
      <c r="T33" s="62"/>
      <c r="U33" s="62"/>
      <c r="V33" s="62"/>
      <c r="W33" s="62"/>
      <c r="X33" s="62"/>
      <c r="Y33" s="62"/>
      <c r="Z33" s="62"/>
      <c r="AA33" s="62"/>
      <c r="AB33" s="62"/>
      <c r="AC33" s="62"/>
      <c r="AD33" s="62"/>
      <c r="AE33" s="62"/>
      <c r="AF33" s="62"/>
      <c r="AG33" s="33"/>
      <c r="AH33" s="33"/>
      <c r="AI33" s="33"/>
    </row>
    <row r="34" spans="1:35" ht="13.5" customHeight="1" x14ac:dyDescent="0.15">
      <c r="A34" s="53"/>
      <c r="B34" s="54">
        <v>45967</v>
      </c>
      <c r="C34" s="55" t="s">
        <v>346</v>
      </c>
      <c r="D34" s="55" t="str">
        <f>IFERROR(VLOOKUP($C34,烤漆色號編碼!$A:$C,2,FALSE),"-")</f>
        <v>BKSA1</v>
      </c>
      <c r="E34" s="55">
        <f>IFERROR(VLOOKUP($C34,當前庫存!$C:$I,5,FALSE),"-")</f>
        <v>2</v>
      </c>
      <c r="F34" s="56"/>
      <c r="G34" s="56">
        <v>8</v>
      </c>
      <c r="H34" s="55">
        <f>IFERROR(VLOOKUP($C34,烤漆色號編碼!$A:$D,4,FALSE)*每日用粉紀錄表!$F34+每日用粉紀錄表!$G34,"-")</f>
        <v>8</v>
      </c>
      <c r="I34" s="57">
        <v>8</v>
      </c>
      <c r="J34" s="58">
        <f>IFERROR(每日用粉紀錄表!$H34-每日用粉紀錄表!$I34,"-")</f>
        <v>0</v>
      </c>
      <c r="K34" s="59"/>
      <c r="L34" s="60"/>
      <c r="M34" s="61"/>
      <c r="N34" s="55"/>
      <c r="O34" s="55"/>
      <c r="P34" s="62"/>
      <c r="Q34" s="62"/>
      <c r="R34" s="62"/>
      <c r="S34" s="62"/>
      <c r="T34" s="62"/>
      <c r="U34" s="62"/>
      <c r="V34" s="62"/>
      <c r="W34" s="62"/>
      <c r="X34" s="62"/>
      <c r="Y34" s="62"/>
      <c r="Z34" s="62"/>
      <c r="AA34" s="62"/>
      <c r="AB34" s="62"/>
      <c r="AC34" s="62"/>
      <c r="AD34" s="62"/>
      <c r="AE34" s="62"/>
      <c r="AF34" s="62"/>
      <c r="AG34" s="33"/>
      <c r="AH34" s="33"/>
      <c r="AI34" s="33"/>
    </row>
    <row r="35" spans="1:35" ht="13.5" customHeight="1" x14ac:dyDescent="0.15">
      <c r="A35" s="53"/>
      <c r="B35" s="54">
        <v>45967</v>
      </c>
      <c r="C35" s="55" t="s">
        <v>344</v>
      </c>
      <c r="D35" s="55" t="str">
        <f>IFERROR(VLOOKUP($C35,烤漆色號編碼!$A:$C,2,FALSE),"-")</f>
        <v>-</v>
      </c>
      <c r="E35" s="55" t="str">
        <f>IFERROR(VLOOKUP($C35,當前庫存!$C:$I,5,FALSE),"-")</f>
        <v>-</v>
      </c>
      <c r="F35" s="56"/>
      <c r="G35" s="56"/>
      <c r="H35" s="55" t="str">
        <f>IFERROR(VLOOKUP($C35,烤漆色號編碼!$A:$D,4,FALSE)*每日用粉紀錄表!$F35+每日用粉紀錄表!$G35,"-")</f>
        <v>-</v>
      </c>
      <c r="I35" s="57"/>
      <c r="J35" s="55" t="s">
        <v>347</v>
      </c>
      <c r="K35" s="59"/>
      <c r="L35" s="60"/>
      <c r="M35" s="61"/>
      <c r="N35" s="55"/>
      <c r="O35" s="55"/>
      <c r="P35" s="62"/>
      <c r="Q35" s="62"/>
      <c r="R35" s="62"/>
      <c r="S35" s="62"/>
      <c r="T35" s="62"/>
      <c r="U35" s="62"/>
      <c r="V35" s="62"/>
      <c r="W35" s="62"/>
      <c r="X35" s="62"/>
      <c r="Y35" s="62"/>
      <c r="Z35" s="62"/>
      <c r="AA35" s="62"/>
      <c r="AB35" s="62"/>
      <c r="AC35" s="62"/>
      <c r="AD35" s="62"/>
      <c r="AE35" s="62"/>
      <c r="AF35" s="62"/>
      <c r="AG35" s="33"/>
      <c r="AH35" s="33"/>
      <c r="AI35" s="33"/>
    </row>
    <row r="36" spans="1:35" ht="13.5" customHeight="1" x14ac:dyDescent="0.15">
      <c r="A36" s="53"/>
      <c r="B36" s="54">
        <v>45967</v>
      </c>
      <c r="C36" s="55" t="s">
        <v>339</v>
      </c>
      <c r="D36" s="55" t="str">
        <f>IFERROR(VLOOKUP($C36,烤漆色號編碼!$A:$C,2,FALSE),"-")</f>
        <v>BKS1</v>
      </c>
      <c r="E36" s="55">
        <f>IFERROR(VLOOKUP($C36,當前庫存!$C:$I,5,FALSE),"-")</f>
        <v>24</v>
      </c>
      <c r="F36" s="56"/>
      <c r="G36" s="56">
        <v>4</v>
      </c>
      <c r="H36" s="55">
        <f>IFERROR(VLOOKUP($C36,烤漆色號編碼!$A:$D,4,FALSE)*每日用粉紀錄表!$F36+每日用粉紀錄表!$G36,"-")</f>
        <v>4</v>
      </c>
      <c r="I36" s="57">
        <v>4</v>
      </c>
      <c r="J36" s="58">
        <f>IFERROR(每日用粉紀錄表!$H36-每日用粉紀錄表!$I36,"-")</f>
        <v>0</v>
      </c>
      <c r="K36" s="59"/>
      <c r="L36" s="60"/>
      <c r="M36" s="61"/>
      <c r="N36" s="55"/>
      <c r="O36" s="55"/>
      <c r="P36" s="62"/>
      <c r="Q36" s="62"/>
      <c r="R36" s="62"/>
      <c r="S36" s="62"/>
      <c r="T36" s="62"/>
      <c r="U36" s="62"/>
      <c r="V36" s="62"/>
      <c r="W36" s="62"/>
      <c r="X36" s="62"/>
      <c r="Y36" s="62"/>
      <c r="Z36" s="62"/>
      <c r="AA36" s="62"/>
      <c r="AB36" s="62"/>
      <c r="AC36" s="62"/>
      <c r="AD36" s="62"/>
      <c r="AE36" s="62"/>
      <c r="AF36" s="62"/>
      <c r="AG36" s="33"/>
      <c r="AH36" s="33"/>
      <c r="AI36" s="33"/>
    </row>
    <row r="37" spans="1:35" ht="13.5" customHeight="1" x14ac:dyDescent="0.15">
      <c r="A37" s="53"/>
      <c r="B37" s="54">
        <v>45967</v>
      </c>
      <c r="C37" s="55" t="s">
        <v>332</v>
      </c>
      <c r="D37" s="55" t="str">
        <f>IFERROR(VLOOKUP($C37,烤漆色號編碼!$A:$C,2,FALSE),"-")</f>
        <v>WE2</v>
      </c>
      <c r="E37" s="55">
        <f>IFERROR(VLOOKUP($C37,當前庫存!$C:$I,5,FALSE),"-")</f>
        <v>18</v>
      </c>
      <c r="F37" s="56">
        <v>6</v>
      </c>
      <c r="G37" s="56">
        <v>6</v>
      </c>
      <c r="H37" s="55">
        <f>IFERROR(VLOOKUP($C37,烤漆色號編碼!$A:$D,4,FALSE)*每日用粉紀錄表!$F37+每日用粉紀錄表!$G37,"-")</f>
        <v>156</v>
      </c>
      <c r="I37" s="57">
        <f>18+6</f>
        <v>24</v>
      </c>
      <c r="J37" s="58">
        <f>IFERROR(每日用粉紀錄表!$H37-每日用粉紀錄表!$I37,"-")</f>
        <v>132</v>
      </c>
      <c r="K37" s="59"/>
      <c r="L37" s="60"/>
      <c r="M37" s="61"/>
      <c r="N37" s="55"/>
      <c r="O37" s="55"/>
      <c r="P37" s="62"/>
      <c r="Q37" s="62"/>
      <c r="R37" s="62"/>
      <c r="S37" s="62"/>
      <c r="T37" s="62"/>
      <c r="U37" s="62"/>
      <c r="V37" s="62"/>
      <c r="W37" s="62"/>
      <c r="X37" s="62"/>
      <c r="Y37" s="62"/>
      <c r="Z37" s="62"/>
      <c r="AA37" s="62"/>
      <c r="AB37" s="62"/>
      <c r="AC37" s="62"/>
      <c r="AD37" s="62"/>
      <c r="AE37" s="62"/>
      <c r="AF37" s="62"/>
      <c r="AG37" s="33"/>
      <c r="AH37" s="33"/>
      <c r="AI37" s="33"/>
    </row>
    <row r="38" spans="1:35" ht="13.5" customHeight="1" x14ac:dyDescent="0.15">
      <c r="A38" s="53"/>
      <c r="B38" s="54">
        <v>45967</v>
      </c>
      <c r="C38" s="55" t="s">
        <v>333</v>
      </c>
      <c r="D38" s="55" t="str">
        <f>IFERROR(VLOOKUP($C38,烤漆色號編碼!$A:$C,2,FALSE),"-")</f>
        <v>-</v>
      </c>
      <c r="E38" s="55" t="str">
        <f>IFERROR(VLOOKUP($C38,當前庫存!$C:$I,5,FALSE),"-")</f>
        <v>-</v>
      </c>
      <c r="F38" s="56">
        <v>2</v>
      </c>
      <c r="G38" s="56"/>
      <c r="H38" s="55">
        <f>IFERROR(VLOOKUP($C38,烤漆色號編碼!$A:$D,4,FALSE)*每日用粉紀錄表!$F38+每日用粉紀錄表!$G38,"-")</f>
        <v>50</v>
      </c>
      <c r="I38" s="57"/>
      <c r="J38" s="58">
        <f>IFERROR(每日用粉紀錄表!$H38-每日用粉紀錄表!$I38,"-")</f>
        <v>50</v>
      </c>
      <c r="K38" s="59"/>
      <c r="L38" s="60"/>
      <c r="M38" s="61"/>
      <c r="N38" s="55"/>
      <c r="O38" s="55"/>
      <c r="P38" s="62"/>
      <c r="Q38" s="62"/>
      <c r="R38" s="62"/>
      <c r="S38" s="62"/>
      <c r="T38" s="62"/>
      <c r="U38" s="62"/>
      <c r="V38" s="62"/>
      <c r="W38" s="62"/>
      <c r="X38" s="62"/>
      <c r="Y38" s="62"/>
      <c r="Z38" s="62"/>
      <c r="AA38" s="62"/>
      <c r="AB38" s="62"/>
      <c r="AC38" s="62"/>
      <c r="AD38" s="62"/>
      <c r="AE38" s="62"/>
      <c r="AF38" s="62"/>
      <c r="AG38" s="33"/>
      <c r="AH38" s="33"/>
      <c r="AI38" s="33"/>
    </row>
    <row r="39" spans="1:35" ht="13.5" customHeight="1" x14ac:dyDescent="0.15">
      <c r="A39" s="53"/>
      <c r="B39" s="54">
        <v>45968</v>
      </c>
      <c r="C39" s="55" t="s">
        <v>332</v>
      </c>
      <c r="D39" s="55" t="str">
        <f>IFERROR(VLOOKUP($C39,烤漆色號編碼!$A:$C,2,FALSE),"-")</f>
        <v>WE2</v>
      </c>
      <c r="E39" s="55">
        <f>IFERROR(VLOOKUP($C39,當前庫存!$C:$I,5,FALSE),"-")</f>
        <v>18</v>
      </c>
      <c r="F39" s="56">
        <v>5</v>
      </c>
      <c r="G39" s="56">
        <f>18+6</f>
        <v>24</v>
      </c>
      <c r="H39" s="55">
        <f>IFERROR(VLOOKUP($C39,烤漆色號編碼!$A:$D,4,FALSE)*每日用粉紀錄表!$F39+每日用粉紀錄表!$G39,"-")</f>
        <v>149</v>
      </c>
      <c r="I39" s="57">
        <f>11+6</f>
        <v>17</v>
      </c>
      <c r="J39" s="58">
        <f>IFERROR(每日用粉紀錄表!$H39-每日用粉紀錄表!$I39,"-")</f>
        <v>132</v>
      </c>
      <c r="K39" s="59"/>
      <c r="L39" s="60"/>
      <c r="M39" s="61"/>
      <c r="N39" s="55"/>
      <c r="O39" s="55"/>
      <c r="P39" s="62"/>
      <c r="Q39" s="62"/>
      <c r="R39" s="62"/>
      <c r="S39" s="62"/>
      <c r="T39" s="62"/>
      <c r="U39" s="62"/>
      <c r="V39" s="62"/>
      <c r="W39" s="62"/>
      <c r="X39" s="62"/>
      <c r="Y39" s="62"/>
      <c r="Z39" s="62"/>
      <c r="AA39" s="62"/>
      <c r="AB39" s="62"/>
      <c r="AC39" s="62"/>
      <c r="AD39" s="62"/>
      <c r="AE39" s="62"/>
      <c r="AF39" s="62"/>
      <c r="AG39" s="33"/>
      <c r="AH39" s="33"/>
      <c r="AI39" s="33"/>
    </row>
    <row r="40" spans="1:35" ht="13.5" customHeight="1" x14ac:dyDescent="0.15">
      <c r="A40" s="53"/>
      <c r="B40" s="54">
        <v>45968</v>
      </c>
      <c r="C40" s="55" t="s">
        <v>333</v>
      </c>
      <c r="D40" s="55" t="str">
        <f>IFERROR(VLOOKUP($C40,烤漆色號編碼!$A:$C,2,FALSE),"-")</f>
        <v>-</v>
      </c>
      <c r="E40" s="55" t="str">
        <f>IFERROR(VLOOKUP($C40,當前庫存!$C:$I,5,FALSE),"-")</f>
        <v>-</v>
      </c>
      <c r="F40" s="56">
        <v>2</v>
      </c>
      <c r="G40" s="56"/>
      <c r="H40" s="55">
        <f>IFERROR(VLOOKUP($C40,烤漆色號編碼!$A:$D,4,FALSE)*每日用粉紀錄表!$F40+每日用粉紀錄表!$G40,"-")</f>
        <v>50</v>
      </c>
      <c r="I40" s="57"/>
      <c r="J40" s="58">
        <f>IFERROR(每日用粉紀錄表!$H40-每日用粉紀錄表!$I40,"-")</f>
        <v>50</v>
      </c>
      <c r="K40" s="59"/>
      <c r="L40" s="60"/>
      <c r="M40" s="61"/>
      <c r="N40" s="55"/>
      <c r="O40" s="55"/>
      <c r="P40" s="62"/>
      <c r="Q40" s="62"/>
      <c r="R40" s="62"/>
      <c r="S40" s="62"/>
      <c r="T40" s="62"/>
      <c r="U40" s="62"/>
      <c r="V40" s="62"/>
      <c r="W40" s="62"/>
      <c r="X40" s="62"/>
      <c r="Y40" s="62"/>
      <c r="Z40" s="62"/>
      <c r="AA40" s="62"/>
      <c r="AB40" s="62"/>
      <c r="AC40" s="62"/>
      <c r="AD40" s="62"/>
      <c r="AE40" s="62"/>
      <c r="AF40" s="62"/>
      <c r="AG40" s="33"/>
      <c r="AH40" s="33"/>
      <c r="AI40" s="33"/>
    </row>
    <row r="41" spans="1:35" ht="13.5" customHeight="1" x14ac:dyDescent="0.15">
      <c r="A41" s="53"/>
      <c r="B41" s="54">
        <v>45969</v>
      </c>
      <c r="C41" s="55" t="s">
        <v>340</v>
      </c>
      <c r="D41" s="55" t="str">
        <f>IFERROR(VLOOKUP($C41,烤漆色號編碼!$A:$C,2,FALSE),"-")</f>
        <v>-</v>
      </c>
      <c r="E41" s="55" t="str">
        <f>IFERROR(VLOOKUP($C41,當前庫存!$C:$I,5,FALSE),"-")</f>
        <v>-</v>
      </c>
      <c r="F41" s="56"/>
      <c r="G41" s="56"/>
      <c r="H41" s="55" t="str">
        <f>IFERROR(VLOOKUP($C41,烤漆色號編碼!$A:$D,4,FALSE)*每日用粉紀錄表!$F41+每日用粉紀錄表!$G41,"-")</f>
        <v>-</v>
      </c>
      <c r="I41" s="57"/>
      <c r="J41" s="58" t="str">
        <f>IFERROR(每日用粉紀錄表!$H41-每日用粉紀錄表!$I41,"-")</f>
        <v>-</v>
      </c>
      <c r="K41" s="59"/>
      <c r="L41" s="60"/>
      <c r="M41" s="61"/>
      <c r="N41" s="55"/>
      <c r="O41" s="55"/>
      <c r="P41" s="62"/>
      <c r="Q41" s="62"/>
      <c r="R41" s="62"/>
      <c r="S41" s="62"/>
      <c r="T41" s="62"/>
      <c r="U41" s="62"/>
      <c r="V41" s="62"/>
      <c r="W41" s="62"/>
      <c r="X41" s="62"/>
      <c r="Y41" s="62"/>
      <c r="Z41" s="62"/>
      <c r="AA41" s="62"/>
      <c r="AB41" s="62"/>
      <c r="AC41" s="62"/>
      <c r="AD41" s="62"/>
      <c r="AE41" s="62"/>
      <c r="AF41" s="62"/>
      <c r="AG41" s="33"/>
      <c r="AH41" s="33"/>
      <c r="AI41" s="33"/>
    </row>
    <row r="42" spans="1:35" ht="13.5" customHeight="1" x14ac:dyDescent="0.15">
      <c r="A42" s="53"/>
      <c r="B42" s="54">
        <v>45970</v>
      </c>
      <c r="C42" s="55" t="s">
        <v>340</v>
      </c>
      <c r="D42" s="55" t="str">
        <f>IFERROR(VLOOKUP($C42,烤漆色號編碼!$A:$C,2,FALSE),"-")</f>
        <v>-</v>
      </c>
      <c r="E42" s="55" t="str">
        <f>IFERROR(VLOOKUP($C42,當前庫存!$C:$I,5,FALSE),"-")</f>
        <v>-</v>
      </c>
      <c r="F42" s="56"/>
      <c r="G42" s="56"/>
      <c r="H42" s="55" t="str">
        <f>IFERROR(VLOOKUP($C42,烤漆色號編碼!$A:$D,4,FALSE)*每日用粉紀錄表!$F42+每日用粉紀錄表!$G42,"-")</f>
        <v>-</v>
      </c>
      <c r="I42" s="57"/>
      <c r="J42" s="58" t="str">
        <f>IFERROR(每日用粉紀錄表!$H42-每日用粉紀錄表!$I42,"-")</f>
        <v>-</v>
      </c>
      <c r="K42" s="59"/>
      <c r="L42" s="60"/>
      <c r="M42" s="61"/>
      <c r="N42" s="55"/>
      <c r="O42" s="55"/>
      <c r="P42" s="62"/>
      <c r="Q42" s="62"/>
      <c r="R42" s="62"/>
      <c r="S42" s="62"/>
      <c r="T42" s="62"/>
      <c r="U42" s="62"/>
      <c r="V42" s="62"/>
      <c r="W42" s="62"/>
      <c r="X42" s="62"/>
      <c r="Y42" s="62"/>
      <c r="Z42" s="62"/>
      <c r="AA42" s="62"/>
      <c r="AB42" s="62"/>
      <c r="AC42" s="62"/>
      <c r="AD42" s="62"/>
      <c r="AE42" s="62"/>
      <c r="AF42" s="62"/>
      <c r="AG42" s="33"/>
      <c r="AH42" s="33"/>
      <c r="AI42" s="33"/>
    </row>
    <row r="43" spans="1:35" ht="13.5" customHeight="1" x14ac:dyDescent="0.15">
      <c r="A43" s="53"/>
      <c r="B43" s="54">
        <v>45971</v>
      </c>
      <c r="C43" s="55" t="s">
        <v>336</v>
      </c>
      <c r="D43" s="55" t="str">
        <f>IFERROR(VLOOKUP($C43,烤漆色號編碼!$A:$C,2,FALSE),"-")</f>
        <v>EBK</v>
      </c>
      <c r="E43" s="55">
        <f>IFERROR(VLOOKUP($C43,當前庫存!$C:$I,5,FALSE),"-")</f>
        <v>3</v>
      </c>
      <c r="F43" s="56"/>
      <c r="G43" s="56">
        <v>23</v>
      </c>
      <c r="H43" s="55">
        <f>IFERROR(VLOOKUP($C43,烤漆色號編碼!$A:$D,4,FALSE)*每日用粉紀錄表!$F43+每日用粉紀錄表!$G43,"-")</f>
        <v>23</v>
      </c>
      <c r="I43" s="57">
        <v>21</v>
      </c>
      <c r="J43" s="58">
        <f>IFERROR(每日用粉紀錄表!$H43-每日用粉紀錄表!$I43,"-")</f>
        <v>2</v>
      </c>
      <c r="K43" s="59"/>
      <c r="L43" s="60"/>
      <c r="M43" s="61"/>
      <c r="N43" s="55"/>
      <c r="O43" s="55"/>
      <c r="P43" s="62"/>
      <c r="Q43" s="62"/>
      <c r="R43" s="62"/>
      <c r="S43" s="62"/>
      <c r="T43" s="62"/>
      <c r="U43" s="62"/>
      <c r="V43" s="62"/>
      <c r="W43" s="62"/>
      <c r="X43" s="62"/>
      <c r="Y43" s="62"/>
      <c r="Z43" s="62"/>
      <c r="AA43" s="62"/>
      <c r="AB43" s="62"/>
      <c r="AC43" s="62"/>
      <c r="AD43" s="62"/>
      <c r="AE43" s="62"/>
      <c r="AF43" s="62"/>
      <c r="AG43" s="33"/>
      <c r="AH43" s="33"/>
      <c r="AI43" s="33"/>
    </row>
    <row r="44" spans="1:35" ht="13.5" customHeight="1" x14ac:dyDescent="0.15">
      <c r="A44" s="53"/>
      <c r="B44" s="54">
        <v>45971</v>
      </c>
      <c r="C44" s="64" t="s">
        <v>338</v>
      </c>
      <c r="D44" s="55" t="str">
        <f>IFERROR(VLOOKUP($C44,烤漆色號編碼!$A:$C,2,FALSE),"-")</f>
        <v>YW1</v>
      </c>
      <c r="E44" s="64">
        <f>IFERROR(VLOOKUP($C44,當前庫存!$C:$I,5,FALSE),"-")</f>
        <v>11</v>
      </c>
      <c r="F44" s="56"/>
      <c r="G44" s="56">
        <v>19</v>
      </c>
      <c r="H44" s="55">
        <f>IFERROR(VLOOKUP($C44,烤漆色號編碼!$A:$D,4,FALSE)*每日用粉紀錄表!$F44+每日用粉紀錄表!$G44,"-")</f>
        <v>19</v>
      </c>
      <c r="I44" s="57">
        <v>18</v>
      </c>
      <c r="J44" s="58">
        <f>IFERROR(每日用粉紀錄表!$H44-每日用粉紀錄表!$I44,"-")</f>
        <v>1</v>
      </c>
      <c r="K44" s="59"/>
      <c r="L44" s="60"/>
      <c r="M44" s="61"/>
      <c r="N44" s="55"/>
      <c r="O44" s="55"/>
      <c r="P44" s="62"/>
      <c r="Q44" s="62"/>
      <c r="R44" s="62"/>
      <c r="S44" s="62"/>
      <c r="T44" s="62"/>
      <c r="U44" s="62"/>
      <c r="V44" s="62"/>
      <c r="W44" s="62"/>
      <c r="X44" s="62"/>
      <c r="Y44" s="62"/>
      <c r="Z44" s="62"/>
      <c r="AA44" s="62"/>
      <c r="AB44" s="62"/>
      <c r="AC44" s="62"/>
      <c r="AD44" s="62"/>
      <c r="AE44" s="62"/>
      <c r="AF44" s="62"/>
      <c r="AG44" s="33"/>
      <c r="AH44" s="33"/>
      <c r="AI44" s="33"/>
    </row>
    <row r="45" spans="1:35" ht="13.5" customHeight="1" x14ac:dyDescent="0.15">
      <c r="A45" s="53"/>
      <c r="B45" s="54">
        <v>45971</v>
      </c>
      <c r="C45" s="65" t="s">
        <v>2</v>
      </c>
      <c r="D45" s="55" t="str">
        <f>IFERROR(VLOOKUP($C45,烤漆色號編碼!$A:$C,2,FALSE),"-")</f>
        <v>BK</v>
      </c>
      <c r="E45" s="64">
        <f>IFERROR(VLOOKUP($C45,當前庫存!$C:$I,5,FALSE),"-")</f>
        <v>4</v>
      </c>
      <c r="F45" s="66"/>
      <c r="G45" s="56">
        <v>5</v>
      </c>
      <c r="H45" s="55">
        <f>IFERROR(VLOOKUP($C45,烤漆色號編碼!$A:$D,4,FALSE)*每日用粉紀錄表!$F45+每日用粉紀錄表!$G45,"-")</f>
        <v>5</v>
      </c>
      <c r="I45" s="57">
        <v>2</v>
      </c>
      <c r="J45" s="58">
        <f>IFERROR(每日用粉紀錄表!$H45-每日用粉紀錄表!$I45,"-")</f>
        <v>3</v>
      </c>
      <c r="K45" s="59"/>
      <c r="L45" s="60"/>
      <c r="M45" s="61"/>
      <c r="N45" s="55"/>
      <c r="O45" s="55"/>
      <c r="P45" s="62"/>
      <c r="Q45" s="62"/>
      <c r="R45" s="62"/>
      <c r="S45" s="62"/>
      <c r="T45" s="62"/>
      <c r="U45" s="62"/>
      <c r="V45" s="62"/>
      <c r="W45" s="62"/>
      <c r="X45" s="62"/>
      <c r="Y45" s="62"/>
      <c r="Z45" s="62"/>
      <c r="AA45" s="62"/>
      <c r="AB45" s="62"/>
      <c r="AC45" s="62"/>
      <c r="AD45" s="62"/>
      <c r="AE45" s="62"/>
      <c r="AF45" s="62"/>
      <c r="AG45" s="33"/>
      <c r="AH45" s="33"/>
      <c r="AI45" s="33"/>
    </row>
    <row r="46" spans="1:35" ht="13.5" customHeight="1" x14ac:dyDescent="0.15">
      <c r="A46" s="53"/>
      <c r="B46" s="54">
        <v>45971</v>
      </c>
      <c r="C46" s="65" t="s">
        <v>332</v>
      </c>
      <c r="D46" s="55" t="str">
        <f>IFERROR(VLOOKUP($C46,烤漆色號編碼!$A:$C,2,FALSE),"-")</f>
        <v>WE2</v>
      </c>
      <c r="E46" s="64">
        <f>IFERROR(VLOOKUP($C46,當前庫存!$C:$I,5,FALSE),"-")</f>
        <v>18</v>
      </c>
      <c r="F46" s="66">
        <v>3</v>
      </c>
      <c r="G46" s="56">
        <f>11+6</f>
        <v>17</v>
      </c>
      <c r="H46" s="55">
        <f>IFERROR(VLOOKUP($C46,烤漆色號編碼!$A:$D,4,FALSE)*每日用粉紀錄表!$F46+每日用粉紀錄表!$G46,"-")</f>
        <v>92</v>
      </c>
      <c r="I46" s="57">
        <f>16+8</f>
        <v>24</v>
      </c>
      <c r="J46" s="58">
        <f>IFERROR(每日用粉紀錄表!$H46-每日用粉紀錄表!$I46,"-")</f>
        <v>68</v>
      </c>
      <c r="K46" s="59"/>
      <c r="L46" s="60"/>
      <c r="M46" s="61"/>
      <c r="N46" s="55"/>
      <c r="O46" s="55"/>
      <c r="P46" s="62"/>
      <c r="Q46" s="62"/>
      <c r="R46" s="62"/>
      <c r="S46" s="62"/>
      <c r="T46" s="62"/>
      <c r="U46" s="62"/>
      <c r="V46" s="62"/>
      <c r="W46" s="62"/>
      <c r="X46" s="62"/>
      <c r="Y46" s="62"/>
      <c r="Z46" s="62"/>
      <c r="AA46" s="62"/>
      <c r="AB46" s="62"/>
      <c r="AC46" s="62"/>
      <c r="AD46" s="62"/>
      <c r="AE46" s="62"/>
      <c r="AF46" s="62"/>
      <c r="AG46" s="33"/>
      <c r="AH46" s="33"/>
      <c r="AI46" s="33"/>
    </row>
    <row r="47" spans="1:35" ht="13.5" customHeight="1" x14ac:dyDescent="0.15">
      <c r="A47" s="53"/>
      <c r="B47" s="54">
        <v>45971</v>
      </c>
      <c r="C47" s="65" t="s">
        <v>333</v>
      </c>
      <c r="D47" s="55" t="str">
        <f>IFERROR(VLOOKUP($C47,烤漆色號編碼!$A:$C,2,FALSE),"-")</f>
        <v>-</v>
      </c>
      <c r="E47" s="64" t="str">
        <f>IFERROR(VLOOKUP($C47,當前庫存!$C:$I,5,FALSE),"-")</f>
        <v>-</v>
      </c>
      <c r="F47" s="67">
        <v>2</v>
      </c>
      <c r="G47" s="56"/>
      <c r="H47" s="55">
        <f>IFERROR(VLOOKUP($C47,烤漆色號編碼!$A:$D,4,FALSE)*每日用粉紀錄表!$F47+每日用粉紀錄表!$G47,"-")</f>
        <v>50</v>
      </c>
      <c r="I47" s="57"/>
      <c r="J47" s="58">
        <f>IFERROR(每日用粉紀錄表!$H47-每日用粉紀錄表!$I47,"-")</f>
        <v>50</v>
      </c>
      <c r="K47" s="59"/>
      <c r="L47" s="60"/>
      <c r="M47" s="61"/>
      <c r="N47" s="55"/>
      <c r="O47" s="55"/>
      <c r="P47" s="62"/>
      <c r="Q47" s="62"/>
      <c r="R47" s="62"/>
      <c r="S47" s="62"/>
      <c r="T47" s="62"/>
      <c r="U47" s="62"/>
      <c r="V47" s="62"/>
      <c r="W47" s="62"/>
      <c r="X47" s="62"/>
      <c r="Y47" s="62"/>
      <c r="Z47" s="62"/>
      <c r="AA47" s="62"/>
      <c r="AB47" s="62"/>
      <c r="AC47" s="62"/>
      <c r="AD47" s="62"/>
      <c r="AE47" s="62"/>
      <c r="AF47" s="62"/>
      <c r="AG47" s="33"/>
      <c r="AH47" s="33"/>
      <c r="AI47" s="33"/>
    </row>
    <row r="48" spans="1:35" ht="13.5" customHeight="1" x14ac:dyDescent="0.15">
      <c r="A48" s="53"/>
      <c r="B48" s="54">
        <v>45972</v>
      </c>
      <c r="C48" s="65" t="s">
        <v>336</v>
      </c>
      <c r="D48" s="55" t="str">
        <f>IFERROR(VLOOKUP($C48,烤漆色號編碼!$A:$C,2,FALSE),"-")</f>
        <v>EBK</v>
      </c>
      <c r="E48" s="64">
        <f>IFERROR(VLOOKUP($C48,當前庫存!$C:$I,5,FALSE),"-")</f>
        <v>3</v>
      </c>
      <c r="F48" s="67"/>
      <c r="G48" s="56">
        <v>21</v>
      </c>
      <c r="H48" s="55">
        <f>IFERROR(VLOOKUP($C48,烤漆色號編碼!$A:$D,4,FALSE)*每日用粉紀錄表!$F48+每日用粉紀錄表!$G48,"-")</f>
        <v>21</v>
      </c>
      <c r="I48" s="57">
        <v>21</v>
      </c>
      <c r="J48" s="58">
        <f>IFERROR(每日用粉紀錄表!$H48-每日用粉紀錄表!$I48,"-")</f>
        <v>0</v>
      </c>
      <c r="K48" s="59"/>
      <c r="L48" s="60"/>
      <c r="M48" s="61"/>
      <c r="N48" s="55"/>
      <c r="O48" s="55"/>
      <c r="P48" s="62"/>
      <c r="Q48" s="62"/>
      <c r="R48" s="62"/>
      <c r="S48" s="62"/>
      <c r="T48" s="62"/>
      <c r="U48" s="62"/>
      <c r="V48" s="62"/>
      <c r="W48" s="62"/>
      <c r="X48" s="62"/>
      <c r="Y48" s="62"/>
      <c r="Z48" s="62"/>
      <c r="AA48" s="62"/>
      <c r="AB48" s="62"/>
      <c r="AC48" s="62"/>
      <c r="AD48" s="62"/>
      <c r="AE48" s="62"/>
      <c r="AF48" s="62"/>
      <c r="AG48" s="33"/>
      <c r="AH48" s="33"/>
      <c r="AI48" s="33"/>
    </row>
    <row r="49" spans="1:35" ht="13.5" customHeight="1" x14ac:dyDescent="0.15">
      <c r="A49" s="53"/>
      <c r="B49" s="54">
        <v>45972</v>
      </c>
      <c r="C49" s="65" t="s">
        <v>332</v>
      </c>
      <c r="D49" s="55" t="str">
        <f>IFERROR(VLOOKUP($C49,烤漆色號編碼!$A:$C,2,FALSE),"-")</f>
        <v>WE2</v>
      </c>
      <c r="E49" s="64">
        <f>IFERROR(VLOOKUP($C49,當前庫存!$C:$I,5,FALSE),"-")</f>
        <v>18</v>
      </c>
      <c r="F49" s="67">
        <v>3</v>
      </c>
      <c r="G49" s="56">
        <f>16+8</f>
        <v>24</v>
      </c>
      <c r="H49" s="55">
        <f>IFERROR(VLOOKUP($C49,烤漆色號編碼!$A:$D,4,FALSE)*每日用粉紀錄表!$F49+每日用粉紀錄表!$G49,"-")</f>
        <v>99</v>
      </c>
      <c r="I49" s="57">
        <f>8+18</f>
        <v>26</v>
      </c>
      <c r="J49" s="58">
        <f>IFERROR(每日用粉紀錄表!$H49-每日用粉紀錄表!$I49,"-")</f>
        <v>73</v>
      </c>
      <c r="K49" s="59"/>
      <c r="L49" s="60"/>
      <c r="M49" s="61"/>
      <c r="N49" s="55"/>
      <c r="O49" s="55"/>
      <c r="P49" s="62"/>
      <c r="Q49" s="62"/>
      <c r="R49" s="62"/>
      <c r="S49" s="62"/>
      <c r="T49" s="62"/>
      <c r="U49" s="62"/>
      <c r="V49" s="62"/>
      <c r="W49" s="62"/>
      <c r="X49" s="62"/>
      <c r="Y49" s="62"/>
      <c r="Z49" s="62"/>
      <c r="AA49" s="62"/>
      <c r="AB49" s="62"/>
      <c r="AC49" s="62"/>
      <c r="AD49" s="62"/>
      <c r="AE49" s="62"/>
      <c r="AF49" s="62"/>
      <c r="AG49" s="33"/>
      <c r="AH49" s="33"/>
      <c r="AI49" s="33"/>
    </row>
    <row r="50" spans="1:35" ht="13.5" customHeight="1" x14ac:dyDescent="0.15">
      <c r="A50" s="53"/>
      <c r="B50" s="54">
        <v>45972</v>
      </c>
      <c r="C50" s="65" t="s">
        <v>344</v>
      </c>
      <c r="D50" s="55" t="str">
        <f>IFERROR(VLOOKUP($C50,烤漆色號編碼!$A:$C,2,FALSE),"-")</f>
        <v>-</v>
      </c>
      <c r="E50" s="64" t="str">
        <f>IFERROR(VLOOKUP($C50,當前庫存!$C:$I,5,FALSE),"-")</f>
        <v>-</v>
      </c>
      <c r="F50" s="67"/>
      <c r="G50" s="56"/>
      <c r="H50" s="55" t="str">
        <f>IFERROR(VLOOKUP($C50,烤漆色號編碼!$A:$D,4,FALSE)*每日用粉紀錄表!$F50+每日用粉紀錄表!$G50,"-")</f>
        <v>-</v>
      </c>
      <c r="I50" s="57"/>
      <c r="J50" s="58" t="s">
        <v>348</v>
      </c>
      <c r="K50" s="59"/>
      <c r="L50" s="60"/>
      <c r="M50" s="61"/>
      <c r="N50" s="55"/>
      <c r="O50" s="55"/>
      <c r="P50" s="62"/>
      <c r="Q50" s="62"/>
      <c r="R50" s="62"/>
      <c r="S50" s="62"/>
      <c r="T50" s="62"/>
      <c r="U50" s="62"/>
      <c r="V50" s="62"/>
      <c r="W50" s="62"/>
      <c r="X50" s="62"/>
      <c r="Y50" s="62"/>
      <c r="Z50" s="62"/>
      <c r="AA50" s="62"/>
      <c r="AB50" s="62"/>
      <c r="AC50" s="62"/>
      <c r="AD50" s="62"/>
      <c r="AE50" s="62"/>
      <c r="AF50" s="62"/>
      <c r="AG50" s="33"/>
      <c r="AH50" s="33"/>
      <c r="AI50" s="33"/>
    </row>
    <row r="51" spans="1:35" ht="13.5" customHeight="1" x14ac:dyDescent="0.15">
      <c r="A51" s="53"/>
      <c r="B51" s="54">
        <v>45972</v>
      </c>
      <c r="C51" s="65" t="s">
        <v>344</v>
      </c>
      <c r="D51" s="55" t="str">
        <f>IFERROR(VLOOKUP($C51,烤漆色號編碼!$A:$C,2,FALSE),"-")</f>
        <v>-</v>
      </c>
      <c r="E51" s="64" t="str">
        <f>IFERROR(VLOOKUP($C51,當前庫存!$C:$I,5,FALSE),"-")</f>
        <v>-</v>
      </c>
      <c r="F51" s="66"/>
      <c r="G51" s="56"/>
      <c r="H51" s="55" t="str">
        <f>IFERROR(VLOOKUP($C51,烤漆色號編碼!$A:$D,4,FALSE)*每日用粉紀錄表!$F51+每日用粉紀錄表!$G51,"-")</f>
        <v>-</v>
      </c>
      <c r="I51" s="57"/>
      <c r="J51" s="58" t="s">
        <v>349</v>
      </c>
      <c r="K51" s="59"/>
      <c r="L51" s="60"/>
      <c r="M51" s="61"/>
      <c r="N51" s="55"/>
      <c r="O51" s="55"/>
      <c r="P51" s="62"/>
      <c r="Q51" s="62"/>
      <c r="R51" s="62"/>
      <c r="S51" s="62"/>
      <c r="T51" s="62"/>
      <c r="U51" s="62"/>
      <c r="V51" s="62"/>
      <c r="W51" s="62"/>
      <c r="X51" s="62"/>
      <c r="Y51" s="62"/>
      <c r="Z51" s="62"/>
      <c r="AA51" s="62"/>
      <c r="AB51" s="62"/>
      <c r="AC51" s="62"/>
      <c r="AD51" s="62"/>
      <c r="AE51" s="62"/>
      <c r="AF51" s="62"/>
      <c r="AG51" s="33"/>
      <c r="AH51" s="33"/>
      <c r="AI51" s="33"/>
    </row>
    <row r="52" spans="1:35" ht="13.5" customHeight="1" x14ac:dyDescent="0.15">
      <c r="A52" s="53"/>
      <c r="B52" s="54">
        <v>45972</v>
      </c>
      <c r="C52" s="65" t="s">
        <v>333</v>
      </c>
      <c r="D52" s="55" t="str">
        <f>IFERROR(VLOOKUP($C52,烤漆色號編碼!$A:$C,2,FALSE),"-")</f>
        <v>-</v>
      </c>
      <c r="E52" s="64" t="str">
        <f>IFERROR(VLOOKUP($C52,當前庫存!$C:$I,5,FALSE),"-")</f>
        <v>-</v>
      </c>
      <c r="F52" s="66">
        <v>1</v>
      </c>
      <c r="G52" s="56"/>
      <c r="H52" s="55">
        <f>IFERROR(VLOOKUP($C52,烤漆色號編碼!$A:$D,4,FALSE)*每日用粉紀錄表!$F52+每日用粉紀錄表!$G52,"-")</f>
        <v>25</v>
      </c>
      <c r="I52" s="57"/>
      <c r="J52" s="58">
        <f>IFERROR(每日用粉紀錄表!$H52-每日用粉紀錄表!$I52,"-")</f>
        <v>25</v>
      </c>
      <c r="K52" s="59"/>
      <c r="L52" s="60"/>
      <c r="M52" s="61"/>
      <c r="N52" s="55"/>
      <c r="O52" s="55"/>
      <c r="P52" s="62"/>
      <c r="Q52" s="62"/>
      <c r="R52" s="62"/>
      <c r="S52" s="62"/>
      <c r="T52" s="62"/>
      <c r="U52" s="62"/>
      <c r="V52" s="62"/>
      <c r="W52" s="62"/>
      <c r="X52" s="62"/>
      <c r="Y52" s="62"/>
      <c r="Z52" s="62"/>
      <c r="AA52" s="62"/>
      <c r="AB52" s="62"/>
      <c r="AC52" s="62"/>
      <c r="AD52" s="62"/>
      <c r="AE52" s="62"/>
      <c r="AF52" s="62"/>
      <c r="AG52" s="33"/>
      <c r="AH52" s="33"/>
      <c r="AI52" s="33"/>
    </row>
    <row r="53" spans="1:35" ht="13.5" customHeight="1" x14ac:dyDescent="0.15">
      <c r="A53" s="53"/>
      <c r="B53" s="54">
        <v>45973</v>
      </c>
      <c r="C53" s="68" t="s">
        <v>350</v>
      </c>
      <c r="D53" s="55" t="str">
        <f>IFERROR(VLOOKUP($C53,烤漆色號編碼!$A:$C,2,FALSE),"-")</f>
        <v>-</v>
      </c>
      <c r="E53" s="64" t="str">
        <f>IFERROR(VLOOKUP($C53,當前庫存!$C:$I,5,FALSE),"-")</f>
        <v>-</v>
      </c>
      <c r="F53" s="56"/>
      <c r="G53" s="56"/>
      <c r="H53" s="55" t="str">
        <f>IFERROR(VLOOKUP($C53,烤漆色號編碼!$A:$D,4,FALSE)*每日用粉紀錄表!$F53+每日用粉紀錄表!$G53,"-")</f>
        <v>-</v>
      </c>
      <c r="I53" s="57"/>
      <c r="J53" s="58" t="str">
        <f>IFERROR(每日用粉紀錄表!$H53-每日用粉紀錄表!$I53,"-")</f>
        <v>-</v>
      </c>
      <c r="K53" s="59"/>
      <c r="L53" s="60"/>
      <c r="M53" s="61"/>
      <c r="N53" s="55"/>
      <c r="O53" s="55"/>
      <c r="P53" s="62"/>
      <c r="Q53" s="62"/>
      <c r="R53" s="62"/>
      <c r="S53" s="62"/>
      <c r="T53" s="62"/>
      <c r="U53" s="62"/>
      <c r="V53" s="62"/>
      <c r="W53" s="62"/>
      <c r="X53" s="62"/>
      <c r="Y53" s="62"/>
      <c r="Z53" s="62"/>
      <c r="AA53" s="62"/>
      <c r="AB53" s="62"/>
      <c r="AC53" s="62"/>
      <c r="AD53" s="62"/>
      <c r="AE53" s="62"/>
      <c r="AF53" s="62"/>
      <c r="AG53" s="33"/>
      <c r="AH53" s="33"/>
      <c r="AI53" s="33"/>
    </row>
    <row r="54" spans="1:35" ht="13.5" customHeight="1" x14ac:dyDescent="0.15">
      <c r="A54" s="53"/>
      <c r="B54" s="54">
        <v>45974</v>
      </c>
      <c r="C54" s="55" t="s">
        <v>332</v>
      </c>
      <c r="D54" s="55" t="str">
        <f>IFERROR(VLOOKUP($C54,烤漆色號編碼!$A:$C,2,FALSE),"-")</f>
        <v>WE2</v>
      </c>
      <c r="E54" s="55">
        <f>IFERROR(VLOOKUP($C54,當前庫存!$C:$I,5,FALSE),"-")</f>
        <v>18</v>
      </c>
      <c r="F54" s="56">
        <v>3</v>
      </c>
      <c r="G54" s="56">
        <f>8+18</f>
        <v>26</v>
      </c>
      <c r="H54" s="55">
        <f>IFERROR(VLOOKUP($C54,烤漆色號編碼!$A:$D,4,FALSE)*每日用粉紀錄表!$F54+每日用粉紀錄表!$G54,"-")</f>
        <v>101</v>
      </c>
      <c r="I54" s="57">
        <f>19+8</f>
        <v>27</v>
      </c>
      <c r="J54" s="58">
        <f>IFERROR(每日用粉紀錄表!$H54-每日用粉紀錄表!$I54,"-")</f>
        <v>74</v>
      </c>
      <c r="K54" s="59"/>
      <c r="L54" s="60"/>
      <c r="M54" s="61"/>
      <c r="N54" s="55"/>
      <c r="O54" s="55"/>
      <c r="P54" s="62"/>
      <c r="Q54" s="62"/>
      <c r="R54" s="62"/>
      <c r="S54" s="62"/>
      <c r="T54" s="62"/>
      <c r="U54" s="62"/>
      <c r="V54" s="62"/>
      <c r="W54" s="62"/>
      <c r="X54" s="62"/>
      <c r="Y54" s="62"/>
      <c r="Z54" s="62"/>
      <c r="AA54" s="62"/>
      <c r="AB54" s="62"/>
      <c r="AC54" s="62"/>
      <c r="AD54" s="62"/>
      <c r="AE54" s="62"/>
      <c r="AF54" s="62"/>
      <c r="AG54" s="33"/>
      <c r="AH54" s="33"/>
      <c r="AI54" s="33"/>
    </row>
    <row r="55" spans="1:35" ht="13.5" customHeight="1" x14ac:dyDescent="0.15">
      <c r="A55" s="53"/>
      <c r="B55" s="54">
        <v>45974</v>
      </c>
      <c r="C55" s="55" t="s">
        <v>333</v>
      </c>
      <c r="D55" s="55" t="str">
        <f>IFERROR(VLOOKUP($C55,烤漆色號編碼!$A:$C,2,FALSE),"-")</f>
        <v>-</v>
      </c>
      <c r="E55" s="55" t="str">
        <f>IFERROR(VLOOKUP($C55,當前庫存!$C:$I,5,FALSE),"-")</f>
        <v>-</v>
      </c>
      <c r="F55" s="56">
        <v>1</v>
      </c>
      <c r="G55" s="56"/>
      <c r="H55" s="55">
        <f>IFERROR(VLOOKUP($C55,烤漆色號編碼!$A:$D,4,FALSE)*每日用粉紀錄表!$F55+每日用粉紀錄表!$G55,"-")</f>
        <v>25</v>
      </c>
      <c r="I55" s="57"/>
      <c r="J55" s="58">
        <f>IFERROR(每日用粉紀錄表!$H55-每日用粉紀錄表!$I55,"-")</f>
        <v>25</v>
      </c>
      <c r="K55" s="59"/>
      <c r="L55" s="60"/>
      <c r="M55" s="61"/>
      <c r="N55" s="55"/>
      <c r="O55" s="55"/>
      <c r="P55" s="62"/>
      <c r="Q55" s="62"/>
      <c r="R55" s="62"/>
      <c r="S55" s="62"/>
      <c r="T55" s="62"/>
      <c r="U55" s="62"/>
      <c r="V55" s="62"/>
      <c r="W55" s="62"/>
      <c r="X55" s="62"/>
      <c r="Y55" s="62"/>
      <c r="Z55" s="62"/>
      <c r="AA55" s="62"/>
      <c r="AB55" s="62"/>
      <c r="AC55" s="62"/>
      <c r="AD55" s="62"/>
      <c r="AE55" s="62"/>
      <c r="AF55" s="62"/>
      <c r="AG55" s="33"/>
      <c r="AH55" s="33"/>
      <c r="AI55" s="33"/>
    </row>
    <row r="56" spans="1:35" ht="13.5" customHeight="1" x14ac:dyDescent="0.15">
      <c r="A56" s="53"/>
      <c r="B56" s="54">
        <v>45975</v>
      </c>
      <c r="C56" s="55" t="s">
        <v>332</v>
      </c>
      <c r="D56" s="55" t="str">
        <f>IFERROR(VLOOKUP($C56,烤漆色號編碼!$A:$C,2,FALSE),"-")</f>
        <v>WE2</v>
      </c>
      <c r="E56" s="55">
        <f>IFERROR(VLOOKUP($C56,當前庫存!$C:$I,5,FALSE),"-")</f>
        <v>18</v>
      </c>
      <c r="F56" s="56">
        <v>4</v>
      </c>
      <c r="G56" s="56">
        <f>19+8</f>
        <v>27</v>
      </c>
      <c r="H56" s="55">
        <f>IFERROR(VLOOKUP($C56,烤漆色號編碼!$A:$D,4,FALSE)*每日用粉紀錄表!$F56+每日用粉紀錄表!$G56,"-")</f>
        <v>127</v>
      </c>
      <c r="I56" s="57">
        <f>20+8</f>
        <v>28</v>
      </c>
      <c r="J56" s="58">
        <f>IFERROR(每日用粉紀錄表!$H56-每日用粉紀錄表!$I56,"-")</f>
        <v>99</v>
      </c>
      <c r="K56" s="59"/>
      <c r="L56" s="60"/>
      <c r="M56" s="61"/>
      <c r="N56" s="55"/>
      <c r="O56" s="55"/>
      <c r="P56" s="62"/>
      <c r="Q56" s="62"/>
      <c r="R56" s="62"/>
      <c r="S56" s="62"/>
      <c r="T56" s="62"/>
      <c r="U56" s="62"/>
      <c r="V56" s="62"/>
      <c r="W56" s="62"/>
      <c r="X56" s="62"/>
      <c r="Y56" s="62"/>
      <c r="Z56" s="62"/>
      <c r="AA56" s="62"/>
      <c r="AB56" s="62"/>
      <c r="AC56" s="62"/>
      <c r="AD56" s="62"/>
      <c r="AE56" s="62"/>
      <c r="AF56" s="62"/>
      <c r="AG56" s="33"/>
      <c r="AH56" s="33"/>
      <c r="AI56" s="33"/>
    </row>
    <row r="57" spans="1:35" ht="13.5" customHeight="1" x14ac:dyDescent="0.15">
      <c r="A57" s="53"/>
      <c r="B57" s="54">
        <v>45975</v>
      </c>
      <c r="C57" s="55" t="s">
        <v>333</v>
      </c>
      <c r="D57" s="55" t="str">
        <f>IFERROR(VLOOKUP($C57,烤漆色號編碼!$A:$C,2,FALSE),"-")</f>
        <v>-</v>
      </c>
      <c r="E57" s="55" t="str">
        <f>IFERROR(VLOOKUP($C57,當前庫存!$C:$I,5,FALSE),"-")</f>
        <v>-</v>
      </c>
      <c r="F57" s="56">
        <v>1</v>
      </c>
      <c r="G57" s="56"/>
      <c r="H57" s="55">
        <f>IFERROR(VLOOKUP($C57,烤漆色號編碼!$A:$D,4,FALSE)*每日用粉紀錄表!$F57+每日用粉紀錄表!$G57,"-")</f>
        <v>25</v>
      </c>
      <c r="I57" s="57"/>
      <c r="J57" s="58">
        <f>IFERROR(每日用粉紀錄表!$H57-每日用粉紀錄表!$I57,"-")</f>
        <v>25</v>
      </c>
      <c r="K57" s="59"/>
      <c r="L57" s="60"/>
      <c r="M57" s="61"/>
      <c r="N57" s="55"/>
      <c r="O57" s="55"/>
      <c r="P57" s="62"/>
      <c r="Q57" s="62"/>
      <c r="R57" s="62"/>
      <c r="S57" s="62"/>
      <c r="T57" s="62"/>
      <c r="U57" s="62"/>
      <c r="V57" s="62"/>
      <c r="W57" s="62"/>
      <c r="X57" s="62"/>
      <c r="Y57" s="62"/>
      <c r="Z57" s="62"/>
      <c r="AA57" s="62"/>
      <c r="AB57" s="62"/>
      <c r="AC57" s="62"/>
      <c r="AD57" s="62"/>
      <c r="AE57" s="62"/>
      <c r="AF57" s="62"/>
      <c r="AG57" s="33"/>
      <c r="AH57" s="33"/>
      <c r="AI57" s="33"/>
    </row>
    <row r="58" spans="1:35" ht="13.5" customHeight="1" x14ac:dyDescent="0.15">
      <c r="A58" s="53"/>
      <c r="B58" s="54">
        <v>45976</v>
      </c>
      <c r="C58" s="55" t="s">
        <v>340</v>
      </c>
      <c r="D58" s="55" t="str">
        <f>IFERROR(VLOOKUP($C58,烤漆色號編碼!$A:$C,2,FALSE),"-")</f>
        <v>-</v>
      </c>
      <c r="E58" s="55" t="str">
        <f>IFERROR(VLOOKUP($C58,當前庫存!$C:$I,5,FALSE),"-")</f>
        <v>-</v>
      </c>
      <c r="F58" s="56"/>
      <c r="G58" s="56"/>
      <c r="H58" s="55" t="str">
        <f>IFERROR(VLOOKUP($C58,烤漆色號編碼!$A:$D,4,FALSE)*每日用粉紀錄表!$F58+每日用粉紀錄表!$G58,"-")</f>
        <v>-</v>
      </c>
      <c r="I58" s="57"/>
      <c r="J58" s="58" t="str">
        <f>IFERROR(每日用粉紀錄表!$H58-每日用粉紀錄表!$I58,"-")</f>
        <v>-</v>
      </c>
      <c r="K58" s="59"/>
      <c r="L58" s="60"/>
      <c r="M58" s="61"/>
      <c r="N58" s="55"/>
      <c r="O58" s="55"/>
      <c r="P58" s="62"/>
      <c r="Q58" s="62"/>
      <c r="R58" s="62"/>
      <c r="S58" s="62"/>
      <c r="T58" s="62"/>
      <c r="U58" s="62"/>
      <c r="V58" s="62"/>
      <c r="W58" s="62"/>
      <c r="X58" s="62"/>
      <c r="Y58" s="62"/>
      <c r="Z58" s="62"/>
      <c r="AA58" s="62"/>
      <c r="AB58" s="62"/>
      <c r="AC58" s="62"/>
      <c r="AD58" s="62"/>
      <c r="AE58" s="62"/>
      <c r="AF58" s="62"/>
      <c r="AG58" s="33"/>
      <c r="AH58" s="33"/>
      <c r="AI58" s="33"/>
    </row>
    <row r="59" spans="1:35" ht="13.5" customHeight="1" x14ac:dyDescent="0.15">
      <c r="A59" s="53"/>
      <c r="B59" s="54">
        <v>45977</v>
      </c>
      <c r="C59" s="55" t="s">
        <v>340</v>
      </c>
      <c r="D59" s="55" t="str">
        <f>IFERROR(VLOOKUP($C59,烤漆色號編碼!$A:$C,2,FALSE),"-")</f>
        <v>-</v>
      </c>
      <c r="E59" s="55" t="str">
        <f>IFERROR(VLOOKUP($C59,當前庫存!$C:$I,5,FALSE),"-")</f>
        <v>-</v>
      </c>
      <c r="F59" s="56"/>
      <c r="G59" s="56"/>
      <c r="H59" s="55" t="str">
        <f>IFERROR(VLOOKUP($C59,烤漆色號編碼!$A:$D,4,FALSE)*每日用粉紀錄表!$F59+每日用粉紀錄表!$G59,"-")</f>
        <v>-</v>
      </c>
      <c r="I59" s="57"/>
      <c r="J59" s="58" t="str">
        <f>IFERROR(每日用粉紀錄表!$H59-每日用粉紀錄表!$I59,"-")</f>
        <v>-</v>
      </c>
      <c r="K59" s="59"/>
      <c r="L59" s="60"/>
      <c r="M59" s="61"/>
      <c r="N59" s="55"/>
      <c r="O59" s="55"/>
      <c r="P59" s="62"/>
      <c r="Q59" s="62"/>
      <c r="R59" s="62"/>
      <c r="S59" s="62"/>
      <c r="T59" s="62"/>
      <c r="U59" s="62"/>
      <c r="V59" s="62"/>
      <c r="W59" s="62"/>
      <c r="X59" s="62"/>
      <c r="Y59" s="62"/>
      <c r="Z59" s="62"/>
      <c r="AA59" s="62"/>
      <c r="AB59" s="62"/>
      <c r="AC59" s="62"/>
      <c r="AD59" s="62"/>
      <c r="AE59" s="62"/>
      <c r="AF59" s="62"/>
      <c r="AG59" s="33"/>
      <c r="AH59" s="33"/>
      <c r="AI59" s="33"/>
    </row>
    <row r="60" spans="1:35" ht="13.5" customHeight="1" x14ac:dyDescent="0.15">
      <c r="A60" s="53"/>
      <c r="B60" s="54">
        <v>45978</v>
      </c>
      <c r="C60" s="55" t="s">
        <v>332</v>
      </c>
      <c r="D60" s="55" t="str">
        <f>IFERROR(VLOOKUP($C60,烤漆色號編碼!$A:$C,2,FALSE),"-")</f>
        <v>WE2</v>
      </c>
      <c r="E60" s="55">
        <f>IFERROR(VLOOKUP($C60,當前庫存!$C:$I,5,FALSE),"-")</f>
        <v>18</v>
      </c>
      <c r="F60" s="56">
        <v>2</v>
      </c>
      <c r="G60" s="56">
        <f>20+8</f>
        <v>28</v>
      </c>
      <c r="H60" s="55">
        <f>IFERROR(VLOOKUP($C60,烤漆色號編碼!$A:$D,4,FALSE)*每日用粉紀錄表!$F60+每日用粉紀錄表!$G60,"-")</f>
        <v>78</v>
      </c>
      <c r="I60" s="57">
        <v>6</v>
      </c>
      <c r="J60" s="58">
        <f>IFERROR(每日用粉紀錄表!$H60-每日用粉紀錄表!$I60,"-")</f>
        <v>72</v>
      </c>
      <c r="K60" s="59"/>
      <c r="L60" s="60"/>
      <c r="M60" s="61"/>
      <c r="N60" s="55"/>
      <c r="O60" s="55"/>
      <c r="P60" s="62"/>
      <c r="Q60" s="62"/>
      <c r="R60" s="62"/>
      <c r="S60" s="62"/>
      <c r="T60" s="62"/>
      <c r="U60" s="62"/>
      <c r="V60" s="62"/>
      <c r="W60" s="62"/>
      <c r="X60" s="62"/>
      <c r="Y60" s="62"/>
      <c r="Z60" s="62"/>
      <c r="AA60" s="62"/>
      <c r="AB60" s="62"/>
      <c r="AC60" s="62"/>
      <c r="AD60" s="62"/>
      <c r="AE60" s="62"/>
      <c r="AF60" s="62"/>
      <c r="AG60" s="33"/>
      <c r="AH60" s="33"/>
      <c r="AI60" s="33"/>
    </row>
    <row r="61" spans="1:35" ht="13.5" customHeight="1" x14ac:dyDescent="0.15">
      <c r="A61" s="53"/>
      <c r="B61" s="54">
        <v>45978</v>
      </c>
      <c r="C61" s="55" t="s">
        <v>333</v>
      </c>
      <c r="D61" s="55" t="str">
        <f>IFERROR(VLOOKUP($C61,烤漆色號編碼!$A:$C,2,FALSE),"-")</f>
        <v>-</v>
      </c>
      <c r="E61" s="55" t="str">
        <f>IFERROR(VLOOKUP($C61,當前庫存!$C:$I,5,FALSE),"-")</f>
        <v>-</v>
      </c>
      <c r="F61" s="56">
        <v>1</v>
      </c>
      <c r="G61" s="56"/>
      <c r="H61" s="55">
        <f>IFERROR(VLOOKUP($C61,烤漆色號編碼!$A:$D,4,FALSE)*每日用粉紀錄表!$F61+每日用粉紀錄表!$G61,"-")</f>
        <v>25</v>
      </c>
      <c r="I61" s="57"/>
      <c r="J61" s="58">
        <f>IFERROR(每日用粉紀錄表!$H61-每日用粉紀錄表!$I61,"-")</f>
        <v>25</v>
      </c>
      <c r="K61" s="59"/>
      <c r="L61" s="60"/>
      <c r="M61" s="61"/>
      <c r="N61" s="55"/>
      <c r="O61" s="55"/>
      <c r="P61" s="62"/>
      <c r="Q61" s="62"/>
      <c r="R61" s="62"/>
      <c r="S61" s="62"/>
      <c r="T61" s="62"/>
      <c r="U61" s="62"/>
      <c r="V61" s="62"/>
      <c r="W61" s="62"/>
      <c r="X61" s="62"/>
      <c r="Y61" s="62"/>
      <c r="Z61" s="62"/>
      <c r="AA61" s="62"/>
      <c r="AB61" s="62"/>
      <c r="AC61" s="62"/>
      <c r="AD61" s="62"/>
      <c r="AE61" s="62"/>
      <c r="AF61" s="62"/>
      <c r="AG61" s="33"/>
      <c r="AH61" s="33"/>
      <c r="AI61" s="33"/>
    </row>
    <row r="62" spans="1:35" ht="13.5" customHeight="1" x14ac:dyDescent="0.15">
      <c r="A62" s="53"/>
      <c r="B62" s="54">
        <v>45979</v>
      </c>
      <c r="C62" s="55" t="s">
        <v>339</v>
      </c>
      <c r="D62" s="55" t="str">
        <f>IFERROR(VLOOKUP($C62,烤漆色號編碼!$A:$C,2,FALSE),"-")</f>
        <v>BKS1</v>
      </c>
      <c r="E62" s="55">
        <f>IFERROR(VLOOKUP($C62,當前庫存!$C:$I,5,FALSE),"-")</f>
        <v>24</v>
      </c>
      <c r="F62" s="56">
        <v>1</v>
      </c>
      <c r="G62" s="56">
        <v>4</v>
      </c>
      <c r="H62" s="55">
        <f>IFERROR(VLOOKUP($C62,烤漆色號編碼!$A:$D,4,FALSE)*每日用粉紀錄表!$F62+每日用粉紀錄表!$G62,"-")</f>
        <v>29</v>
      </c>
      <c r="I62" s="57">
        <v>13</v>
      </c>
      <c r="J62" s="58">
        <f>IFERROR(每日用粉紀錄表!$H62-每日用粉紀錄表!$I62,"-")</f>
        <v>16</v>
      </c>
      <c r="K62" s="59"/>
      <c r="L62" s="60"/>
      <c r="M62" s="61"/>
      <c r="N62" s="55"/>
      <c r="O62" s="55"/>
      <c r="P62" s="62"/>
      <c r="Q62" s="62"/>
      <c r="R62" s="62"/>
      <c r="S62" s="62"/>
      <c r="T62" s="62"/>
      <c r="U62" s="62"/>
      <c r="V62" s="62"/>
      <c r="W62" s="62"/>
      <c r="X62" s="62"/>
      <c r="Y62" s="62"/>
      <c r="Z62" s="62"/>
      <c r="AA62" s="62"/>
      <c r="AB62" s="62"/>
      <c r="AC62" s="62"/>
      <c r="AD62" s="62"/>
      <c r="AE62" s="62"/>
      <c r="AF62" s="62"/>
      <c r="AG62" s="33"/>
      <c r="AH62" s="33"/>
      <c r="AI62" s="33"/>
    </row>
    <row r="63" spans="1:35" ht="13.5" customHeight="1" x14ac:dyDescent="0.15">
      <c r="A63" s="53"/>
      <c r="B63" s="54">
        <v>45979</v>
      </c>
      <c r="C63" s="55" t="s">
        <v>332</v>
      </c>
      <c r="D63" s="55" t="str">
        <f>IFERROR(VLOOKUP($C63,烤漆色號編碼!$A:$C,2,FALSE),"-")</f>
        <v>WE2</v>
      </c>
      <c r="E63" s="55">
        <f>IFERROR(VLOOKUP($C63,當前庫存!$C:$I,5,FALSE),"-")</f>
        <v>18</v>
      </c>
      <c r="F63" s="56">
        <v>4</v>
      </c>
      <c r="G63" s="56">
        <v>6</v>
      </c>
      <c r="H63" s="55">
        <f>IFERROR(VLOOKUP($C63,烤漆色號編碼!$A:$D,4,FALSE)*每日用粉紀錄表!$F63+每日用粉紀錄表!$G63,"-")</f>
        <v>106</v>
      </c>
      <c r="I63" s="57">
        <v>8</v>
      </c>
      <c r="J63" s="58">
        <f>IFERROR(每日用粉紀錄表!$H63-每日用粉紀錄表!$I63,"-")</f>
        <v>98</v>
      </c>
      <c r="K63" s="59"/>
      <c r="L63" s="60"/>
      <c r="M63" s="61"/>
      <c r="N63" s="55"/>
      <c r="O63" s="55"/>
      <c r="P63" s="62"/>
      <c r="Q63" s="62"/>
      <c r="R63" s="62"/>
      <c r="S63" s="62"/>
      <c r="T63" s="62"/>
      <c r="U63" s="62"/>
      <c r="V63" s="62"/>
      <c r="W63" s="62"/>
      <c r="X63" s="62"/>
      <c r="Y63" s="62"/>
      <c r="Z63" s="62"/>
      <c r="AA63" s="62"/>
      <c r="AB63" s="62"/>
      <c r="AC63" s="62"/>
      <c r="AD63" s="62"/>
      <c r="AE63" s="62"/>
      <c r="AF63" s="62"/>
      <c r="AG63" s="33"/>
      <c r="AH63" s="33"/>
      <c r="AI63" s="33"/>
    </row>
    <row r="64" spans="1:35" ht="13.5" customHeight="1" x14ac:dyDescent="0.15">
      <c r="A64" s="53"/>
      <c r="B64" s="54">
        <v>45979</v>
      </c>
      <c r="C64" s="55" t="s">
        <v>333</v>
      </c>
      <c r="D64" s="55" t="str">
        <f>IFERROR(VLOOKUP($C64,烤漆色號編碼!$A:$C,2,FALSE),"-")</f>
        <v>-</v>
      </c>
      <c r="E64" s="55" t="str">
        <f>IFERROR(VLOOKUP($C64,當前庫存!$C:$I,5,FALSE),"-")</f>
        <v>-</v>
      </c>
      <c r="F64" s="56">
        <v>1</v>
      </c>
      <c r="G64" s="56"/>
      <c r="H64" s="55">
        <f>IFERROR(VLOOKUP($C64,烤漆色號編碼!$A:$D,4,FALSE)*每日用粉紀錄表!$F64+每日用粉紀錄表!$G64,"-")</f>
        <v>25</v>
      </c>
      <c r="I64" s="57"/>
      <c r="J64" s="58">
        <f>IFERROR(每日用粉紀錄表!$H64-每日用粉紀錄表!$I64,"-")</f>
        <v>25</v>
      </c>
      <c r="K64" s="59"/>
      <c r="L64" s="60"/>
      <c r="M64" s="61"/>
      <c r="N64" s="55"/>
      <c r="O64" s="55"/>
      <c r="P64" s="62"/>
      <c r="Q64" s="62"/>
      <c r="R64" s="62"/>
      <c r="S64" s="62"/>
      <c r="T64" s="62"/>
      <c r="U64" s="62"/>
      <c r="V64" s="62"/>
      <c r="W64" s="62"/>
      <c r="X64" s="62"/>
      <c r="Y64" s="62"/>
      <c r="Z64" s="62"/>
      <c r="AA64" s="62"/>
      <c r="AB64" s="62"/>
      <c r="AC64" s="62"/>
      <c r="AD64" s="62"/>
      <c r="AE64" s="62"/>
      <c r="AF64" s="62"/>
      <c r="AG64" s="33"/>
      <c r="AH64" s="33"/>
      <c r="AI64" s="33"/>
    </row>
    <row r="65" spans="1:35" ht="13.5" customHeight="1" x14ac:dyDescent="0.15">
      <c r="A65" s="53"/>
      <c r="B65" s="54">
        <v>45980</v>
      </c>
      <c r="C65" s="55" t="s">
        <v>332</v>
      </c>
      <c r="D65" s="55" t="str">
        <f>IFERROR(VLOOKUP($C65,烤漆色號編碼!$A:$C,2,FALSE),"-")</f>
        <v>WE2</v>
      </c>
      <c r="E65" s="55">
        <f>IFERROR(VLOOKUP($C65,當前庫存!$C:$I,5,FALSE),"-")</f>
        <v>18</v>
      </c>
      <c r="F65" s="56">
        <v>4</v>
      </c>
      <c r="G65" s="56">
        <v>8</v>
      </c>
      <c r="H65" s="55">
        <f>IFERROR(VLOOKUP($C65,烤漆色號編碼!$A:$D,4,FALSE)*每日用粉紀錄表!$F65+每日用粉紀錄表!$G65,"-")</f>
        <v>108</v>
      </c>
      <c r="I65" s="57">
        <f>22+8</f>
        <v>30</v>
      </c>
      <c r="J65" s="58">
        <f>IFERROR(每日用粉紀錄表!$H65-每日用粉紀錄表!$I65,"-")</f>
        <v>78</v>
      </c>
      <c r="K65" s="59"/>
      <c r="L65" s="60"/>
      <c r="M65" s="61"/>
      <c r="N65" s="55"/>
      <c r="O65" s="55"/>
      <c r="P65" s="62"/>
      <c r="Q65" s="62"/>
      <c r="R65" s="62"/>
      <c r="S65" s="62"/>
      <c r="T65" s="62"/>
      <c r="U65" s="62"/>
      <c r="V65" s="62"/>
      <c r="W65" s="62"/>
      <c r="X65" s="62"/>
      <c r="Y65" s="62"/>
      <c r="Z65" s="62"/>
      <c r="AA65" s="62"/>
      <c r="AB65" s="62"/>
      <c r="AC65" s="62"/>
      <c r="AD65" s="62"/>
      <c r="AE65" s="62"/>
      <c r="AF65" s="62"/>
      <c r="AG65" s="33"/>
      <c r="AH65" s="33"/>
      <c r="AI65" s="33"/>
    </row>
    <row r="66" spans="1:35" ht="13.5" customHeight="1" x14ac:dyDescent="0.15">
      <c r="A66" s="53"/>
      <c r="B66" s="54">
        <v>45980</v>
      </c>
      <c r="C66" s="55" t="s">
        <v>344</v>
      </c>
      <c r="D66" s="55" t="str">
        <f>IFERROR(VLOOKUP($C66,烤漆色號編碼!$A:$C,2,FALSE),"-")</f>
        <v>-</v>
      </c>
      <c r="E66" s="55" t="str">
        <f>IFERROR(VLOOKUP($C66,當前庫存!$C:$I,5,FALSE),"-")</f>
        <v>-</v>
      </c>
      <c r="F66" s="56"/>
      <c r="G66" s="56"/>
      <c r="H66" s="55" t="str">
        <f>IFERROR(VLOOKUP($C66,烤漆色號編碼!$A:$D,4,FALSE)*每日用粉紀錄表!$F66+每日用粉紀錄表!$G66,"-")</f>
        <v>-</v>
      </c>
      <c r="I66" s="57"/>
      <c r="J66" s="58" t="s">
        <v>351</v>
      </c>
      <c r="K66" s="59"/>
      <c r="L66" s="60"/>
      <c r="M66" s="61"/>
      <c r="N66" s="55"/>
      <c r="O66" s="55"/>
      <c r="P66" s="62"/>
      <c r="Q66" s="62"/>
      <c r="R66" s="62"/>
      <c r="S66" s="62"/>
      <c r="T66" s="62"/>
      <c r="U66" s="62"/>
      <c r="V66" s="62"/>
      <c r="W66" s="62"/>
      <c r="X66" s="62"/>
      <c r="Y66" s="62"/>
      <c r="Z66" s="62"/>
      <c r="AA66" s="62"/>
      <c r="AB66" s="62"/>
      <c r="AC66" s="62"/>
      <c r="AD66" s="62"/>
      <c r="AE66" s="62"/>
      <c r="AF66" s="62"/>
      <c r="AG66" s="33"/>
      <c r="AH66" s="33"/>
      <c r="AI66" s="33"/>
    </row>
    <row r="67" spans="1:35" ht="13.5" customHeight="1" x14ac:dyDescent="0.15">
      <c r="A67" s="53"/>
      <c r="B67" s="54">
        <v>45980</v>
      </c>
      <c r="C67" s="55" t="s">
        <v>333</v>
      </c>
      <c r="D67" s="55" t="str">
        <f>IFERROR(VLOOKUP($C67,烤漆色號編碼!$A:$C,2,FALSE),"-")</f>
        <v>-</v>
      </c>
      <c r="E67" s="55" t="str">
        <f>IFERROR(VLOOKUP($C67,當前庫存!$C:$I,5,FALSE),"-")</f>
        <v>-</v>
      </c>
      <c r="F67" s="56">
        <v>1</v>
      </c>
      <c r="G67" s="56"/>
      <c r="H67" s="55">
        <f>IFERROR(VLOOKUP($C67,烤漆色號編碼!$A:$D,4,FALSE)*每日用粉紀錄表!$F67+每日用粉紀錄表!$G67,"-")</f>
        <v>25</v>
      </c>
      <c r="I67" s="57"/>
      <c r="J67" s="58">
        <f>IFERROR(每日用粉紀錄表!$H67-每日用粉紀錄表!$I67,"-")</f>
        <v>25</v>
      </c>
      <c r="K67" s="59"/>
      <c r="L67" s="60"/>
      <c r="M67" s="61"/>
      <c r="N67" s="55"/>
      <c r="O67" s="55"/>
      <c r="P67" s="62"/>
      <c r="Q67" s="62"/>
      <c r="R67" s="62"/>
      <c r="S67" s="62"/>
      <c r="T67" s="62"/>
      <c r="U67" s="62"/>
      <c r="V67" s="62"/>
      <c r="W67" s="62"/>
      <c r="X67" s="62"/>
      <c r="Y67" s="62"/>
      <c r="Z67" s="62"/>
      <c r="AA67" s="62"/>
      <c r="AB67" s="62"/>
      <c r="AC67" s="62"/>
      <c r="AD67" s="62"/>
      <c r="AE67" s="62"/>
      <c r="AF67" s="62"/>
      <c r="AG67" s="33"/>
      <c r="AH67" s="33"/>
      <c r="AI67" s="33"/>
    </row>
    <row r="68" spans="1:35" ht="13.5" customHeight="1" x14ac:dyDescent="0.15">
      <c r="A68" s="53"/>
      <c r="B68" s="54">
        <v>45981</v>
      </c>
      <c r="C68" s="55" t="s">
        <v>332</v>
      </c>
      <c r="D68" s="55" t="str">
        <f>IFERROR(VLOOKUP($C68,烤漆色號編碼!$A:$C,2,FALSE),"-")</f>
        <v>WE2</v>
      </c>
      <c r="E68" s="55">
        <f>IFERROR(VLOOKUP($C68,當前庫存!$C:$I,5,FALSE),"-")</f>
        <v>18</v>
      </c>
      <c r="F68" s="56"/>
      <c r="G68" s="56">
        <f>22+8</f>
        <v>30</v>
      </c>
      <c r="H68" s="55">
        <f>IFERROR(VLOOKUP($C68,烤漆色號編碼!$A:$D,4,FALSE)*每日用粉紀錄表!$F68+每日用粉紀錄表!$G68,"-")</f>
        <v>30</v>
      </c>
      <c r="I68" s="57">
        <f>4+6</f>
        <v>10</v>
      </c>
      <c r="J68" s="58">
        <f>IFERROR(每日用粉紀錄表!$H68-每日用粉紀錄表!$I68,"-")</f>
        <v>20</v>
      </c>
      <c r="K68" s="59"/>
      <c r="L68" s="60"/>
      <c r="M68" s="61"/>
      <c r="N68" s="55"/>
      <c r="O68" s="55"/>
      <c r="P68" s="62"/>
      <c r="Q68" s="62"/>
      <c r="R68" s="62"/>
      <c r="S68" s="62"/>
      <c r="T68" s="62"/>
      <c r="U68" s="62"/>
      <c r="V68" s="62"/>
      <c r="W68" s="62"/>
      <c r="X68" s="62"/>
      <c r="Y68" s="62"/>
      <c r="Z68" s="62"/>
      <c r="AA68" s="62"/>
      <c r="AB68" s="62"/>
      <c r="AC68" s="62"/>
      <c r="AD68" s="62"/>
      <c r="AE68" s="62"/>
      <c r="AF68" s="62"/>
      <c r="AG68" s="33"/>
      <c r="AH68" s="33"/>
      <c r="AI68" s="33"/>
    </row>
    <row r="69" spans="1:35" ht="13.5" customHeight="1" x14ac:dyDescent="0.15">
      <c r="A69" s="53"/>
      <c r="B69" s="54">
        <v>45981</v>
      </c>
      <c r="C69" s="55" t="s">
        <v>339</v>
      </c>
      <c r="D69" s="55" t="str">
        <f>IFERROR(VLOOKUP($C69,烤漆色號編碼!$A:$C,2,FALSE),"-")</f>
        <v>BKS1</v>
      </c>
      <c r="E69" s="55">
        <f>IFERROR(VLOOKUP($C69,當前庫存!$C:$I,5,FALSE),"-")</f>
        <v>24</v>
      </c>
      <c r="F69" s="56">
        <v>3</v>
      </c>
      <c r="G69" s="56">
        <f>13+5+6</f>
        <v>24</v>
      </c>
      <c r="H69" s="55">
        <f>IFERROR(VLOOKUP($C69,烤漆色號編碼!$A:$D,4,FALSE)*每日用粉紀錄表!$F69+每日用粉紀錄表!$G69,"-")</f>
        <v>99</v>
      </c>
      <c r="I69" s="57">
        <f>18+8</f>
        <v>26</v>
      </c>
      <c r="J69" s="58">
        <f>IFERROR(每日用粉紀錄表!$H69-每日用粉紀錄表!$I69,"-")</f>
        <v>73</v>
      </c>
      <c r="K69" s="59"/>
      <c r="L69" s="60"/>
      <c r="M69" s="61"/>
      <c r="N69" s="55"/>
      <c r="O69" s="55"/>
      <c r="P69" s="62"/>
      <c r="Q69" s="62"/>
      <c r="R69" s="62"/>
      <c r="S69" s="62"/>
      <c r="T69" s="62"/>
      <c r="U69" s="62"/>
      <c r="V69" s="62"/>
      <c r="W69" s="62"/>
      <c r="X69" s="62"/>
      <c r="Y69" s="62"/>
      <c r="Z69" s="62"/>
      <c r="AA69" s="62"/>
      <c r="AB69" s="62"/>
      <c r="AC69" s="62"/>
      <c r="AD69" s="62"/>
      <c r="AE69" s="62"/>
      <c r="AF69" s="62"/>
      <c r="AG69" s="33"/>
      <c r="AH69" s="33"/>
      <c r="AI69" s="33"/>
    </row>
    <row r="70" spans="1:35" ht="13.5" customHeight="1" x14ac:dyDescent="0.15">
      <c r="A70" s="53"/>
      <c r="B70" s="54">
        <v>45981</v>
      </c>
      <c r="C70" s="55" t="s">
        <v>333</v>
      </c>
      <c r="D70" s="55" t="str">
        <f>IFERROR(VLOOKUP($C70,烤漆色號編碼!$A:$C,2,FALSE),"-")</f>
        <v>-</v>
      </c>
      <c r="E70" s="55" t="str">
        <f>IFERROR(VLOOKUP($C70,當前庫存!$C:$I,5,FALSE),"-")</f>
        <v>-</v>
      </c>
      <c r="F70" s="56">
        <v>1</v>
      </c>
      <c r="G70" s="56"/>
      <c r="H70" s="55">
        <f>IFERROR(VLOOKUP($C70,烤漆色號編碼!$A:$D,4,FALSE)*每日用粉紀錄表!$F70+每日用粉紀錄表!$G70,"-")</f>
        <v>25</v>
      </c>
      <c r="I70" s="57"/>
      <c r="J70" s="58">
        <f>IFERROR(每日用粉紀錄表!$H70-每日用粉紀錄表!$I70,"-")</f>
        <v>25</v>
      </c>
      <c r="K70" s="59"/>
      <c r="L70" s="60"/>
      <c r="M70" s="61"/>
      <c r="N70" s="55"/>
      <c r="O70" s="55"/>
      <c r="P70" s="62"/>
      <c r="Q70" s="62"/>
      <c r="R70" s="62"/>
      <c r="S70" s="62"/>
      <c r="T70" s="62"/>
      <c r="U70" s="62"/>
      <c r="V70" s="62"/>
      <c r="W70" s="62"/>
      <c r="X70" s="62"/>
      <c r="Y70" s="62"/>
      <c r="Z70" s="62"/>
      <c r="AA70" s="62"/>
      <c r="AB70" s="62"/>
      <c r="AC70" s="62"/>
      <c r="AD70" s="62"/>
      <c r="AE70" s="62"/>
      <c r="AF70" s="62"/>
      <c r="AG70" s="33"/>
      <c r="AH70" s="33"/>
      <c r="AI70" s="33"/>
    </row>
    <row r="71" spans="1:35" ht="13.5" customHeight="1" x14ac:dyDescent="0.15">
      <c r="A71" s="53"/>
      <c r="B71" s="54">
        <v>45982</v>
      </c>
      <c r="C71" s="55" t="s">
        <v>339</v>
      </c>
      <c r="D71" s="55" t="str">
        <f>IFERROR(VLOOKUP($C71,烤漆色號編碼!$A:$C,2,FALSE),"-")</f>
        <v>BKS1</v>
      </c>
      <c r="E71" s="55">
        <f>IFERROR(VLOOKUP($C71,當前庫存!$C:$I,5,FALSE),"-")</f>
        <v>24</v>
      </c>
      <c r="F71" s="56">
        <v>1</v>
      </c>
      <c r="G71" s="56">
        <f>18+8</f>
        <v>26</v>
      </c>
      <c r="H71" s="55">
        <f>IFERROR(VLOOKUP($C71,烤漆色號編碼!$A:$D,4,FALSE)*每日用粉紀錄表!$F71+每日用粉紀錄表!$G71,"-")</f>
        <v>51</v>
      </c>
      <c r="I71" s="57">
        <v>10</v>
      </c>
      <c r="J71" s="58">
        <f>IFERROR(每日用粉紀錄表!$H71-每日用粉紀錄表!$I71,"-")</f>
        <v>41</v>
      </c>
      <c r="K71" s="59"/>
      <c r="L71" s="60"/>
      <c r="M71" s="61"/>
      <c r="N71" s="55"/>
      <c r="O71" s="55"/>
      <c r="P71" s="62"/>
      <c r="Q71" s="62"/>
      <c r="R71" s="62"/>
      <c r="S71" s="62"/>
      <c r="T71" s="62"/>
      <c r="U71" s="62"/>
      <c r="V71" s="62"/>
      <c r="W71" s="62"/>
      <c r="X71" s="62"/>
      <c r="Y71" s="62"/>
      <c r="Z71" s="62"/>
      <c r="AA71" s="62"/>
      <c r="AB71" s="62"/>
      <c r="AC71" s="62"/>
      <c r="AD71" s="62"/>
      <c r="AE71" s="62"/>
      <c r="AF71" s="62"/>
      <c r="AG71" s="33"/>
      <c r="AH71" s="33"/>
      <c r="AI71" s="33"/>
    </row>
    <row r="72" spans="1:35" ht="13.5" customHeight="1" x14ac:dyDescent="0.15">
      <c r="A72" s="53"/>
      <c r="B72" s="54">
        <v>45982</v>
      </c>
      <c r="C72" s="55" t="s">
        <v>333</v>
      </c>
      <c r="D72" s="55" t="str">
        <f>IFERROR(VLOOKUP($C72,烤漆色號編碼!$A:$C,2,FALSE),"-")</f>
        <v>-</v>
      </c>
      <c r="E72" s="55" t="str">
        <f>IFERROR(VLOOKUP($C72,當前庫存!$C:$I,5,FALSE),"-")</f>
        <v>-</v>
      </c>
      <c r="F72" s="56">
        <v>1</v>
      </c>
      <c r="G72" s="56"/>
      <c r="H72" s="55">
        <f>IFERROR(VLOOKUP($C72,烤漆色號編碼!$A:$D,4,FALSE)*每日用粉紀錄表!$F72+每日用粉紀錄表!$G72,"-")</f>
        <v>25</v>
      </c>
      <c r="I72" s="57"/>
      <c r="J72" s="58">
        <f>IFERROR(每日用粉紀錄表!$H72-每日用粉紀錄表!$I72,"-")</f>
        <v>25</v>
      </c>
      <c r="K72" s="59"/>
      <c r="L72" s="60"/>
      <c r="M72" s="61"/>
      <c r="N72" s="55"/>
      <c r="O72" s="55"/>
      <c r="P72" s="62"/>
      <c r="Q72" s="62"/>
      <c r="R72" s="62"/>
      <c r="S72" s="62"/>
      <c r="T72" s="62"/>
      <c r="U72" s="62"/>
      <c r="V72" s="62"/>
      <c r="W72" s="62"/>
      <c r="X72" s="62"/>
      <c r="Y72" s="62"/>
      <c r="Z72" s="62"/>
      <c r="AA72" s="62"/>
      <c r="AB72" s="62"/>
      <c r="AC72" s="62"/>
      <c r="AD72" s="62"/>
      <c r="AE72" s="62"/>
      <c r="AF72" s="62"/>
      <c r="AG72" s="33"/>
      <c r="AH72" s="33"/>
      <c r="AI72" s="33"/>
    </row>
    <row r="73" spans="1:35" ht="13.5" customHeight="1" x14ac:dyDescent="0.15">
      <c r="A73" s="53"/>
      <c r="B73" s="69"/>
      <c r="C73" s="64"/>
      <c r="D73" s="64" t="str">
        <f>IFERROR(VLOOKUP($C73,烤漆色號編碼!$A:$C,2,FALSE),"-")</f>
        <v>-</v>
      </c>
      <c r="E73" s="64" t="str">
        <f>IFERROR(VLOOKUP($C73,當前庫存!$C:$I,5,FALSE),"-")</f>
        <v>-</v>
      </c>
      <c r="F73" s="70"/>
      <c r="G73" s="70"/>
      <c r="H73" s="64" t="str">
        <f>IFERROR(VLOOKUP($C73,烤漆色號編碼!$A:$D,4,FALSE)*每日用粉紀錄表!$F73+每日用粉紀錄表!$G73,"-")</f>
        <v>-</v>
      </c>
      <c r="I73" s="71"/>
      <c r="J73" s="72" t="str">
        <f>IFERROR(每日用粉紀錄表!$H73-每日用粉紀錄表!$I73,"-")</f>
        <v>-</v>
      </c>
      <c r="K73" s="73"/>
      <c r="L73" s="74"/>
      <c r="M73" s="75"/>
      <c r="N73" s="64"/>
      <c r="O73" s="64"/>
      <c r="P73" s="35"/>
      <c r="Q73" s="35"/>
      <c r="R73" s="35"/>
      <c r="S73" s="35"/>
      <c r="T73" s="35"/>
      <c r="U73" s="35"/>
      <c r="V73" s="35"/>
      <c r="W73" s="35"/>
      <c r="X73" s="35"/>
      <c r="Y73" s="35"/>
      <c r="Z73" s="35"/>
      <c r="AA73" s="35"/>
      <c r="AB73" s="35"/>
      <c r="AC73" s="35"/>
      <c r="AD73" s="35"/>
      <c r="AE73" s="35"/>
      <c r="AF73" s="35"/>
      <c r="AG73" s="34"/>
      <c r="AH73" s="34"/>
      <c r="AI73" s="34"/>
    </row>
    <row r="74" spans="1:35" ht="13.5" customHeight="1" x14ac:dyDescent="0.15">
      <c r="A74" s="76"/>
      <c r="B74" s="77"/>
      <c r="C74" s="64"/>
      <c r="D74" s="64" t="str">
        <f>IFERROR(VLOOKUP($C74,烤漆色號編碼!$A:$C,2,FALSE),"-")</f>
        <v>-</v>
      </c>
      <c r="E74" s="64" t="str">
        <f>IFERROR(VLOOKUP($C74,當前庫存!$C:$I,5,FALSE),"-")</f>
        <v>-</v>
      </c>
      <c r="F74" s="70"/>
      <c r="G74" s="70"/>
      <c r="H74" s="64" t="str">
        <f>IFERROR(VLOOKUP($C74,烤漆色號編碼!$A:$D,4,FALSE)*每日用粉紀錄表!$F74+每日用粉紀錄表!$G74,"-")</f>
        <v>-</v>
      </c>
      <c r="I74" s="71"/>
      <c r="J74" s="72" t="str">
        <f>IFERROR(每日用粉紀錄表!$H74-每日用粉紀錄表!$I74,"-")</f>
        <v>-</v>
      </c>
      <c r="K74" s="73"/>
      <c r="L74" s="74"/>
      <c r="M74" s="75"/>
      <c r="N74" s="64"/>
      <c r="O74" s="64"/>
      <c r="P74" s="35"/>
      <c r="Q74" s="35"/>
      <c r="R74" s="35"/>
      <c r="S74" s="35"/>
      <c r="T74" s="35"/>
      <c r="U74" s="35"/>
      <c r="V74" s="35"/>
      <c r="W74" s="35"/>
      <c r="X74" s="35"/>
      <c r="Y74" s="35"/>
      <c r="Z74" s="35"/>
      <c r="AA74" s="35"/>
      <c r="AB74" s="35"/>
      <c r="AC74" s="35"/>
      <c r="AD74" s="35"/>
      <c r="AE74" s="35"/>
      <c r="AF74" s="35"/>
      <c r="AG74" s="34"/>
      <c r="AH74" s="34"/>
      <c r="AI74" s="34"/>
    </row>
    <row r="75" spans="1:35" ht="13.5" customHeight="1" x14ac:dyDescent="0.15">
      <c r="A75" s="78"/>
      <c r="B75" s="79"/>
      <c r="C75" s="55"/>
      <c r="D75" s="55" t="str">
        <f>IFERROR(VLOOKUP($C75,烤漆色號編碼!$A:$C,2,FALSE),"-")</f>
        <v>-</v>
      </c>
      <c r="E75" s="55" t="str">
        <f>IFERROR(VLOOKUP($C75,當前庫存!$C:$I,5,FALSE),"-")</f>
        <v>-</v>
      </c>
      <c r="F75" s="56"/>
      <c r="G75" s="56"/>
      <c r="H75" s="55" t="str">
        <f>IFERROR(VLOOKUP($C75,烤漆色號編碼!$A:$D,4,FALSE)*每日用粉紀錄表!$F75+每日用粉紀錄表!$G75,"-")</f>
        <v>-</v>
      </c>
      <c r="I75" s="57"/>
      <c r="J75" s="58" t="str">
        <f>IFERROR(每日用粉紀錄表!$H75-每日用粉紀錄表!$I75,"-")</f>
        <v>-</v>
      </c>
      <c r="K75" s="59"/>
      <c r="L75" s="60"/>
      <c r="M75" s="61"/>
      <c r="N75" s="55"/>
      <c r="O75" s="55"/>
      <c r="P75" s="62"/>
      <c r="Q75" s="62"/>
      <c r="R75" s="62"/>
      <c r="S75" s="62"/>
      <c r="T75" s="62"/>
      <c r="U75" s="62"/>
      <c r="V75" s="62"/>
      <c r="W75" s="62"/>
      <c r="X75" s="62"/>
      <c r="Y75" s="62"/>
      <c r="Z75" s="62"/>
      <c r="AA75" s="62"/>
      <c r="AB75" s="62"/>
      <c r="AC75" s="62"/>
      <c r="AD75" s="62"/>
      <c r="AE75" s="62"/>
      <c r="AF75" s="62"/>
      <c r="AG75" s="33"/>
      <c r="AH75" s="33"/>
      <c r="AI75" s="33"/>
    </row>
    <row r="76" spans="1:35" ht="13.5" customHeight="1" x14ac:dyDescent="0.15">
      <c r="A76" s="53"/>
      <c r="B76" s="80"/>
      <c r="C76" s="68"/>
      <c r="D76" s="68" t="str">
        <f>IFERROR(VLOOKUP($C76,烤漆色號編碼!$A:$C,2,FALSE),"-")</f>
        <v>-</v>
      </c>
      <c r="E76" s="68" t="str">
        <f>IFERROR(VLOOKUP($C76,當前庫存!$C:$I,5,FALSE),"-")</f>
        <v>-</v>
      </c>
      <c r="F76" s="81"/>
      <c r="G76" s="81"/>
      <c r="H76" s="68" t="str">
        <f>IFERROR(VLOOKUP($C76,烤漆色號編碼!$A:$D,4,FALSE)*每日用粉紀錄表!$F76+每日用粉紀錄表!$G76,"-")</f>
        <v>-</v>
      </c>
      <c r="I76" s="82"/>
      <c r="J76" s="83" t="str">
        <f>IFERROR(每日用粉紀錄表!$H76-每日用粉紀錄表!$I76,"-")</f>
        <v>-</v>
      </c>
      <c r="K76" s="84"/>
      <c r="L76" s="85"/>
      <c r="M76" s="86"/>
      <c r="N76" s="68"/>
      <c r="O76" s="68"/>
      <c r="P76" s="87"/>
      <c r="Q76" s="87"/>
      <c r="R76" s="87"/>
      <c r="S76" s="87"/>
      <c r="T76" s="87"/>
      <c r="U76" s="87"/>
      <c r="V76" s="87"/>
      <c r="W76" s="87"/>
      <c r="X76" s="87"/>
      <c r="Y76" s="87"/>
      <c r="Z76" s="87"/>
      <c r="AA76" s="87"/>
      <c r="AB76" s="87"/>
      <c r="AC76" s="87"/>
      <c r="AD76" s="87"/>
      <c r="AE76" s="87"/>
      <c r="AF76" s="87"/>
      <c r="AG76" s="88"/>
      <c r="AH76" s="88"/>
      <c r="AI76" s="88"/>
    </row>
    <row r="77" spans="1:35" ht="13.5" customHeight="1" x14ac:dyDescent="0.15">
      <c r="A77" s="53"/>
      <c r="B77" s="54"/>
      <c r="C77" s="55"/>
      <c r="D77" s="55" t="str">
        <f>IFERROR(VLOOKUP($C77,烤漆色號編碼!$A:$C,2,FALSE),"-")</f>
        <v>-</v>
      </c>
      <c r="E77" s="55" t="str">
        <f>IFERROR(VLOOKUP($C77,當前庫存!$C:$I,5,FALSE),"-")</f>
        <v>-</v>
      </c>
      <c r="F77" s="56"/>
      <c r="G77" s="56"/>
      <c r="H77" s="55" t="str">
        <f>IFERROR(VLOOKUP($C77,烤漆色號編碼!$A:$D,4,FALSE)*每日用粉紀錄表!$F77+每日用粉紀錄表!$G77,"-")</f>
        <v>-</v>
      </c>
      <c r="I77" s="57"/>
      <c r="J77" s="58" t="str">
        <f>IFERROR(每日用粉紀錄表!$H77-每日用粉紀錄表!$I77,"-")</f>
        <v>-</v>
      </c>
      <c r="K77" s="59"/>
      <c r="L77" s="60"/>
      <c r="M77" s="61"/>
      <c r="N77" s="55"/>
      <c r="O77" s="55"/>
      <c r="P77" s="62"/>
      <c r="Q77" s="62"/>
      <c r="R77" s="62"/>
      <c r="S77" s="62"/>
      <c r="T77" s="62"/>
      <c r="U77" s="62"/>
      <c r="V77" s="62"/>
      <c r="W77" s="62"/>
      <c r="X77" s="62"/>
      <c r="Y77" s="62"/>
      <c r="Z77" s="62"/>
      <c r="AA77" s="62"/>
      <c r="AB77" s="62"/>
      <c r="AC77" s="62"/>
      <c r="AD77" s="62"/>
      <c r="AE77" s="62"/>
      <c r="AF77" s="62"/>
      <c r="AG77" s="33"/>
      <c r="AH77" s="33"/>
      <c r="AI77" s="33"/>
    </row>
    <row r="78" spans="1:35" ht="13.5" customHeight="1" x14ac:dyDescent="0.15">
      <c r="A78" s="53"/>
      <c r="B78" s="54"/>
      <c r="C78" s="55"/>
      <c r="D78" s="55" t="str">
        <f>IFERROR(VLOOKUP($C78,烤漆色號編碼!$A:$C,2,FALSE),"-")</f>
        <v>-</v>
      </c>
      <c r="E78" s="55" t="str">
        <f>IFERROR(VLOOKUP($C78,當前庫存!$C:$I,5,FALSE),"-")</f>
        <v>-</v>
      </c>
      <c r="F78" s="56"/>
      <c r="G78" s="56"/>
      <c r="H78" s="55" t="str">
        <f>IFERROR(VLOOKUP($C78,烤漆色號編碼!$A:$D,4,FALSE)*每日用粉紀錄表!$F78+每日用粉紀錄表!$G78,"-")</f>
        <v>-</v>
      </c>
      <c r="I78" s="57"/>
      <c r="J78" s="58" t="str">
        <f>IFERROR(每日用粉紀錄表!$H78-每日用粉紀錄表!$I78,"-")</f>
        <v>-</v>
      </c>
      <c r="K78" s="59"/>
      <c r="L78" s="60"/>
      <c r="M78" s="61"/>
      <c r="N78" s="55"/>
      <c r="O78" s="55"/>
      <c r="P78" s="62"/>
      <c r="Q78" s="62"/>
      <c r="R78" s="62"/>
      <c r="S78" s="62"/>
      <c r="T78" s="62"/>
      <c r="U78" s="62"/>
      <c r="V78" s="62"/>
      <c r="W78" s="62"/>
      <c r="X78" s="62"/>
      <c r="Y78" s="62"/>
      <c r="Z78" s="62"/>
      <c r="AA78" s="62"/>
      <c r="AB78" s="62"/>
      <c r="AC78" s="62"/>
      <c r="AD78" s="62"/>
      <c r="AE78" s="62"/>
      <c r="AF78" s="62"/>
      <c r="AG78" s="33"/>
      <c r="AH78" s="33"/>
      <c r="AI78" s="33"/>
    </row>
    <row r="79" spans="1:35" ht="13.5" customHeight="1" x14ac:dyDescent="0.15">
      <c r="A79" s="53"/>
      <c r="B79" s="54"/>
      <c r="C79" s="55"/>
      <c r="D79" s="55" t="str">
        <f>IFERROR(VLOOKUP($C79,烤漆色號編碼!$A:$C,2,FALSE),"-")</f>
        <v>-</v>
      </c>
      <c r="E79" s="55" t="str">
        <f>IFERROR(VLOOKUP($C79,當前庫存!$C:$I,5,FALSE),"-")</f>
        <v>-</v>
      </c>
      <c r="F79" s="56"/>
      <c r="G79" s="56"/>
      <c r="H79" s="55" t="str">
        <f>IFERROR(VLOOKUP($C79,烤漆色號編碼!$A:$D,4,FALSE)*每日用粉紀錄表!$F79+每日用粉紀錄表!$G79,"-")</f>
        <v>-</v>
      </c>
      <c r="I79" s="57"/>
      <c r="J79" s="58" t="str">
        <f>IFERROR(每日用粉紀錄表!$H79-每日用粉紀錄表!$I79,"-")</f>
        <v>-</v>
      </c>
      <c r="K79" s="59"/>
      <c r="L79" s="60"/>
      <c r="M79" s="61"/>
      <c r="N79" s="55"/>
      <c r="O79" s="55"/>
      <c r="P79" s="62"/>
      <c r="Q79" s="62"/>
      <c r="R79" s="62"/>
      <c r="S79" s="62"/>
      <c r="T79" s="62"/>
      <c r="U79" s="62"/>
      <c r="V79" s="62"/>
      <c r="W79" s="62"/>
      <c r="X79" s="62"/>
      <c r="Y79" s="62"/>
      <c r="Z79" s="62"/>
      <c r="AA79" s="62"/>
      <c r="AB79" s="62"/>
      <c r="AC79" s="62"/>
      <c r="AD79" s="62"/>
      <c r="AE79" s="62"/>
      <c r="AF79" s="62"/>
      <c r="AG79" s="33"/>
      <c r="AH79" s="33"/>
      <c r="AI79" s="33"/>
    </row>
    <row r="80" spans="1:35" ht="13.5" customHeight="1" x14ac:dyDescent="0.15">
      <c r="A80" s="53"/>
      <c r="B80" s="54"/>
      <c r="C80" s="55"/>
      <c r="D80" s="55" t="str">
        <f>IFERROR(VLOOKUP($C80,烤漆色號編碼!$A:$C,2,FALSE),"-")</f>
        <v>-</v>
      </c>
      <c r="E80" s="55" t="str">
        <f>IFERROR(VLOOKUP($C80,當前庫存!$C:$I,5,FALSE),"-")</f>
        <v>-</v>
      </c>
      <c r="F80" s="56"/>
      <c r="G80" s="56"/>
      <c r="H80" s="55" t="str">
        <f>IFERROR(VLOOKUP($C80,烤漆色號編碼!$A:$D,4,FALSE)*每日用粉紀錄表!$F80+每日用粉紀錄表!$G80,"-")</f>
        <v>-</v>
      </c>
      <c r="I80" s="57"/>
      <c r="J80" s="58" t="str">
        <f>IFERROR(每日用粉紀錄表!$H80-每日用粉紀錄表!$I80,"-")</f>
        <v>-</v>
      </c>
      <c r="K80" s="59"/>
      <c r="L80" s="60"/>
      <c r="M80" s="61"/>
      <c r="N80" s="55"/>
      <c r="O80" s="55"/>
      <c r="P80" s="62"/>
      <c r="Q80" s="62"/>
      <c r="R80" s="62"/>
      <c r="S80" s="62"/>
      <c r="T80" s="62"/>
      <c r="U80" s="62"/>
      <c r="V80" s="62"/>
      <c r="W80" s="62"/>
      <c r="X80" s="62"/>
      <c r="Y80" s="62"/>
      <c r="Z80" s="62"/>
      <c r="AA80" s="62"/>
      <c r="AB80" s="62"/>
      <c r="AC80" s="62"/>
      <c r="AD80" s="62"/>
      <c r="AE80" s="62"/>
      <c r="AF80" s="62"/>
      <c r="AG80" s="33"/>
      <c r="AH80" s="33"/>
      <c r="AI80" s="33"/>
    </row>
    <row r="81" spans="1:35" ht="13.5" customHeight="1" x14ac:dyDescent="0.15">
      <c r="A81" s="53"/>
      <c r="B81" s="54"/>
      <c r="C81" s="55"/>
      <c r="D81" s="55" t="str">
        <f>IFERROR(VLOOKUP($C81,烤漆色號編碼!$A:$C,2,FALSE),"-")</f>
        <v>-</v>
      </c>
      <c r="E81" s="55" t="str">
        <f>IFERROR(VLOOKUP($C81,當前庫存!$C:$I,5,FALSE),"-")</f>
        <v>-</v>
      </c>
      <c r="F81" s="56"/>
      <c r="G81" s="56"/>
      <c r="H81" s="55" t="str">
        <f>IFERROR(VLOOKUP($C81,烤漆色號編碼!$A:$D,4,FALSE)*每日用粉紀錄表!$F81+每日用粉紀錄表!$G81,"-")</f>
        <v>-</v>
      </c>
      <c r="I81" s="57"/>
      <c r="J81" s="58" t="str">
        <f>IFERROR(每日用粉紀錄表!$H81-每日用粉紀錄表!$I81,"-")</f>
        <v>-</v>
      </c>
      <c r="K81" s="59"/>
      <c r="L81" s="60"/>
      <c r="M81" s="61"/>
      <c r="N81" s="55"/>
      <c r="O81" s="55"/>
      <c r="P81" s="62"/>
      <c r="Q81" s="62"/>
      <c r="R81" s="62"/>
      <c r="S81" s="62"/>
      <c r="T81" s="62"/>
      <c r="U81" s="62"/>
      <c r="V81" s="62"/>
      <c r="W81" s="62"/>
      <c r="X81" s="62"/>
      <c r="Y81" s="62"/>
      <c r="Z81" s="62"/>
      <c r="AA81" s="62"/>
      <c r="AB81" s="62"/>
      <c r="AC81" s="62"/>
      <c r="AD81" s="62"/>
      <c r="AE81" s="62"/>
      <c r="AF81" s="62"/>
      <c r="AG81" s="33"/>
      <c r="AH81" s="33"/>
      <c r="AI81" s="33"/>
    </row>
    <row r="82" spans="1:35" ht="13.5" customHeight="1" x14ac:dyDescent="0.15">
      <c r="A82" s="53"/>
      <c r="B82" s="54"/>
      <c r="C82" s="55"/>
      <c r="D82" s="55" t="str">
        <f>IFERROR(VLOOKUP($C82,烤漆色號編碼!$A:$C,2,FALSE),"-")</f>
        <v>-</v>
      </c>
      <c r="E82" s="55" t="str">
        <f>IFERROR(VLOOKUP($C82,當前庫存!$C:$I,5,FALSE),"-")</f>
        <v>-</v>
      </c>
      <c r="F82" s="56"/>
      <c r="G82" s="56"/>
      <c r="H82" s="55" t="str">
        <f>IFERROR(VLOOKUP($C82,烤漆色號編碼!$A:$D,4,FALSE)*每日用粉紀錄表!$F82+每日用粉紀錄表!$G82,"-")</f>
        <v>-</v>
      </c>
      <c r="I82" s="57"/>
      <c r="J82" s="58" t="str">
        <f>IFERROR(每日用粉紀錄表!$H82-每日用粉紀錄表!$I82,"-")</f>
        <v>-</v>
      </c>
      <c r="K82" s="59"/>
      <c r="L82" s="60"/>
      <c r="M82" s="61"/>
      <c r="N82" s="55"/>
      <c r="O82" s="55"/>
      <c r="P82" s="62"/>
      <c r="Q82" s="62"/>
      <c r="R82" s="62"/>
      <c r="S82" s="62"/>
      <c r="T82" s="62"/>
      <c r="U82" s="62"/>
      <c r="V82" s="62"/>
      <c r="W82" s="62"/>
      <c r="X82" s="62"/>
      <c r="Y82" s="62"/>
      <c r="Z82" s="62"/>
      <c r="AA82" s="62"/>
      <c r="AB82" s="62"/>
      <c r="AC82" s="62"/>
      <c r="AD82" s="62"/>
      <c r="AE82" s="62"/>
      <c r="AF82" s="62"/>
      <c r="AG82" s="33"/>
      <c r="AH82" s="33"/>
      <c r="AI82" s="33"/>
    </row>
    <row r="83" spans="1:35" ht="13.5" customHeight="1" x14ac:dyDescent="0.15">
      <c r="A83" s="53"/>
      <c r="B83" s="54"/>
      <c r="C83" s="55"/>
      <c r="D83" s="55" t="str">
        <f>IFERROR(VLOOKUP($C83,烤漆色號編碼!$A:$C,2,FALSE),"-")</f>
        <v>-</v>
      </c>
      <c r="E83" s="55" t="str">
        <f>IFERROR(VLOOKUP($C83,當前庫存!$C:$I,5,FALSE),"-")</f>
        <v>-</v>
      </c>
      <c r="F83" s="56"/>
      <c r="G83" s="56"/>
      <c r="H83" s="55" t="str">
        <f>IFERROR(VLOOKUP($C83,烤漆色號編碼!$A:$D,4,FALSE)*每日用粉紀錄表!$F83+每日用粉紀錄表!$G83,"-")</f>
        <v>-</v>
      </c>
      <c r="I83" s="57"/>
      <c r="J83" s="58" t="str">
        <f>IFERROR(每日用粉紀錄表!$H83-每日用粉紀錄表!$I83,"-")</f>
        <v>-</v>
      </c>
      <c r="K83" s="59"/>
      <c r="L83" s="60"/>
      <c r="M83" s="61"/>
      <c r="N83" s="55"/>
      <c r="O83" s="55"/>
      <c r="P83" s="62"/>
      <c r="Q83" s="62"/>
      <c r="R83" s="62"/>
      <c r="S83" s="62"/>
      <c r="T83" s="62"/>
      <c r="U83" s="62"/>
      <c r="V83" s="62"/>
      <c r="W83" s="62"/>
      <c r="X83" s="62"/>
      <c r="Y83" s="62"/>
      <c r="Z83" s="62"/>
      <c r="AA83" s="62"/>
      <c r="AB83" s="62"/>
      <c r="AC83" s="62"/>
      <c r="AD83" s="62"/>
      <c r="AE83" s="62"/>
      <c r="AF83" s="62"/>
      <c r="AG83" s="33"/>
      <c r="AH83" s="33"/>
      <c r="AI83" s="33"/>
    </row>
    <row r="84" spans="1:35" ht="13.5" customHeight="1" x14ac:dyDescent="0.15">
      <c r="A84" s="53"/>
      <c r="B84" s="54"/>
      <c r="C84" s="55"/>
      <c r="D84" s="55" t="str">
        <f>IFERROR(VLOOKUP($C84,烤漆色號編碼!$A:$C,2,FALSE),"-")</f>
        <v>-</v>
      </c>
      <c r="E84" s="55" t="str">
        <f>IFERROR(VLOOKUP($C84,當前庫存!$C:$I,5,FALSE),"-")</f>
        <v>-</v>
      </c>
      <c r="F84" s="56"/>
      <c r="G84" s="56"/>
      <c r="H84" s="55" t="str">
        <f>IFERROR(VLOOKUP($C84,烤漆色號編碼!$A:$D,4,FALSE)*每日用粉紀錄表!$F84+每日用粉紀錄表!$G84,"-")</f>
        <v>-</v>
      </c>
      <c r="I84" s="57"/>
      <c r="J84" s="58" t="str">
        <f>IFERROR(每日用粉紀錄表!$H84-每日用粉紀錄表!$I84,"-")</f>
        <v>-</v>
      </c>
      <c r="K84" s="59"/>
      <c r="L84" s="60"/>
      <c r="M84" s="61"/>
      <c r="N84" s="55"/>
      <c r="O84" s="55"/>
      <c r="P84" s="62"/>
      <c r="Q84" s="62"/>
      <c r="R84" s="62"/>
      <c r="S84" s="62"/>
      <c r="T84" s="62"/>
      <c r="U84" s="62"/>
      <c r="V84" s="62"/>
      <c r="W84" s="62"/>
      <c r="X84" s="62"/>
      <c r="Y84" s="62"/>
      <c r="Z84" s="62"/>
      <c r="AA84" s="62"/>
      <c r="AB84" s="62"/>
      <c r="AC84" s="62"/>
      <c r="AD84" s="62"/>
      <c r="AE84" s="62"/>
      <c r="AF84" s="62"/>
      <c r="AG84" s="33"/>
      <c r="AH84" s="33"/>
      <c r="AI84" s="33"/>
    </row>
    <row r="85" spans="1:35" ht="13.5" customHeight="1" x14ac:dyDescent="0.15">
      <c r="A85" s="53"/>
      <c r="B85" s="54"/>
      <c r="C85" s="55"/>
      <c r="D85" s="55" t="str">
        <f>IFERROR(VLOOKUP($C85,烤漆色號編碼!$A:$C,2,FALSE),"-")</f>
        <v>-</v>
      </c>
      <c r="E85" s="55" t="str">
        <f>IFERROR(VLOOKUP($C85,當前庫存!$C:$I,5,FALSE),"-")</f>
        <v>-</v>
      </c>
      <c r="F85" s="56"/>
      <c r="G85" s="56"/>
      <c r="H85" s="55" t="str">
        <f>IFERROR(VLOOKUP($C85,烤漆色號編碼!$A:$D,4,FALSE)*每日用粉紀錄表!$F85+每日用粉紀錄表!$G85,"-")</f>
        <v>-</v>
      </c>
      <c r="I85" s="57"/>
      <c r="J85" s="58" t="str">
        <f>IFERROR(每日用粉紀錄表!$H85-每日用粉紀錄表!$I85,"-")</f>
        <v>-</v>
      </c>
      <c r="K85" s="59"/>
      <c r="L85" s="60"/>
      <c r="M85" s="61"/>
      <c r="N85" s="55"/>
      <c r="O85" s="55"/>
      <c r="P85" s="62"/>
      <c r="Q85" s="62"/>
      <c r="R85" s="62"/>
      <c r="S85" s="62"/>
      <c r="T85" s="62"/>
      <c r="U85" s="62"/>
      <c r="V85" s="62"/>
      <c r="W85" s="62"/>
      <c r="X85" s="62"/>
      <c r="Y85" s="62"/>
      <c r="Z85" s="62"/>
      <c r="AA85" s="62"/>
      <c r="AB85" s="62"/>
      <c r="AC85" s="62"/>
      <c r="AD85" s="62"/>
      <c r="AE85" s="62"/>
      <c r="AF85" s="62"/>
      <c r="AG85" s="33"/>
      <c r="AH85" s="33"/>
      <c r="AI85" s="33"/>
    </row>
    <row r="86" spans="1:35" ht="13.5" customHeight="1" x14ac:dyDescent="0.15">
      <c r="A86" s="53"/>
      <c r="B86" s="54"/>
      <c r="C86" s="55"/>
      <c r="D86" s="55" t="str">
        <f>IFERROR(VLOOKUP($C86,烤漆色號編碼!$A:$C,2,FALSE),"-")</f>
        <v>-</v>
      </c>
      <c r="E86" s="55" t="str">
        <f>IFERROR(VLOOKUP($C86,當前庫存!$C:$I,5,FALSE),"-")</f>
        <v>-</v>
      </c>
      <c r="F86" s="56"/>
      <c r="G86" s="56"/>
      <c r="H86" s="55" t="str">
        <f>IFERROR(VLOOKUP($C86,烤漆色號編碼!$A:$D,4,FALSE)*每日用粉紀錄表!$F86+每日用粉紀錄表!$G86,"-")</f>
        <v>-</v>
      </c>
      <c r="I86" s="57"/>
      <c r="J86" s="58" t="str">
        <f>IFERROR(每日用粉紀錄表!$H86-每日用粉紀錄表!$I86,"-")</f>
        <v>-</v>
      </c>
      <c r="K86" s="59"/>
      <c r="L86" s="60"/>
      <c r="M86" s="61"/>
      <c r="N86" s="55"/>
      <c r="O86" s="55"/>
      <c r="P86" s="62"/>
      <c r="Q86" s="62"/>
      <c r="R86" s="62"/>
      <c r="S86" s="62"/>
      <c r="T86" s="62"/>
      <c r="U86" s="62"/>
      <c r="V86" s="62"/>
      <c r="W86" s="62"/>
      <c r="X86" s="62"/>
      <c r="Y86" s="62"/>
      <c r="Z86" s="62"/>
      <c r="AA86" s="62"/>
      <c r="AB86" s="62"/>
      <c r="AC86" s="62"/>
      <c r="AD86" s="62"/>
      <c r="AE86" s="62"/>
      <c r="AF86" s="62"/>
      <c r="AG86" s="33"/>
      <c r="AH86" s="33"/>
      <c r="AI86" s="33"/>
    </row>
    <row r="87" spans="1:35" ht="13.5" customHeight="1" x14ac:dyDescent="0.15">
      <c r="A87" s="53"/>
      <c r="B87" s="54"/>
      <c r="C87" s="55"/>
      <c r="D87" s="55" t="str">
        <f>IFERROR(VLOOKUP($C87,烤漆色號編碼!$A:$C,2,FALSE),"-")</f>
        <v>-</v>
      </c>
      <c r="E87" s="55" t="str">
        <f>IFERROR(VLOOKUP($C87,當前庫存!$C:$I,5,FALSE),"-")</f>
        <v>-</v>
      </c>
      <c r="F87" s="56"/>
      <c r="G87" s="56"/>
      <c r="H87" s="55" t="str">
        <f>IFERROR(VLOOKUP($C87,烤漆色號編碼!$A:$D,4,FALSE)*每日用粉紀錄表!$F87+每日用粉紀錄表!$G87,"-")</f>
        <v>-</v>
      </c>
      <c r="I87" s="57"/>
      <c r="J87" s="58" t="str">
        <f>IFERROR(每日用粉紀錄表!$H87-每日用粉紀錄表!$I87,"-")</f>
        <v>-</v>
      </c>
      <c r="K87" s="59"/>
      <c r="L87" s="60"/>
      <c r="M87" s="61"/>
      <c r="N87" s="55"/>
      <c r="O87" s="55"/>
      <c r="P87" s="62"/>
      <c r="Q87" s="62"/>
      <c r="R87" s="62"/>
      <c r="S87" s="62"/>
      <c r="T87" s="62"/>
      <c r="U87" s="62"/>
      <c r="V87" s="62"/>
      <c r="W87" s="62"/>
      <c r="X87" s="62"/>
      <c r="Y87" s="62"/>
      <c r="Z87" s="62"/>
      <c r="AA87" s="62"/>
      <c r="AB87" s="62"/>
      <c r="AC87" s="62"/>
      <c r="AD87" s="62"/>
      <c r="AE87" s="62"/>
      <c r="AF87" s="62"/>
      <c r="AG87" s="33"/>
      <c r="AH87" s="33"/>
      <c r="AI87" s="33"/>
    </row>
    <row r="88" spans="1:35" ht="13.5" customHeight="1" x14ac:dyDescent="0.15">
      <c r="A88" s="53"/>
      <c r="B88" s="54"/>
      <c r="C88" s="55"/>
      <c r="D88" s="55" t="str">
        <f>IFERROR(VLOOKUP($C88,烤漆色號編碼!$A:$C,2,FALSE),"-")</f>
        <v>-</v>
      </c>
      <c r="E88" s="55" t="str">
        <f>IFERROR(VLOOKUP($C88,當前庫存!$C:$I,5,FALSE),"-")</f>
        <v>-</v>
      </c>
      <c r="F88" s="56"/>
      <c r="G88" s="56"/>
      <c r="H88" s="55" t="str">
        <f>IFERROR(VLOOKUP($C88,烤漆色號編碼!$A:$D,4,FALSE)*每日用粉紀錄表!$F88+每日用粉紀錄表!$G88,"-")</f>
        <v>-</v>
      </c>
      <c r="I88" s="57"/>
      <c r="J88" s="58" t="str">
        <f>IFERROR(每日用粉紀錄表!$H88-每日用粉紀錄表!$I88,"-")</f>
        <v>-</v>
      </c>
      <c r="K88" s="59"/>
      <c r="L88" s="60"/>
      <c r="M88" s="61"/>
      <c r="N88" s="55"/>
      <c r="O88" s="55"/>
      <c r="P88" s="62"/>
      <c r="Q88" s="62"/>
      <c r="R88" s="62"/>
      <c r="S88" s="62"/>
      <c r="T88" s="62"/>
      <c r="U88" s="62"/>
      <c r="V88" s="62"/>
      <c r="W88" s="62"/>
      <c r="X88" s="62"/>
      <c r="Y88" s="62"/>
      <c r="Z88" s="62"/>
      <c r="AA88" s="62"/>
      <c r="AB88" s="62"/>
      <c r="AC88" s="62"/>
      <c r="AD88" s="62"/>
      <c r="AE88" s="62"/>
      <c r="AF88" s="62"/>
      <c r="AG88" s="33"/>
      <c r="AH88" s="33"/>
      <c r="AI88" s="33"/>
    </row>
    <row r="89" spans="1:35" ht="13.5" customHeight="1" x14ac:dyDescent="0.15">
      <c r="A89" s="53"/>
      <c r="B89" s="54"/>
      <c r="C89" s="55"/>
      <c r="D89" s="55" t="str">
        <f>IFERROR(VLOOKUP($C89,烤漆色號編碼!$A:$C,2,FALSE),"-")</f>
        <v>-</v>
      </c>
      <c r="E89" s="55" t="str">
        <f>IFERROR(VLOOKUP($C89,當前庫存!$C:$I,5,FALSE),"-")</f>
        <v>-</v>
      </c>
      <c r="F89" s="56"/>
      <c r="G89" s="56"/>
      <c r="H89" s="55" t="str">
        <f>IFERROR(VLOOKUP($C89,烤漆色號編碼!$A:$D,4,FALSE)*每日用粉紀錄表!$F89+每日用粉紀錄表!$G89,"-")</f>
        <v>-</v>
      </c>
      <c r="I89" s="57"/>
      <c r="J89" s="58" t="str">
        <f>IFERROR(每日用粉紀錄表!$H89-每日用粉紀錄表!$I89,"-")</f>
        <v>-</v>
      </c>
      <c r="K89" s="59"/>
      <c r="L89" s="60"/>
      <c r="M89" s="61"/>
      <c r="N89" s="55"/>
      <c r="O89" s="55"/>
      <c r="P89" s="62"/>
      <c r="Q89" s="62"/>
      <c r="R89" s="62"/>
      <c r="S89" s="62"/>
      <c r="T89" s="62"/>
      <c r="U89" s="62"/>
      <c r="V89" s="62"/>
      <c r="W89" s="62"/>
      <c r="X89" s="62"/>
      <c r="Y89" s="62"/>
      <c r="Z89" s="62"/>
      <c r="AA89" s="62"/>
      <c r="AB89" s="62"/>
      <c r="AC89" s="62"/>
      <c r="AD89" s="62"/>
      <c r="AE89" s="62"/>
      <c r="AF89" s="62"/>
      <c r="AG89" s="33"/>
      <c r="AH89" s="33"/>
      <c r="AI89" s="33"/>
    </row>
    <row r="90" spans="1:35" ht="13.5" customHeight="1" x14ac:dyDescent="0.15">
      <c r="A90" s="53"/>
      <c r="B90" s="54"/>
      <c r="C90" s="55"/>
      <c r="D90" s="55" t="str">
        <f>IFERROR(VLOOKUP($C90,烤漆色號編碼!$A:$C,2,FALSE),"-")</f>
        <v>-</v>
      </c>
      <c r="E90" s="55" t="str">
        <f>IFERROR(VLOOKUP($C90,當前庫存!$C:$I,5,FALSE),"-")</f>
        <v>-</v>
      </c>
      <c r="F90" s="56"/>
      <c r="G90" s="56"/>
      <c r="H90" s="55" t="str">
        <f>IFERROR(VLOOKUP($C90,烤漆色號編碼!$A:$D,4,FALSE)*每日用粉紀錄表!$F90+每日用粉紀錄表!$G90,"-")</f>
        <v>-</v>
      </c>
      <c r="I90" s="57"/>
      <c r="J90" s="58" t="str">
        <f>IFERROR(每日用粉紀錄表!$H90-每日用粉紀錄表!$I90,"-")</f>
        <v>-</v>
      </c>
      <c r="K90" s="58"/>
      <c r="L90" s="58"/>
      <c r="M90" s="61"/>
      <c r="N90" s="55"/>
      <c r="O90" s="55"/>
      <c r="P90" s="62"/>
      <c r="Q90" s="62"/>
      <c r="R90" s="62"/>
      <c r="S90" s="62"/>
      <c r="T90" s="62"/>
      <c r="U90" s="62"/>
      <c r="V90" s="62"/>
      <c r="W90" s="62"/>
      <c r="X90" s="62"/>
      <c r="Y90" s="62"/>
      <c r="Z90" s="62"/>
      <c r="AA90" s="62"/>
      <c r="AB90" s="62"/>
      <c r="AC90" s="62"/>
      <c r="AD90" s="62"/>
      <c r="AE90" s="62"/>
      <c r="AF90" s="62"/>
      <c r="AG90" s="33"/>
      <c r="AH90" s="33"/>
      <c r="AI90" s="33"/>
    </row>
    <row r="91" spans="1:35" ht="13.5" customHeight="1" x14ac:dyDescent="0.15">
      <c r="A91" s="53"/>
      <c r="B91" s="54"/>
      <c r="C91" s="55"/>
      <c r="D91" s="55" t="str">
        <f>IFERROR(VLOOKUP($C91,烤漆色號編碼!$A:$C,2,FALSE),"-")</f>
        <v>-</v>
      </c>
      <c r="E91" s="55" t="str">
        <f>IFERROR(VLOOKUP($C91,當前庫存!$C:$I,5,FALSE),"-")</f>
        <v>-</v>
      </c>
      <c r="F91" s="56"/>
      <c r="G91" s="56"/>
      <c r="H91" s="55" t="str">
        <f>IFERROR(VLOOKUP($C91,烤漆色號編碼!$A:$D,4,FALSE)*每日用粉紀錄表!$F91+每日用粉紀錄表!$G91,"-")</f>
        <v>-</v>
      </c>
      <c r="I91" s="57"/>
      <c r="J91" s="58" t="str">
        <f>IFERROR(每日用粉紀錄表!$H91-每日用粉紀錄表!$I91,"-")</f>
        <v>-</v>
      </c>
      <c r="K91" s="58"/>
      <c r="L91" s="58"/>
      <c r="M91" s="61"/>
      <c r="N91" s="55"/>
      <c r="O91" s="55"/>
      <c r="P91" s="62"/>
      <c r="Q91" s="62"/>
      <c r="R91" s="62"/>
      <c r="S91" s="62"/>
      <c r="T91" s="62"/>
      <c r="U91" s="62"/>
      <c r="V91" s="62"/>
      <c r="W91" s="62"/>
      <c r="X91" s="62"/>
      <c r="Y91" s="62"/>
      <c r="Z91" s="62"/>
      <c r="AA91" s="62"/>
      <c r="AB91" s="62"/>
      <c r="AC91" s="62"/>
      <c r="AD91" s="62"/>
      <c r="AE91" s="62"/>
      <c r="AF91" s="62"/>
      <c r="AG91" s="33"/>
      <c r="AH91" s="33"/>
      <c r="AI91" s="33"/>
    </row>
    <row r="92" spans="1:35" ht="13.5" customHeight="1" x14ac:dyDescent="0.15">
      <c r="A92" s="53"/>
      <c r="B92" s="54"/>
      <c r="C92" s="55"/>
      <c r="D92" s="55" t="str">
        <f>IFERROR(VLOOKUP($C92,烤漆色號編碼!$A:$C,2,FALSE),"-")</f>
        <v>-</v>
      </c>
      <c r="E92" s="55" t="str">
        <f>IFERROR(VLOOKUP($C92,當前庫存!$C:$I,5,FALSE),"-")</f>
        <v>-</v>
      </c>
      <c r="F92" s="56"/>
      <c r="G92" s="56"/>
      <c r="H92" s="55" t="str">
        <f>IFERROR(VLOOKUP($C92,烤漆色號編碼!$A:$D,4,FALSE)*每日用粉紀錄表!$F92+每日用粉紀錄表!$G92,"-")</f>
        <v>-</v>
      </c>
      <c r="I92" s="57"/>
      <c r="J92" s="58" t="str">
        <f>IFERROR(每日用粉紀錄表!$H92-每日用粉紀錄表!$I92,"-")</f>
        <v>-</v>
      </c>
      <c r="K92" s="58"/>
      <c r="L92" s="58"/>
      <c r="M92" s="61"/>
      <c r="N92" s="55"/>
      <c r="O92" s="55"/>
      <c r="P92" s="62"/>
      <c r="Q92" s="62"/>
      <c r="R92" s="62"/>
      <c r="S92" s="62"/>
      <c r="T92" s="62"/>
      <c r="U92" s="62"/>
      <c r="V92" s="62"/>
      <c r="W92" s="62"/>
      <c r="X92" s="62"/>
      <c r="Y92" s="62"/>
      <c r="Z92" s="62"/>
      <c r="AA92" s="62"/>
      <c r="AB92" s="62"/>
      <c r="AC92" s="62"/>
      <c r="AD92" s="62"/>
      <c r="AE92" s="62"/>
      <c r="AF92" s="62"/>
      <c r="AG92" s="33"/>
      <c r="AH92" s="33"/>
      <c r="AI92" s="33"/>
    </row>
    <row r="93" spans="1:35" ht="13.5" customHeight="1" x14ac:dyDescent="0.15">
      <c r="A93" s="53"/>
      <c r="B93" s="54"/>
      <c r="C93" s="55"/>
      <c r="D93" s="55" t="str">
        <f>IFERROR(VLOOKUP($C93,烤漆色號編碼!$A:$C,2,FALSE),"-")</f>
        <v>-</v>
      </c>
      <c r="E93" s="55" t="str">
        <f>IFERROR(VLOOKUP($C93,當前庫存!$C:$I,5,FALSE),"-")</f>
        <v>-</v>
      </c>
      <c r="F93" s="56"/>
      <c r="G93" s="56"/>
      <c r="H93" s="55" t="str">
        <f>IFERROR(VLOOKUP($C93,烤漆色號編碼!$A:$D,4,FALSE)*每日用粉紀錄表!$F93+每日用粉紀錄表!$G93,"-")</f>
        <v>-</v>
      </c>
      <c r="I93" s="57"/>
      <c r="J93" s="58" t="str">
        <f>IFERROR(每日用粉紀錄表!$H93-每日用粉紀錄表!$I93,"-")</f>
        <v>-</v>
      </c>
      <c r="K93" s="58"/>
      <c r="L93" s="58"/>
      <c r="M93" s="61"/>
      <c r="N93" s="55"/>
      <c r="O93" s="55"/>
      <c r="P93" s="62"/>
      <c r="Q93" s="62"/>
      <c r="R93" s="62"/>
      <c r="S93" s="62"/>
      <c r="T93" s="62"/>
      <c r="U93" s="62"/>
      <c r="V93" s="62"/>
      <c r="W93" s="62"/>
      <c r="X93" s="62"/>
      <c r="Y93" s="62"/>
      <c r="Z93" s="62"/>
      <c r="AA93" s="62"/>
      <c r="AB93" s="62"/>
      <c r="AC93" s="62"/>
      <c r="AD93" s="62"/>
      <c r="AE93" s="62"/>
      <c r="AF93" s="62"/>
      <c r="AG93" s="33"/>
      <c r="AH93" s="33"/>
      <c r="AI93" s="33"/>
    </row>
    <row r="94" spans="1:35" ht="13.5" customHeight="1" x14ac:dyDescent="0.15">
      <c r="A94" s="53"/>
      <c r="B94" s="54"/>
      <c r="C94" s="55"/>
      <c r="D94" s="55" t="str">
        <f>IFERROR(VLOOKUP($C94,烤漆色號編碼!$A:$C,2,FALSE),"-")</f>
        <v>-</v>
      </c>
      <c r="E94" s="55" t="str">
        <f>IFERROR(VLOOKUP($C94,當前庫存!$C:$I,5,FALSE),"-")</f>
        <v>-</v>
      </c>
      <c r="F94" s="56"/>
      <c r="G94" s="56"/>
      <c r="H94" s="55" t="str">
        <f>IFERROR(VLOOKUP($C94,烤漆色號編碼!$A:$D,4,FALSE)*每日用粉紀錄表!$F94+每日用粉紀錄表!$G94,"-")</f>
        <v>-</v>
      </c>
      <c r="I94" s="57"/>
      <c r="J94" s="58" t="str">
        <f>IFERROR(每日用粉紀錄表!$H94-每日用粉紀錄表!$I94,"-")</f>
        <v>-</v>
      </c>
      <c r="K94" s="58"/>
      <c r="L94" s="58"/>
      <c r="M94" s="61"/>
      <c r="N94" s="55"/>
      <c r="O94" s="55"/>
      <c r="P94" s="62"/>
      <c r="Q94" s="62"/>
      <c r="R94" s="62"/>
      <c r="S94" s="62"/>
      <c r="T94" s="62"/>
      <c r="U94" s="62"/>
      <c r="V94" s="62"/>
      <c r="W94" s="62"/>
      <c r="X94" s="62"/>
      <c r="Y94" s="62"/>
      <c r="Z94" s="62"/>
      <c r="AA94" s="62"/>
      <c r="AB94" s="62"/>
      <c r="AC94" s="62"/>
      <c r="AD94" s="62"/>
      <c r="AE94" s="62"/>
      <c r="AF94" s="62"/>
      <c r="AG94" s="33"/>
      <c r="AH94" s="33"/>
      <c r="AI94" s="33"/>
    </row>
    <row r="95" spans="1:35" ht="13.5" customHeight="1" x14ac:dyDescent="0.15">
      <c r="A95" s="53"/>
      <c r="B95" s="54"/>
      <c r="C95" s="55"/>
      <c r="D95" s="55" t="str">
        <f>IFERROR(VLOOKUP($C95,烤漆色號編碼!$A:$C,2,FALSE),"-")</f>
        <v>-</v>
      </c>
      <c r="E95" s="55" t="str">
        <f>IFERROR(VLOOKUP($C95,當前庫存!$C:$I,5,FALSE),"-")</f>
        <v>-</v>
      </c>
      <c r="F95" s="56"/>
      <c r="G95" s="56"/>
      <c r="H95" s="55" t="str">
        <f>IFERROR(VLOOKUP($C95,烤漆色號編碼!$A:$D,4,FALSE)*每日用粉紀錄表!$F95+每日用粉紀錄表!$G95,"-")</f>
        <v>-</v>
      </c>
      <c r="I95" s="57"/>
      <c r="J95" s="58" t="str">
        <f>IFERROR(每日用粉紀錄表!$H95-每日用粉紀錄表!$I95,"-")</f>
        <v>-</v>
      </c>
      <c r="K95" s="58"/>
      <c r="L95" s="58"/>
      <c r="M95" s="61"/>
      <c r="N95" s="55"/>
      <c r="O95" s="55"/>
      <c r="P95" s="62"/>
      <c r="Q95" s="62"/>
      <c r="R95" s="62"/>
      <c r="S95" s="62"/>
      <c r="T95" s="62"/>
      <c r="U95" s="62"/>
      <c r="V95" s="62"/>
      <c r="W95" s="62"/>
      <c r="X95" s="62"/>
      <c r="Y95" s="62"/>
      <c r="Z95" s="62"/>
      <c r="AA95" s="62"/>
      <c r="AB95" s="62"/>
      <c r="AC95" s="62"/>
      <c r="AD95" s="62"/>
      <c r="AE95" s="62"/>
      <c r="AF95" s="62"/>
      <c r="AG95" s="33"/>
      <c r="AH95" s="33"/>
      <c r="AI95" s="33"/>
    </row>
    <row r="96" spans="1:35" ht="13.5" customHeight="1" x14ac:dyDescent="0.15">
      <c r="A96" s="53"/>
      <c r="B96" s="54"/>
      <c r="C96" s="55"/>
      <c r="D96" s="55" t="str">
        <f>IFERROR(VLOOKUP($C96,烤漆色號編碼!$A:$C,2,FALSE),"-")</f>
        <v>-</v>
      </c>
      <c r="E96" s="55" t="str">
        <f>IFERROR(VLOOKUP($C96,當前庫存!$C:$I,5,FALSE),"-")</f>
        <v>-</v>
      </c>
      <c r="F96" s="56"/>
      <c r="G96" s="56"/>
      <c r="H96" s="55" t="str">
        <f>IFERROR(VLOOKUP($C96,烤漆色號編碼!$A:$D,4,FALSE)*每日用粉紀錄表!$F96+每日用粉紀錄表!$G96,"-")</f>
        <v>-</v>
      </c>
      <c r="I96" s="57"/>
      <c r="J96" s="58" t="str">
        <f>IFERROR(每日用粉紀錄表!$H96-每日用粉紀錄表!$I96,"-")</f>
        <v>-</v>
      </c>
      <c r="K96" s="58"/>
      <c r="L96" s="58"/>
      <c r="M96" s="61"/>
      <c r="N96" s="55"/>
      <c r="O96" s="55"/>
      <c r="P96" s="62"/>
      <c r="Q96" s="62"/>
      <c r="R96" s="62"/>
      <c r="S96" s="62"/>
      <c r="T96" s="62"/>
      <c r="U96" s="62"/>
      <c r="V96" s="62"/>
      <c r="W96" s="62"/>
      <c r="X96" s="62"/>
      <c r="Y96" s="62"/>
      <c r="Z96" s="62"/>
      <c r="AA96" s="62"/>
      <c r="AB96" s="62"/>
      <c r="AC96" s="62"/>
      <c r="AD96" s="62"/>
      <c r="AE96" s="62"/>
      <c r="AF96" s="62"/>
      <c r="AG96" s="33"/>
      <c r="AH96" s="33"/>
      <c r="AI96" s="33"/>
    </row>
    <row r="97" spans="1:35" ht="13.5" customHeight="1" x14ac:dyDescent="0.15">
      <c r="A97" s="53"/>
      <c r="B97" s="54"/>
      <c r="C97" s="55"/>
      <c r="D97" s="55" t="str">
        <f>IFERROR(VLOOKUP($C97,烤漆色號編碼!$A:$C,2,FALSE),"-")</f>
        <v>-</v>
      </c>
      <c r="E97" s="55" t="str">
        <f>IFERROR(VLOOKUP($C97,當前庫存!$C:$I,5,FALSE),"-")</f>
        <v>-</v>
      </c>
      <c r="F97" s="56"/>
      <c r="G97" s="56"/>
      <c r="H97" s="55" t="str">
        <f>IFERROR(VLOOKUP($C97,烤漆色號編碼!$A:$D,4,FALSE)*每日用粉紀錄表!$F97+每日用粉紀錄表!$G97,"-")</f>
        <v>-</v>
      </c>
      <c r="I97" s="57"/>
      <c r="J97" s="58" t="str">
        <f>IFERROR(每日用粉紀錄表!$H97-每日用粉紀錄表!$I97,"-")</f>
        <v>-</v>
      </c>
      <c r="K97" s="59"/>
      <c r="L97" s="60"/>
      <c r="M97" s="61"/>
      <c r="N97" s="55"/>
      <c r="O97" s="55"/>
      <c r="P97" s="62"/>
      <c r="Q97" s="62"/>
      <c r="R97" s="62"/>
      <c r="S97" s="62"/>
      <c r="T97" s="62"/>
      <c r="U97" s="62"/>
      <c r="V97" s="62"/>
      <c r="W97" s="62"/>
      <c r="X97" s="62"/>
      <c r="Y97" s="62"/>
      <c r="Z97" s="62"/>
      <c r="AA97" s="62"/>
      <c r="AB97" s="62"/>
      <c r="AC97" s="62"/>
      <c r="AD97" s="62"/>
      <c r="AE97" s="62"/>
      <c r="AF97" s="62"/>
      <c r="AG97" s="33"/>
      <c r="AH97" s="33"/>
      <c r="AI97" s="33"/>
    </row>
    <row r="98" spans="1:35" ht="13.5" customHeight="1" x14ac:dyDescent="0.15">
      <c r="A98" s="53"/>
      <c r="B98" s="54"/>
      <c r="C98" s="55"/>
      <c r="D98" s="55" t="str">
        <f>IFERROR(VLOOKUP($C98,烤漆色號編碼!$A:$C,2,FALSE),"-")</f>
        <v>-</v>
      </c>
      <c r="E98" s="55" t="str">
        <f>IFERROR(VLOOKUP($C98,當前庫存!$C:$I,5,FALSE),"-")</f>
        <v>-</v>
      </c>
      <c r="F98" s="56"/>
      <c r="G98" s="56"/>
      <c r="H98" s="55" t="str">
        <f>IFERROR(VLOOKUP($C98,烤漆色號編碼!$A:$D,4,FALSE)*每日用粉紀錄表!$F98+每日用粉紀錄表!$G98,"-")</f>
        <v>-</v>
      </c>
      <c r="I98" s="57"/>
      <c r="J98" s="58" t="str">
        <f>IFERROR(每日用粉紀錄表!$H98-每日用粉紀錄表!$I98,"-")</f>
        <v>-</v>
      </c>
      <c r="K98" s="59"/>
      <c r="L98" s="60"/>
      <c r="M98" s="61"/>
      <c r="N98" s="55"/>
      <c r="O98" s="55"/>
      <c r="P98" s="62"/>
      <c r="Q98" s="62"/>
      <c r="R98" s="62"/>
      <c r="S98" s="62"/>
      <c r="T98" s="62"/>
      <c r="U98" s="62"/>
      <c r="V98" s="62"/>
      <c r="W98" s="62"/>
      <c r="X98" s="62"/>
      <c r="Y98" s="62"/>
      <c r="Z98" s="62"/>
      <c r="AA98" s="62"/>
      <c r="AB98" s="62"/>
      <c r="AC98" s="62"/>
      <c r="AD98" s="62"/>
      <c r="AE98" s="62"/>
      <c r="AF98" s="62"/>
      <c r="AG98" s="33"/>
      <c r="AH98" s="33"/>
      <c r="AI98" s="33"/>
    </row>
    <row r="99" spans="1:35" ht="13.5" customHeight="1" x14ac:dyDescent="0.15">
      <c r="A99" s="53"/>
      <c r="B99" s="54"/>
      <c r="C99" s="55"/>
      <c r="D99" s="55" t="str">
        <f>IFERROR(VLOOKUP($C99,烤漆色號編碼!$A:$C,2,FALSE),"-")</f>
        <v>-</v>
      </c>
      <c r="E99" s="55" t="str">
        <f>IFERROR(VLOOKUP($C99,當前庫存!$C:$I,5,FALSE),"-")</f>
        <v>-</v>
      </c>
      <c r="F99" s="56"/>
      <c r="G99" s="56"/>
      <c r="H99" s="55" t="str">
        <f>IFERROR(VLOOKUP($C99,烤漆色號編碼!$A:$D,4,FALSE)*每日用粉紀錄表!$F99+每日用粉紀錄表!$G99,"-")</f>
        <v>-</v>
      </c>
      <c r="I99" s="57"/>
      <c r="J99" s="58" t="str">
        <f>IFERROR(每日用粉紀錄表!$H99-每日用粉紀錄表!$I99,"-")</f>
        <v>-</v>
      </c>
      <c r="K99" s="59"/>
      <c r="L99" s="60"/>
      <c r="M99" s="61"/>
      <c r="N99" s="55"/>
      <c r="O99" s="55"/>
      <c r="P99" s="62"/>
      <c r="Q99" s="62"/>
      <c r="R99" s="62"/>
      <c r="S99" s="62"/>
      <c r="T99" s="62"/>
      <c r="U99" s="62"/>
      <c r="V99" s="62"/>
      <c r="W99" s="62"/>
      <c r="X99" s="62"/>
      <c r="Y99" s="62"/>
      <c r="Z99" s="62"/>
      <c r="AA99" s="62"/>
      <c r="AB99" s="62"/>
      <c r="AC99" s="62"/>
      <c r="AD99" s="62"/>
      <c r="AE99" s="62"/>
      <c r="AF99" s="62"/>
      <c r="AG99" s="33"/>
      <c r="AH99" s="33"/>
      <c r="AI99" s="33"/>
    </row>
    <row r="100" spans="1:35" ht="13.5" customHeight="1" x14ac:dyDescent="0.15">
      <c r="A100" s="53"/>
      <c r="B100" s="54"/>
      <c r="C100" s="55"/>
      <c r="D100" s="55" t="str">
        <f>IFERROR(VLOOKUP($C100,烤漆色號編碼!$A:$C,2,FALSE),"-")</f>
        <v>-</v>
      </c>
      <c r="E100" s="55" t="str">
        <f>IFERROR(VLOOKUP($C100,當前庫存!$C:$I,5,FALSE),"-")</f>
        <v>-</v>
      </c>
      <c r="F100" s="56"/>
      <c r="G100" s="56"/>
      <c r="H100" s="55" t="str">
        <f>IFERROR(VLOOKUP($C100,烤漆色號編碼!$A:$D,4,FALSE)*每日用粉紀錄表!$F100+每日用粉紀錄表!$G100,"-")</f>
        <v>-</v>
      </c>
      <c r="I100" s="57"/>
      <c r="J100" s="58" t="str">
        <f>IFERROR(每日用粉紀錄表!$H100-每日用粉紀錄表!$I100,"-")</f>
        <v>-</v>
      </c>
      <c r="K100" s="59"/>
      <c r="L100" s="60"/>
      <c r="M100" s="61"/>
      <c r="N100" s="55"/>
      <c r="O100" s="55"/>
      <c r="P100" s="62"/>
      <c r="Q100" s="62"/>
      <c r="R100" s="62"/>
      <c r="S100" s="62"/>
      <c r="T100" s="62"/>
      <c r="U100" s="62"/>
      <c r="V100" s="62"/>
      <c r="W100" s="62"/>
      <c r="X100" s="62"/>
      <c r="Y100" s="62"/>
      <c r="Z100" s="62"/>
      <c r="AA100" s="62"/>
      <c r="AB100" s="62"/>
      <c r="AC100" s="62"/>
      <c r="AD100" s="62"/>
      <c r="AE100" s="62"/>
      <c r="AF100" s="62"/>
      <c r="AG100" s="33"/>
      <c r="AH100" s="33"/>
      <c r="AI100" s="33"/>
    </row>
    <row r="101" spans="1:35" ht="13.5" customHeight="1" x14ac:dyDescent="0.15">
      <c r="A101" s="53"/>
      <c r="B101" s="54"/>
      <c r="C101" s="55"/>
      <c r="D101" s="55" t="str">
        <f>IFERROR(VLOOKUP($C101,烤漆色號編碼!$A:$C,2,FALSE),"-")</f>
        <v>-</v>
      </c>
      <c r="E101" s="55" t="str">
        <f>IFERROR(VLOOKUP($C101,當前庫存!$C:$I,5,FALSE),"-")</f>
        <v>-</v>
      </c>
      <c r="F101" s="56"/>
      <c r="G101" s="56"/>
      <c r="H101" s="55" t="str">
        <f>IFERROR(VLOOKUP($C101,烤漆色號編碼!$A:$D,4,FALSE)*每日用粉紀錄表!$F101+每日用粉紀錄表!$G101,"-")</f>
        <v>-</v>
      </c>
      <c r="I101" s="57"/>
      <c r="J101" s="58" t="str">
        <f>IFERROR(每日用粉紀錄表!$H101-每日用粉紀錄表!$I101,"-")</f>
        <v>-</v>
      </c>
      <c r="K101" s="59"/>
      <c r="L101" s="60"/>
      <c r="M101" s="61"/>
      <c r="N101" s="55"/>
      <c r="O101" s="55"/>
      <c r="P101" s="62"/>
      <c r="Q101" s="62"/>
      <c r="R101" s="62"/>
      <c r="S101" s="62"/>
      <c r="T101" s="62"/>
      <c r="U101" s="62"/>
      <c r="V101" s="62"/>
      <c r="W101" s="62"/>
      <c r="X101" s="62"/>
      <c r="Y101" s="62"/>
      <c r="Z101" s="62"/>
      <c r="AA101" s="62"/>
      <c r="AB101" s="62"/>
      <c r="AC101" s="62"/>
      <c r="AD101" s="62"/>
      <c r="AE101" s="62"/>
      <c r="AF101" s="62"/>
      <c r="AG101" s="33"/>
      <c r="AH101" s="33"/>
      <c r="AI101" s="33"/>
    </row>
    <row r="102" spans="1:35" ht="13.5" customHeight="1" x14ac:dyDescent="0.15">
      <c r="A102" s="53"/>
      <c r="B102" s="54"/>
      <c r="C102" s="55"/>
      <c r="D102" s="55" t="str">
        <f>IFERROR(VLOOKUP($C102,烤漆色號編碼!$A:$C,2,FALSE),"-")</f>
        <v>-</v>
      </c>
      <c r="E102" s="55" t="str">
        <f>IFERROR(VLOOKUP($C102,當前庫存!$C:$I,5,FALSE),"-")</f>
        <v>-</v>
      </c>
      <c r="F102" s="56"/>
      <c r="G102" s="56"/>
      <c r="H102" s="55" t="str">
        <f>IFERROR(VLOOKUP($C102,烤漆色號編碼!$A:$D,4,FALSE)*每日用粉紀錄表!$F102+每日用粉紀錄表!$G102,"-")</f>
        <v>-</v>
      </c>
      <c r="I102" s="57"/>
      <c r="J102" s="58" t="str">
        <f>IFERROR(每日用粉紀錄表!$H102-每日用粉紀錄表!$I102,"-")</f>
        <v>-</v>
      </c>
      <c r="K102" s="59"/>
      <c r="L102" s="60"/>
      <c r="M102" s="61"/>
      <c r="N102" s="55"/>
      <c r="O102" s="55"/>
      <c r="P102" s="62"/>
      <c r="Q102" s="62"/>
      <c r="R102" s="62"/>
      <c r="S102" s="62"/>
      <c r="T102" s="62"/>
      <c r="U102" s="62"/>
      <c r="V102" s="62"/>
      <c r="W102" s="62"/>
      <c r="X102" s="62"/>
      <c r="Y102" s="62"/>
      <c r="Z102" s="62"/>
      <c r="AA102" s="62"/>
      <c r="AB102" s="62"/>
      <c r="AC102" s="62"/>
      <c r="AD102" s="62"/>
      <c r="AE102" s="62"/>
      <c r="AF102" s="62"/>
      <c r="AG102" s="33"/>
      <c r="AH102" s="33"/>
      <c r="AI102" s="33"/>
    </row>
    <row r="103" spans="1:35" ht="13.5" customHeight="1" x14ac:dyDescent="0.15">
      <c r="A103" s="53"/>
      <c r="B103" s="54"/>
      <c r="C103" s="55"/>
      <c r="D103" s="55" t="str">
        <f>IFERROR(VLOOKUP($C103,烤漆色號編碼!$A:$C,2,FALSE),"-")</f>
        <v>-</v>
      </c>
      <c r="E103" s="55" t="str">
        <f>IFERROR(VLOOKUP($C103,當前庫存!$C:$I,5,FALSE),"-")</f>
        <v>-</v>
      </c>
      <c r="F103" s="56"/>
      <c r="G103" s="56"/>
      <c r="H103" s="55" t="str">
        <f>IFERROR(VLOOKUP($C103,烤漆色號編碼!$A:$D,4,FALSE)*每日用粉紀錄表!$F103+每日用粉紀錄表!$G103,"-")</f>
        <v>-</v>
      </c>
      <c r="I103" s="57"/>
      <c r="J103" s="58" t="str">
        <f>IFERROR(每日用粉紀錄表!$H103-每日用粉紀錄表!$I103,"-")</f>
        <v>-</v>
      </c>
      <c r="K103" s="59"/>
      <c r="L103" s="60"/>
      <c r="M103" s="61"/>
      <c r="N103" s="55"/>
      <c r="O103" s="55"/>
      <c r="P103" s="62"/>
      <c r="Q103" s="62"/>
      <c r="R103" s="62"/>
      <c r="S103" s="62"/>
      <c r="T103" s="62"/>
      <c r="U103" s="62"/>
      <c r="V103" s="62"/>
      <c r="W103" s="62"/>
      <c r="X103" s="62"/>
      <c r="Y103" s="62"/>
      <c r="Z103" s="62"/>
      <c r="AA103" s="62"/>
      <c r="AB103" s="62"/>
      <c r="AC103" s="62"/>
      <c r="AD103" s="62"/>
      <c r="AE103" s="62"/>
      <c r="AF103" s="62"/>
      <c r="AG103" s="33"/>
      <c r="AH103" s="33"/>
      <c r="AI103" s="33"/>
    </row>
    <row r="104" spans="1:35" ht="13.5" customHeight="1" x14ac:dyDescent="0.15">
      <c r="A104" s="53"/>
      <c r="B104" s="54"/>
      <c r="C104" s="55"/>
      <c r="D104" s="55" t="str">
        <f>IFERROR(VLOOKUP($C104,烤漆色號編碼!$A:$C,2,FALSE),"-")</f>
        <v>-</v>
      </c>
      <c r="E104" s="55" t="str">
        <f>IFERROR(VLOOKUP($C104,當前庫存!$C:$I,5,FALSE),"-")</f>
        <v>-</v>
      </c>
      <c r="F104" s="56"/>
      <c r="G104" s="56"/>
      <c r="H104" s="55" t="str">
        <f>IFERROR(VLOOKUP($C104,烤漆色號編碼!$A:$D,4,FALSE)*每日用粉紀錄表!$F104+每日用粉紀錄表!$G104,"-")</f>
        <v>-</v>
      </c>
      <c r="I104" s="57"/>
      <c r="J104" s="58" t="str">
        <f>IFERROR(每日用粉紀錄表!$H104-每日用粉紀錄表!$I104,"-")</f>
        <v>-</v>
      </c>
      <c r="K104" s="59"/>
      <c r="L104" s="60"/>
      <c r="M104" s="61"/>
      <c r="N104" s="55"/>
      <c r="O104" s="55"/>
      <c r="P104" s="62"/>
      <c r="Q104" s="62"/>
      <c r="R104" s="62"/>
      <c r="S104" s="62"/>
      <c r="T104" s="62"/>
      <c r="U104" s="62"/>
      <c r="V104" s="62"/>
      <c r="W104" s="62"/>
      <c r="X104" s="62"/>
      <c r="Y104" s="62"/>
      <c r="Z104" s="62"/>
      <c r="AA104" s="62"/>
      <c r="AB104" s="62"/>
      <c r="AC104" s="62"/>
      <c r="AD104" s="62"/>
      <c r="AE104" s="62"/>
      <c r="AF104" s="62"/>
      <c r="AG104" s="33"/>
      <c r="AH104" s="33"/>
      <c r="AI104" s="33"/>
    </row>
    <row r="105" spans="1:35" ht="13.5" customHeight="1" x14ac:dyDescent="0.15">
      <c r="A105" s="53"/>
      <c r="B105" s="54"/>
      <c r="C105" s="55"/>
      <c r="D105" s="55" t="str">
        <f>IFERROR(VLOOKUP($C105,烤漆色號編碼!$A:$C,2,FALSE),"-")</f>
        <v>-</v>
      </c>
      <c r="E105" s="55" t="str">
        <f>IFERROR(VLOOKUP($C105,當前庫存!$C:$I,5,FALSE),"-")</f>
        <v>-</v>
      </c>
      <c r="F105" s="56"/>
      <c r="G105" s="56"/>
      <c r="H105" s="55" t="str">
        <f>IFERROR(VLOOKUP($C105,烤漆色號編碼!$A:$D,4,FALSE)*每日用粉紀錄表!$F105+每日用粉紀錄表!$G105,"-")</f>
        <v>-</v>
      </c>
      <c r="I105" s="57"/>
      <c r="J105" s="58" t="str">
        <f>IFERROR(每日用粉紀錄表!$H105-每日用粉紀錄表!$I105,"-")</f>
        <v>-</v>
      </c>
      <c r="K105" s="59"/>
      <c r="L105" s="60"/>
      <c r="M105" s="61"/>
      <c r="N105" s="55"/>
      <c r="O105" s="55"/>
      <c r="P105" s="62"/>
      <c r="Q105" s="62"/>
      <c r="R105" s="62"/>
      <c r="S105" s="62"/>
      <c r="T105" s="62"/>
      <c r="U105" s="62"/>
      <c r="V105" s="62"/>
      <c r="W105" s="62"/>
      <c r="X105" s="62"/>
      <c r="Y105" s="62"/>
      <c r="Z105" s="62"/>
      <c r="AA105" s="62"/>
      <c r="AB105" s="62"/>
      <c r="AC105" s="62"/>
      <c r="AD105" s="62"/>
      <c r="AE105" s="62"/>
      <c r="AF105" s="62"/>
      <c r="AG105" s="33"/>
      <c r="AH105" s="33"/>
      <c r="AI105" s="33"/>
    </row>
    <row r="106" spans="1:35" ht="13.5" customHeight="1" x14ac:dyDescent="0.15">
      <c r="A106" s="53"/>
      <c r="B106" s="54"/>
      <c r="C106" s="55"/>
      <c r="D106" s="55" t="str">
        <f>IFERROR(VLOOKUP($C106,烤漆色號編碼!$A:$C,2,FALSE),"-")</f>
        <v>-</v>
      </c>
      <c r="E106" s="55" t="str">
        <f>IFERROR(VLOOKUP($C106,當前庫存!$C:$I,5,FALSE),"-")</f>
        <v>-</v>
      </c>
      <c r="F106" s="56"/>
      <c r="G106" s="56"/>
      <c r="H106" s="55" t="str">
        <f>IFERROR(VLOOKUP($C106,烤漆色號編碼!$A:$D,4,FALSE)*每日用粉紀錄表!$F106+每日用粉紀錄表!$G106,"-")</f>
        <v>-</v>
      </c>
      <c r="I106" s="57"/>
      <c r="J106" s="58" t="str">
        <f>IFERROR(每日用粉紀錄表!$H106-每日用粉紀錄表!$I106,"-")</f>
        <v>-</v>
      </c>
      <c r="K106" s="59"/>
      <c r="L106" s="60"/>
      <c r="M106" s="61"/>
      <c r="N106" s="55"/>
      <c r="O106" s="55"/>
      <c r="P106" s="62"/>
      <c r="Q106" s="62"/>
      <c r="R106" s="62"/>
      <c r="S106" s="62"/>
      <c r="T106" s="62"/>
      <c r="U106" s="62"/>
      <c r="V106" s="62"/>
      <c r="W106" s="62"/>
      <c r="X106" s="62"/>
      <c r="Y106" s="62"/>
      <c r="Z106" s="62"/>
      <c r="AA106" s="62"/>
      <c r="AB106" s="62"/>
      <c r="AC106" s="62"/>
      <c r="AD106" s="62"/>
      <c r="AE106" s="62"/>
      <c r="AF106" s="62"/>
      <c r="AG106" s="33"/>
      <c r="AH106" s="33"/>
      <c r="AI106" s="33"/>
    </row>
    <row r="107" spans="1:35" ht="13.5" customHeight="1" x14ac:dyDescent="0.15">
      <c r="A107" s="53"/>
      <c r="B107" s="54"/>
      <c r="C107" s="55"/>
      <c r="D107" s="55" t="str">
        <f>IFERROR(VLOOKUP($C107,烤漆色號編碼!$A:$C,2,FALSE),"-")</f>
        <v>-</v>
      </c>
      <c r="E107" s="55" t="str">
        <f>IFERROR(VLOOKUP($C107,當前庫存!$C:$I,5,FALSE),"-")</f>
        <v>-</v>
      </c>
      <c r="F107" s="56"/>
      <c r="G107" s="56"/>
      <c r="H107" s="55" t="str">
        <f>IFERROR(VLOOKUP($C107,烤漆色號編碼!$A:$D,4,FALSE)*每日用粉紀錄表!$F107+每日用粉紀錄表!$G107,"-")</f>
        <v>-</v>
      </c>
      <c r="I107" s="57"/>
      <c r="J107" s="58" t="str">
        <f>IFERROR(每日用粉紀錄表!$H107-每日用粉紀錄表!$I107,"-")</f>
        <v>-</v>
      </c>
      <c r="K107" s="59"/>
      <c r="L107" s="60"/>
      <c r="M107" s="61"/>
      <c r="N107" s="55"/>
      <c r="O107" s="55"/>
      <c r="P107" s="62"/>
      <c r="Q107" s="62"/>
      <c r="R107" s="62"/>
      <c r="S107" s="62"/>
      <c r="T107" s="62"/>
      <c r="U107" s="62"/>
      <c r="V107" s="62"/>
      <c r="W107" s="62"/>
      <c r="X107" s="62"/>
      <c r="Y107" s="62"/>
      <c r="Z107" s="62"/>
      <c r="AA107" s="62"/>
      <c r="AB107" s="62"/>
      <c r="AC107" s="62"/>
      <c r="AD107" s="62"/>
      <c r="AE107" s="62"/>
      <c r="AF107" s="62"/>
      <c r="AG107" s="33"/>
      <c r="AH107" s="33"/>
      <c r="AI107" s="33"/>
    </row>
    <row r="108" spans="1:35" ht="13.5" customHeight="1" x14ac:dyDescent="0.15">
      <c r="A108" s="53"/>
      <c r="B108" s="54"/>
      <c r="C108" s="55"/>
      <c r="D108" s="55" t="str">
        <f>IFERROR(VLOOKUP($C108,烤漆色號編碼!$A:$C,2,FALSE),"-")</f>
        <v>-</v>
      </c>
      <c r="E108" s="55" t="str">
        <f>IFERROR(VLOOKUP($C108,當前庫存!$C:$I,5,FALSE),"-")</f>
        <v>-</v>
      </c>
      <c r="F108" s="56"/>
      <c r="G108" s="56"/>
      <c r="H108" s="55" t="str">
        <f>IFERROR(VLOOKUP($C108,烤漆色號編碼!$A:$D,4,FALSE)*每日用粉紀錄表!$F108+每日用粉紀錄表!$G108,"-")</f>
        <v>-</v>
      </c>
      <c r="I108" s="57"/>
      <c r="J108" s="58" t="str">
        <f>IFERROR(每日用粉紀錄表!$H108-每日用粉紀錄表!$I108,"-")</f>
        <v>-</v>
      </c>
      <c r="K108" s="59"/>
      <c r="L108" s="60"/>
      <c r="M108" s="61"/>
      <c r="N108" s="55"/>
      <c r="O108" s="55"/>
      <c r="P108" s="62"/>
      <c r="Q108" s="62"/>
      <c r="R108" s="62"/>
      <c r="S108" s="62"/>
      <c r="T108" s="62"/>
      <c r="U108" s="62"/>
      <c r="V108" s="62"/>
      <c r="W108" s="62"/>
      <c r="X108" s="62"/>
      <c r="Y108" s="62"/>
      <c r="Z108" s="62"/>
      <c r="AA108" s="62"/>
      <c r="AB108" s="62"/>
      <c r="AC108" s="62"/>
      <c r="AD108" s="62"/>
      <c r="AE108" s="62"/>
      <c r="AF108" s="62"/>
      <c r="AG108" s="33"/>
      <c r="AH108" s="33"/>
      <c r="AI108" s="33"/>
    </row>
    <row r="109" spans="1:35" ht="13.5" customHeight="1" x14ac:dyDescent="0.15">
      <c r="A109" s="53"/>
      <c r="B109" s="54"/>
      <c r="C109" s="55"/>
      <c r="D109" s="55" t="str">
        <f>IFERROR(VLOOKUP($C109,烤漆色號編碼!$A:$C,2,FALSE),"-")</f>
        <v>-</v>
      </c>
      <c r="E109" s="55" t="str">
        <f>IFERROR(VLOOKUP($C109,當前庫存!$C:$I,5,FALSE),"-")</f>
        <v>-</v>
      </c>
      <c r="F109" s="56"/>
      <c r="G109" s="56"/>
      <c r="H109" s="55" t="str">
        <f>IFERROR(VLOOKUP($C109,烤漆色號編碼!$A:$D,4,FALSE)*每日用粉紀錄表!$F109+每日用粉紀錄表!$G109,"-")</f>
        <v>-</v>
      </c>
      <c r="I109" s="57"/>
      <c r="J109" s="58" t="str">
        <f>IFERROR(每日用粉紀錄表!$H109-每日用粉紀錄表!$I109,"-")</f>
        <v>-</v>
      </c>
      <c r="K109" s="59"/>
      <c r="L109" s="60"/>
      <c r="M109" s="61"/>
      <c r="N109" s="55"/>
      <c r="O109" s="55"/>
      <c r="P109" s="62"/>
      <c r="Q109" s="62"/>
      <c r="R109" s="62"/>
      <c r="S109" s="62"/>
      <c r="T109" s="62"/>
      <c r="U109" s="62"/>
      <c r="V109" s="62"/>
      <c r="W109" s="62"/>
      <c r="X109" s="62"/>
      <c r="Y109" s="62"/>
      <c r="Z109" s="62"/>
      <c r="AA109" s="62"/>
      <c r="AB109" s="62"/>
      <c r="AC109" s="62"/>
      <c r="AD109" s="62"/>
      <c r="AE109" s="62"/>
      <c r="AF109" s="62"/>
      <c r="AG109" s="33"/>
      <c r="AH109" s="33"/>
      <c r="AI109" s="33"/>
    </row>
    <row r="110" spans="1:35" ht="13.5" customHeight="1" x14ac:dyDescent="0.15">
      <c r="A110" s="53"/>
      <c r="B110" s="54"/>
      <c r="C110" s="55"/>
      <c r="D110" s="55" t="str">
        <f>IFERROR(VLOOKUP($C110,烤漆色號編碼!$A:$C,2,FALSE),"-")</f>
        <v>-</v>
      </c>
      <c r="E110" s="55" t="str">
        <f>IFERROR(VLOOKUP($C110,當前庫存!$C:$I,5,FALSE),"-")</f>
        <v>-</v>
      </c>
      <c r="F110" s="56"/>
      <c r="G110" s="56"/>
      <c r="H110" s="55" t="str">
        <f>IFERROR(VLOOKUP($C110,烤漆色號編碼!$A:$D,4,FALSE)*每日用粉紀錄表!$F110+每日用粉紀錄表!$G110,"-")</f>
        <v>-</v>
      </c>
      <c r="I110" s="57"/>
      <c r="J110" s="58" t="str">
        <f>IFERROR(每日用粉紀錄表!$H110-每日用粉紀錄表!$I110,"-")</f>
        <v>-</v>
      </c>
      <c r="K110" s="59"/>
      <c r="L110" s="60"/>
      <c r="M110" s="61"/>
      <c r="N110" s="55"/>
      <c r="O110" s="55"/>
      <c r="P110" s="62"/>
      <c r="Q110" s="62"/>
      <c r="R110" s="62"/>
      <c r="S110" s="62"/>
      <c r="T110" s="62"/>
      <c r="U110" s="62"/>
      <c r="V110" s="62"/>
      <c r="W110" s="62"/>
      <c r="X110" s="62"/>
      <c r="Y110" s="62"/>
      <c r="Z110" s="62"/>
      <c r="AA110" s="62"/>
      <c r="AB110" s="62"/>
      <c r="AC110" s="62"/>
      <c r="AD110" s="62"/>
      <c r="AE110" s="62"/>
      <c r="AF110" s="62"/>
      <c r="AG110" s="33"/>
      <c r="AH110" s="33"/>
      <c r="AI110" s="33"/>
    </row>
    <row r="111" spans="1:35" ht="13.5" customHeight="1" x14ac:dyDescent="0.15">
      <c r="A111" s="53"/>
      <c r="B111" s="54"/>
      <c r="C111" s="55"/>
      <c r="D111" s="55" t="str">
        <f>IFERROR(VLOOKUP($C111,烤漆色號編碼!$A:$C,2,FALSE),"-")</f>
        <v>-</v>
      </c>
      <c r="E111" s="55" t="str">
        <f>IFERROR(VLOOKUP($C111,當前庫存!$C:$I,5,FALSE),"-")</f>
        <v>-</v>
      </c>
      <c r="F111" s="56"/>
      <c r="G111" s="56"/>
      <c r="H111" s="55" t="str">
        <f>IFERROR(VLOOKUP($C111,烤漆色號編碼!$A:$D,4,FALSE)*每日用粉紀錄表!$F111+每日用粉紀錄表!$G111,"-")</f>
        <v>-</v>
      </c>
      <c r="I111" s="57"/>
      <c r="J111" s="58" t="str">
        <f>IFERROR(每日用粉紀錄表!$H111-每日用粉紀錄表!$I111,"-")</f>
        <v>-</v>
      </c>
      <c r="K111" s="59"/>
      <c r="L111" s="60"/>
      <c r="M111" s="61"/>
      <c r="N111" s="55"/>
      <c r="O111" s="55"/>
      <c r="P111" s="62"/>
      <c r="Q111" s="62"/>
      <c r="R111" s="62"/>
      <c r="S111" s="62"/>
      <c r="T111" s="62"/>
      <c r="U111" s="62"/>
      <c r="V111" s="62"/>
      <c r="W111" s="62"/>
      <c r="X111" s="62"/>
      <c r="Y111" s="62"/>
      <c r="Z111" s="62"/>
      <c r="AA111" s="62"/>
      <c r="AB111" s="62"/>
      <c r="AC111" s="62"/>
      <c r="AD111" s="62"/>
      <c r="AE111" s="62"/>
      <c r="AF111" s="62"/>
      <c r="AG111" s="33"/>
      <c r="AH111" s="33"/>
      <c r="AI111" s="33"/>
    </row>
    <row r="112" spans="1:35" ht="13.5" customHeight="1" x14ac:dyDescent="0.15">
      <c r="A112" s="53"/>
      <c r="B112" s="54"/>
      <c r="C112" s="55"/>
      <c r="D112" s="55" t="str">
        <f>IFERROR(VLOOKUP($C112,烤漆色號編碼!$A:$C,2,FALSE),"-")</f>
        <v>-</v>
      </c>
      <c r="E112" s="55" t="str">
        <f>IFERROR(VLOOKUP($C112,當前庫存!$C:$I,5,FALSE),"-")</f>
        <v>-</v>
      </c>
      <c r="F112" s="56"/>
      <c r="G112" s="56"/>
      <c r="H112" s="55" t="str">
        <f>IFERROR(VLOOKUP($C112,烤漆色號編碼!$A:$D,4,FALSE)*每日用粉紀錄表!$F112+每日用粉紀錄表!$G112,"-")</f>
        <v>-</v>
      </c>
      <c r="I112" s="57"/>
      <c r="J112" s="58" t="str">
        <f>IFERROR(每日用粉紀錄表!$H112-每日用粉紀錄表!$I112,"-")</f>
        <v>-</v>
      </c>
      <c r="K112" s="59"/>
      <c r="L112" s="60"/>
      <c r="M112" s="61"/>
      <c r="N112" s="55"/>
      <c r="O112" s="55"/>
      <c r="P112" s="62"/>
      <c r="Q112" s="62"/>
      <c r="R112" s="62"/>
      <c r="S112" s="62"/>
      <c r="T112" s="62"/>
      <c r="U112" s="62"/>
      <c r="V112" s="62"/>
      <c r="W112" s="62"/>
      <c r="X112" s="62"/>
      <c r="Y112" s="62"/>
      <c r="Z112" s="62"/>
      <c r="AA112" s="62"/>
      <c r="AB112" s="62"/>
      <c r="AC112" s="62"/>
      <c r="AD112" s="62"/>
      <c r="AE112" s="62"/>
      <c r="AF112" s="62"/>
      <c r="AG112" s="33"/>
      <c r="AH112" s="33"/>
      <c r="AI112" s="33"/>
    </row>
    <row r="113" spans="1:35" ht="13.5" customHeight="1" x14ac:dyDescent="0.15">
      <c r="A113" s="53"/>
      <c r="B113" s="54"/>
      <c r="C113" s="55"/>
      <c r="D113" s="55" t="str">
        <f>IFERROR(VLOOKUP($C113,烤漆色號編碼!$A:$C,2,FALSE),"-")</f>
        <v>-</v>
      </c>
      <c r="E113" s="55" t="str">
        <f>IFERROR(VLOOKUP($C113,當前庫存!$C:$I,5,FALSE),"-")</f>
        <v>-</v>
      </c>
      <c r="F113" s="56"/>
      <c r="G113" s="56"/>
      <c r="H113" s="55" t="str">
        <f>IFERROR(VLOOKUP($C113,烤漆色號編碼!$A:$D,4,FALSE)*每日用粉紀錄表!$F113+每日用粉紀錄表!$G113,"-")</f>
        <v>-</v>
      </c>
      <c r="I113" s="57"/>
      <c r="J113" s="58" t="str">
        <f>IFERROR(每日用粉紀錄表!$H113-每日用粉紀錄表!$I113,"-")</f>
        <v>-</v>
      </c>
      <c r="K113" s="59"/>
      <c r="L113" s="60"/>
      <c r="M113" s="61"/>
      <c r="N113" s="55"/>
      <c r="O113" s="55"/>
      <c r="P113" s="62"/>
      <c r="Q113" s="62"/>
      <c r="R113" s="62"/>
      <c r="S113" s="62"/>
      <c r="T113" s="62"/>
      <c r="U113" s="62"/>
      <c r="V113" s="62"/>
      <c r="W113" s="62"/>
      <c r="X113" s="62"/>
      <c r="Y113" s="62"/>
      <c r="Z113" s="62"/>
      <c r="AA113" s="62"/>
      <c r="AB113" s="62"/>
      <c r="AC113" s="62"/>
      <c r="AD113" s="62"/>
      <c r="AE113" s="62"/>
      <c r="AF113" s="62"/>
      <c r="AG113" s="33"/>
      <c r="AH113" s="33"/>
      <c r="AI113" s="33"/>
    </row>
    <row r="114" spans="1:35" ht="13.5" customHeight="1" x14ac:dyDescent="0.15">
      <c r="A114" s="53"/>
      <c r="B114" s="54"/>
      <c r="C114" s="55"/>
      <c r="D114" s="55" t="str">
        <f>IFERROR(VLOOKUP($C114,烤漆色號編碼!$A:$C,2,FALSE),"-")</f>
        <v>-</v>
      </c>
      <c r="E114" s="55" t="str">
        <f>IFERROR(VLOOKUP($C114,當前庫存!$C:$I,5,FALSE),"-")</f>
        <v>-</v>
      </c>
      <c r="F114" s="56"/>
      <c r="G114" s="56"/>
      <c r="H114" s="55" t="str">
        <f>IFERROR(VLOOKUP($C114,烤漆色號編碼!$A:$D,4,FALSE)*每日用粉紀錄表!$F114+每日用粉紀錄表!$G114,"-")</f>
        <v>-</v>
      </c>
      <c r="I114" s="57"/>
      <c r="J114" s="58" t="str">
        <f>IFERROR(每日用粉紀錄表!$H114-每日用粉紀錄表!$I114,"-")</f>
        <v>-</v>
      </c>
      <c r="K114" s="59"/>
      <c r="L114" s="60"/>
      <c r="M114" s="61"/>
      <c r="N114" s="55"/>
      <c r="O114" s="55"/>
      <c r="P114" s="62"/>
      <c r="Q114" s="62"/>
      <c r="R114" s="62"/>
      <c r="S114" s="62"/>
      <c r="T114" s="62"/>
      <c r="U114" s="62"/>
      <c r="V114" s="62"/>
      <c r="W114" s="62"/>
      <c r="X114" s="62"/>
      <c r="Y114" s="62"/>
      <c r="Z114" s="62"/>
      <c r="AA114" s="62"/>
      <c r="AB114" s="62"/>
      <c r="AC114" s="62"/>
      <c r="AD114" s="62"/>
      <c r="AE114" s="62"/>
      <c r="AF114" s="62"/>
      <c r="AG114" s="33"/>
      <c r="AH114" s="33"/>
      <c r="AI114" s="33"/>
    </row>
    <row r="115" spans="1:35" ht="13.5" customHeight="1" x14ac:dyDescent="0.15">
      <c r="A115" s="53"/>
      <c r="B115" s="54"/>
      <c r="C115" s="55"/>
      <c r="D115" s="55" t="str">
        <f>IFERROR(VLOOKUP($C115,烤漆色號編碼!$A:$C,2,FALSE),"-")</f>
        <v>-</v>
      </c>
      <c r="E115" s="55" t="str">
        <f>IFERROR(VLOOKUP($C115,當前庫存!$C:$I,5,FALSE),"-")</f>
        <v>-</v>
      </c>
      <c r="F115" s="56"/>
      <c r="G115" s="56"/>
      <c r="H115" s="55" t="str">
        <f>IFERROR(VLOOKUP($C115,烤漆色號編碼!$A:$D,4,FALSE)*每日用粉紀錄表!$F115+每日用粉紀錄表!$G115,"-")</f>
        <v>-</v>
      </c>
      <c r="I115" s="57"/>
      <c r="J115" s="58" t="str">
        <f>IFERROR(每日用粉紀錄表!$H115-每日用粉紀錄表!$I115,"-")</f>
        <v>-</v>
      </c>
      <c r="K115" s="59"/>
      <c r="L115" s="60"/>
      <c r="M115" s="61"/>
      <c r="N115" s="55"/>
      <c r="O115" s="55"/>
      <c r="P115" s="62"/>
      <c r="Q115" s="62"/>
      <c r="R115" s="62"/>
      <c r="S115" s="62"/>
      <c r="T115" s="62"/>
      <c r="U115" s="62"/>
      <c r="V115" s="62"/>
      <c r="W115" s="62"/>
      <c r="X115" s="62"/>
      <c r="Y115" s="62"/>
      <c r="Z115" s="62"/>
      <c r="AA115" s="62"/>
      <c r="AB115" s="62"/>
      <c r="AC115" s="62"/>
      <c r="AD115" s="62"/>
      <c r="AE115" s="62"/>
      <c r="AF115" s="62"/>
      <c r="AG115" s="33"/>
      <c r="AH115" s="33"/>
      <c r="AI115" s="33"/>
    </row>
    <row r="116" spans="1:35" ht="13.5" customHeight="1" x14ac:dyDescent="0.15">
      <c r="A116" s="53"/>
      <c r="B116" s="54"/>
      <c r="C116" s="55"/>
      <c r="D116" s="55" t="str">
        <f>IFERROR(VLOOKUP($C116,烤漆色號編碼!$A:$C,2,FALSE),"-")</f>
        <v>-</v>
      </c>
      <c r="E116" s="55" t="str">
        <f>IFERROR(VLOOKUP($C116,當前庫存!$C:$I,5,FALSE),"-")</f>
        <v>-</v>
      </c>
      <c r="F116" s="56"/>
      <c r="G116" s="56"/>
      <c r="H116" s="55" t="str">
        <f>IFERROR(VLOOKUP($C116,烤漆色號編碼!$A:$D,4,FALSE)*每日用粉紀錄表!$F116+每日用粉紀錄表!$G116,"-")</f>
        <v>-</v>
      </c>
      <c r="I116" s="57"/>
      <c r="J116" s="58" t="str">
        <f>IFERROR(每日用粉紀錄表!$H116-每日用粉紀錄表!$I116,"-")</f>
        <v>-</v>
      </c>
      <c r="K116" s="59"/>
      <c r="L116" s="60"/>
      <c r="M116" s="61"/>
      <c r="N116" s="55"/>
      <c r="O116" s="55"/>
      <c r="P116" s="62"/>
      <c r="Q116" s="62"/>
      <c r="R116" s="62"/>
      <c r="S116" s="62"/>
      <c r="T116" s="62"/>
      <c r="U116" s="62"/>
      <c r="V116" s="62"/>
      <c r="W116" s="62"/>
      <c r="X116" s="62"/>
      <c r="Y116" s="62"/>
      <c r="Z116" s="62"/>
      <c r="AA116" s="62"/>
      <c r="AB116" s="62"/>
      <c r="AC116" s="62"/>
      <c r="AD116" s="62"/>
      <c r="AE116" s="62"/>
      <c r="AF116" s="62"/>
      <c r="AG116" s="33"/>
      <c r="AH116" s="33"/>
      <c r="AI116" s="33"/>
    </row>
    <row r="117" spans="1:35" ht="13.5" customHeight="1" x14ac:dyDescent="0.15">
      <c r="A117" s="53"/>
      <c r="B117" s="54"/>
      <c r="C117" s="55"/>
      <c r="D117" s="55" t="str">
        <f>IFERROR(VLOOKUP($C117,烤漆色號編碼!$A:$C,2,FALSE),"-")</f>
        <v>-</v>
      </c>
      <c r="E117" s="55" t="str">
        <f>IFERROR(VLOOKUP($C117,當前庫存!$C:$I,5,FALSE),"-")</f>
        <v>-</v>
      </c>
      <c r="F117" s="56"/>
      <c r="G117" s="56"/>
      <c r="H117" s="55" t="str">
        <f>IFERROR(VLOOKUP($C117,烤漆色號編碼!$A:$D,4,FALSE)*每日用粉紀錄表!$F117+每日用粉紀錄表!$G117,"-")</f>
        <v>-</v>
      </c>
      <c r="I117" s="57"/>
      <c r="J117" s="58" t="str">
        <f>IFERROR(每日用粉紀錄表!$H117-每日用粉紀錄表!$I117,"-")</f>
        <v>-</v>
      </c>
      <c r="K117" s="59"/>
      <c r="L117" s="60"/>
      <c r="M117" s="61"/>
      <c r="N117" s="55"/>
      <c r="O117" s="55"/>
      <c r="P117" s="62"/>
      <c r="Q117" s="62"/>
      <c r="R117" s="62"/>
      <c r="S117" s="62"/>
      <c r="T117" s="62"/>
      <c r="U117" s="62"/>
      <c r="V117" s="62"/>
      <c r="W117" s="62"/>
      <c r="X117" s="62"/>
      <c r="Y117" s="62"/>
      <c r="Z117" s="62"/>
      <c r="AA117" s="62"/>
      <c r="AB117" s="62"/>
      <c r="AC117" s="62"/>
      <c r="AD117" s="62"/>
      <c r="AE117" s="62"/>
      <c r="AF117" s="62"/>
      <c r="AG117" s="33"/>
      <c r="AH117" s="33"/>
      <c r="AI117" s="33"/>
    </row>
    <row r="118" spans="1:35" ht="13.5" customHeight="1" x14ac:dyDescent="0.15">
      <c r="A118" s="53"/>
      <c r="B118" s="54"/>
      <c r="C118" s="55"/>
      <c r="D118" s="55" t="str">
        <f>IFERROR(VLOOKUP($C118,烤漆色號編碼!$A:$C,2,FALSE),"-")</f>
        <v>-</v>
      </c>
      <c r="E118" s="55" t="str">
        <f>IFERROR(VLOOKUP($C118,當前庫存!$C:$I,5,FALSE),"-")</f>
        <v>-</v>
      </c>
      <c r="F118" s="56"/>
      <c r="G118" s="56"/>
      <c r="H118" s="55" t="str">
        <f>IFERROR(VLOOKUP($C118,烤漆色號編碼!$A:$D,4,FALSE)*每日用粉紀錄表!$F118+每日用粉紀錄表!$G118,"-")</f>
        <v>-</v>
      </c>
      <c r="I118" s="57"/>
      <c r="J118" s="58" t="str">
        <f>IFERROR(每日用粉紀錄表!$H118-每日用粉紀錄表!$I118,"-")</f>
        <v>-</v>
      </c>
      <c r="K118" s="59"/>
      <c r="L118" s="60"/>
      <c r="M118" s="61"/>
      <c r="N118" s="55"/>
      <c r="O118" s="55"/>
      <c r="P118" s="62"/>
      <c r="Q118" s="62"/>
      <c r="R118" s="62"/>
      <c r="S118" s="62"/>
      <c r="T118" s="62"/>
      <c r="U118" s="62"/>
      <c r="V118" s="62"/>
      <c r="W118" s="62"/>
      <c r="X118" s="62"/>
      <c r="Y118" s="62"/>
      <c r="Z118" s="62"/>
      <c r="AA118" s="62"/>
      <c r="AB118" s="62"/>
      <c r="AC118" s="62"/>
      <c r="AD118" s="62"/>
      <c r="AE118" s="62"/>
      <c r="AF118" s="62"/>
      <c r="AG118" s="33"/>
      <c r="AH118" s="33"/>
      <c r="AI118" s="33"/>
    </row>
    <row r="119" spans="1:35" ht="13.5" customHeight="1" x14ac:dyDescent="0.15">
      <c r="A119" s="53"/>
      <c r="B119" s="54"/>
      <c r="C119" s="55"/>
      <c r="D119" s="55" t="str">
        <f>IFERROR(VLOOKUP($C119,烤漆色號編碼!$A:$C,2,FALSE),"-")</f>
        <v>-</v>
      </c>
      <c r="E119" s="55" t="str">
        <f>IFERROR(VLOOKUP($C119,當前庫存!$C:$I,5,FALSE),"-")</f>
        <v>-</v>
      </c>
      <c r="F119" s="56"/>
      <c r="G119" s="56"/>
      <c r="H119" s="55" t="str">
        <f>IFERROR(VLOOKUP($C119,烤漆色號編碼!$A:$D,4,FALSE)*每日用粉紀錄表!$F119+每日用粉紀錄表!$G119,"-")</f>
        <v>-</v>
      </c>
      <c r="I119" s="57"/>
      <c r="J119" s="58" t="str">
        <f>IFERROR(每日用粉紀錄表!$H119-每日用粉紀錄表!$I119,"-")</f>
        <v>-</v>
      </c>
      <c r="K119" s="59"/>
      <c r="L119" s="60"/>
      <c r="M119" s="61"/>
      <c r="N119" s="55"/>
      <c r="O119" s="55"/>
      <c r="P119" s="62"/>
      <c r="Q119" s="62"/>
      <c r="R119" s="62"/>
      <c r="S119" s="62"/>
      <c r="T119" s="62"/>
      <c r="U119" s="62"/>
      <c r="V119" s="62"/>
      <c r="W119" s="62"/>
      <c r="X119" s="62"/>
      <c r="Y119" s="62"/>
      <c r="Z119" s="62"/>
      <c r="AA119" s="62"/>
      <c r="AB119" s="62"/>
      <c r="AC119" s="62"/>
      <c r="AD119" s="62"/>
      <c r="AE119" s="62"/>
      <c r="AF119" s="62"/>
      <c r="AG119" s="33"/>
      <c r="AH119" s="33"/>
      <c r="AI119" s="33"/>
    </row>
    <row r="120" spans="1:35" ht="13.5" customHeight="1" x14ac:dyDescent="0.15">
      <c r="A120" s="53"/>
      <c r="B120" s="54"/>
      <c r="C120" s="55"/>
      <c r="D120" s="55" t="str">
        <f>IFERROR(VLOOKUP($C120,烤漆色號編碼!$A:$C,2,FALSE),"-")</f>
        <v>-</v>
      </c>
      <c r="E120" s="55" t="str">
        <f>IFERROR(VLOOKUP($C120,當前庫存!$C:$I,5,FALSE),"-")</f>
        <v>-</v>
      </c>
      <c r="F120" s="56"/>
      <c r="G120" s="56"/>
      <c r="H120" s="55" t="str">
        <f>IFERROR(VLOOKUP($C120,烤漆色號編碼!$A:$D,4,FALSE)*每日用粉紀錄表!$F120+每日用粉紀錄表!$G120,"-")</f>
        <v>-</v>
      </c>
      <c r="I120" s="57"/>
      <c r="J120" s="58" t="str">
        <f>IFERROR(每日用粉紀錄表!$H120-每日用粉紀錄表!$I120,"-")</f>
        <v>-</v>
      </c>
      <c r="K120" s="59"/>
      <c r="L120" s="60"/>
      <c r="M120" s="61"/>
      <c r="N120" s="55"/>
      <c r="O120" s="55"/>
      <c r="P120" s="62"/>
      <c r="Q120" s="62"/>
      <c r="R120" s="62"/>
      <c r="S120" s="62"/>
      <c r="T120" s="62"/>
      <c r="U120" s="62"/>
      <c r="V120" s="62"/>
      <c r="W120" s="62"/>
      <c r="X120" s="62"/>
      <c r="Y120" s="62"/>
      <c r="Z120" s="62"/>
      <c r="AA120" s="62"/>
      <c r="AB120" s="62"/>
      <c r="AC120" s="62"/>
      <c r="AD120" s="62"/>
      <c r="AE120" s="62"/>
      <c r="AF120" s="62"/>
      <c r="AG120" s="33"/>
      <c r="AH120" s="33"/>
      <c r="AI120" s="33"/>
    </row>
    <row r="121" spans="1:35" ht="13.5" customHeight="1" x14ac:dyDescent="0.15">
      <c r="A121" s="53"/>
      <c r="B121" s="54"/>
      <c r="C121" s="55"/>
      <c r="D121" s="55" t="str">
        <f>IFERROR(VLOOKUP($C121,烤漆色號編碼!$A:$C,2,FALSE),"-")</f>
        <v>-</v>
      </c>
      <c r="E121" s="55" t="str">
        <f>IFERROR(VLOOKUP($C121,當前庫存!$C:$I,5,FALSE),"-")</f>
        <v>-</v>
      </c>
      <c r="F121" s="56"/>
      <c r="G121" s="56"/>
      <c r="H121" s="55" t="str">
        <f>IFERROR(VLOOKUP($C121,烤漆色號編碼!$A:$D,4,FALSE)*每日用粉紀錄表!$F121+每日用粉紀錄表!$G121,"-")</f>
        <v>-</v>
      </c>
      <c r="I121" s="57"/>
      <c r="J121" s="58" t="str">
        <f>IFERROR(每日用粉紀錄表!$H121-每日用粉紀錄表!$I121,"-")</f>
        <v>-</v>
      </c>
      <c r="K121" s="59"/>
      <c r="L121" s="60"/>
      <c r="M121" s="61"/>
      <c r="N121" s="55"/>
      <c r="O121" s="55"/>
      <c r="P121" s="62"/>
      <c r="Q121" s="62"/>
      <c r="R121" s="62"/>
      <c r="S121" s="62"/>
      <c r="T121" s="62"/>
      <c r="U121" s="62"/>
      <c r="V121" s="62"/>
      <c r="W121" s="62"/>
      <c r="X121" s="62"/>
      <c r="Y121" s="62"/>
      <c r="Z121" s="62"/>
      <c r="AA121" s="62"/>
      <c r="AB121" s="62"/>
      <c r="AC121" s="62"/>
      <c r="AD121" s="62"/>
      <c r="AE121" s="62"/>
      <c r="AF121" s="62"/>
      <c r="AG121" s="33"/>
      <c r="AH121" s="33"/>
      <c r="AI121" s="33"/>
    </row>
    <row r="122" spans="1:35" ht="13.5" customHeight="1" x14ac:dyDescent="0.15">
      <c r="A122" s="53"/>
      <c r="B122" s="54"/>
      <c r="C122" s="55"/>
      <c r="D122" s="55" t="str">
        <f>IFERROR(VLOOKUP($C122,烤漆色號編碼!$A:$C,2,FALSE),"-")</f>
        <v>-</v>
      </c>
      <c r="E122" s="55" t="str">
        <f>IFERROR(VLOOKUP($C122,當前庫存!$C:$I,5,FALSE),"-")</f>
        <v>-</v>
      </c>
      <c r="F122" s="56"/>
      <c r="G122" s="56"/>
      <c r="H122" s="55" t="str">
        <f>IFERROR(VLOOKUP($C122,烤漆色號編碼!$A:$D,4,FALSE)*每日用粉紀錄表!$F122+每日用粉紀錄表!$G122,"-")</f>
        <v>-</v>
      </c>
      <c r="I122" s="57"/>
      <c r="J122" s="58" t="str">
        <f>IFERROR(每日用粉紀錄表!$H122-每日用粉紀錄表!$I122,"-")</f>
        <v>-</v>
      </c>
      <c r="K122" s="59"/>
      <c r="L122" s="60"/>
      <c r="M122" s="61"/>
      <c r="N122" s="55"/>
      <c r="O122" s="55"/>
      <c r="P122" s="62"/>
      <c r="Q122" s="62"/>
      <c r="R122" s="62"/>
      <c r="S122" s="62"/>
      <c r="T122" s="62"/>
      <c r="U122" s="62"/>
      <c r="V122" s="62"/>
      <c r="W122" s="62"/>
      <c r="X122" s="62"/>
      <c r="Y122" s="62"/>
      <c r="Z122" s="62"/>
      <c r="AA122" s="62"/>
      <c r="AB122" s="62"/>
      <c r="AC122" s="62"/>
      <c r="AD122" s="62"/>
      <c r="AE122" s="62"/>
      <c r="AF122" s="62"/>
      <c r="AG122" s="33"/>
      <c r="AH122" s="33"/>
      <c r="AI122" s="33"/>
    </row>
    <row r="123" spans="1:35" ht="13.5" customHeight="1" x14ac:dyDescent="0.15">
      <c r="A123" s="53"/>
      <c r="B123" s="54"/>
      <c r="C123" s="55"/>
      <c r="D123" s="55" t="str">
        <f>IFERROR(VLOOKUP($C123,烤漆色號編碼!$A:$C,2,FALSE),"-")</f>
        <v>-</v>
      </c>
      <c r="E123" s="55" t="str">
        <f>IFERROR(VLOOKUP($C123,當前庫存!$C:$I,5,FALSE),"-")</f>
        <v>-</v>
      </c>
      <c r="F123" s="56"/>
      <c r="G123" s="56"/>
      <c r="H123" s="55" t="str">
        <f>IFERROR(VLOOKUP($C123,烤漆色號編碼!$A:$D,4,FALSE)*每日用粉紀錄表!$F123+每日用粉紀錄表!$G123,"-")</f>
        <v>-</v>
      </c>
      <c r="I123" s="57"/>
      <c r="J123" s="58" t="str">
        <f>IFERROR(每日用粉紀錄表!$H123-每日用粉紀錄表!$I123,"-")</f>
        <v>-</v>
      </c>
      <c r="K123" s="59"/>
      <c r="L123" s="60"/>
      <c r="M123" s="61"/>
      <c r="N123" s="55"/>
      <c r="O123" s="55"/>
      <c r="P123" s="62"/>
      <c r="Q123" s="62"/>
      <c r="R123" s="62"/>
      <c r="S123" s="62"/>
      <c r="T123" s="62"/>
      <c r="U123" s="62"/>
      <c r="V123" s="62"/>
      <c r="W123" s="62"/>
      <c r="X123" s="62"/>
      <c r="Y123" s="62"/>
      <c r="Z123" s="62"/>
      <c r="AA123" s="62"/>
      <c r="AB123" s="62"/>
      <c r="AC123" s="62"/>
      <c r="AD123" s="62"/>
      <c r="AE123" s="62"/>
      <c r="AF123" s="62"/>
      <c r="AG123" s="33"/>
      <c r="AH123" s="33"/>
      <c r="AI123" s="33"/>
    </row>
    <row r="124" spans="1:35" ht="13.5" customHeight="1" x14ac:dyDescent="0.15">
      <c r="A124" s="53"/>
      <c r="B124" s="54"/>
      <c r="C124" s="55"/>
      <c r="D124" s="55" t="str">
        <f>IFERROR(VLOOKUP($C124,烤漆色號編碼!$A:$C,2,FALSE),"-")</f>
        <v>-</v>
      </c>
      <c r="E124" s="55" t="str">
        <f>IFERROR(VLOOKUP($C124,當前庫存!$C:$I,5,FALSE),"-")</f>
        <v>-</v>
      </c>
      <c r="F124" s="56"/>
      <c r="G124" s="56"/>
      <c r="H124" s="55" t="str">
        <f>IFERROR(VLOOKUP($C124,烤漆色號編碼!$A:$D,4,FALSE)*每日用粉紀錄表!$F124+每日用粉紀錄表!$G124,"-")</f>
        <v>-</v>
      </c>
      <c r="I124" s="57"/>
      <c r="J124" s="58" t="str">
        <f>IFERROR(每日用粉紀錄表!$H124-每日用粉紀錄表!$I124,"-")</f>
        <v>-</v>
      </c>
      <c r="K124" s="59"/>
      <c r="L124" s="60"/>
      <c r="M124" s="61"/>
      <c r="N124" s="55"/>
      <c r="O124" s="55"/>
      <c r="P124" s="62"/>
      <c r="Q124" s="62"/>
      <c r="R124" s="62"/>
      <c r="S124" s="62"/>
      <c r="T124" s="62"/>
      <c r="U124" s="62"/>
      <c r="V124" s="62"/>
      <c r="W124" s="62"/>
      <c r="X124" s="62"/>
      <c r="Y124" s="62"/>
      <c r="Z124" s="62"/>
      <c r="AA124" s="62"/>
      <c r="AB124" s="62"/>
      <c r="AC124" s="62"/>
      <c r="AD124" s="62"/>
      <c r="AE124" s="62"/>
      <c r="AF124" s="62"/>
      <c r="AG124" s="33"/>
      <c r="AH124" s="33"/>
      <c r="AI124" s="33"/>
    </row>
    <row r="125" spans="1:35" ht="13.5" customHeight="1" x14ac:dyDescent="0.15">
      <c r="A125" s="53"/>
      <c r="B125" s="54"/>
      <c r="C125" s="55"/>
      <c r="D125" s="55" t="str">
        <f>IFERROR(VLOOKUP($C125,烤漆色號編碼!$A:$C,2,FALSE),"-")</f>
        <v>-</v>
      </c>
      <c r="E125" s="55" t="str">
        <f>IFERROR(VLOOKUP($C125,當前庫存!$C:$I,5,FALSE),"-")</f>
        <v>-</v>
      </c>
      <c r="F125" s="56"/>
      <c r="G125" s="56"/>
      <c r="H125" s="55" t="str">
        <f>IFERROR(VLOOKUP($C125,烤漆色號編碼!$A:$D,4,FALSE)*每日用粉紀錄表!$F125+每日用粉紀錄表!$G125,"-")</f>
        <v>-</v>
      </c>
      <c r="I125" s="57"/>
      <c r="J125" s="58" t="str">
        <f>IFERROR(每日用粉紀錄表!$H125-每日用粉紀錄表!$I125,"-")</f>
        <v>-</v>
      </c>
      <c r="K125" s="59"/>
      <c r="L125" s="60"/>
      <c r="M125" s="61"/>
      <c r="N125" s="55"/>
      <c r="O125" s="55"/>
      <c r="P125" s="62"/>
      <c r="Q125" s="62"/>
      <c r="R125" s="62"/>
      <c r="S125" s="62"/>
      <c r="T125" s="62"/>
      <c r="U125" s="62"/>
      <c r="V125" s="62"/>
      <c r="W125" s="62"/>
      <c r="X125" s="62"/>
      <c r="Y125" s="62"/>
      <c r="Z125" s="62"/>
      <c r="AA125" s="62"/>
      <c r="AB125" s="62"/>
      <c r="AC125" s="62"/>
      <c r="AD125" s="62"/>
      <c r="AE125" s="62"/>
      <c r="AF125" s="62"/>
      <c r="AG125" s="33"/>
      <c r="AH125" s="33"/>
      <c r="AI125" s="33"/>
    </row>
    <row r="126" spans="1:35" ht="13.5" customHeight="1" x14ac:dyDescent="0.15">
      <c r="A126" s="53"/>
      <c r="B126" s="54"/>
      <c r="C126" s="55"/>
      <c r="D126" s="55" t="str">
        <f>IFERROR(VLOOKUP($C126,烤漆色號編碼!$A:$C,2,FALSE),"-")</f>
        <v>-</v>
      </c>
      <c r="E126" s="55" t="str">
        <f>IFERROR(VLOOKUP($C126,當前庫存!$C:$I,5,FALSE),"-")</f>
        <v>-</v>
      </c>
      <c r="F126" s="56"/>
      <c r="G126" s="56"/>
      <c r="H126" s="55" t="str">
        <f>IFERROR(VLOOKUP($C126,烤漆色號編碼!$A:$D,4,FALSE)*每日用粉紀錄表!$F126+每日用粉紀錄表!$G126,"-")</f>
        <v>-</v>
      </c>
      <c r="I126" s="57"/>
      <c r="J126" s="58" t="str">
        <f>IFERROR(每日用粉紀錄表!$H126-每日用粉紀錄表!$I126,"-")</f>
        <v>-</v>
      </c>
      <c r="K126" s="59"/>
      <c r="L126" s="60"/>
      <c r="M126" s="61"/>
      <c r="N126" s="55"/>
      <c r="O126" s="55"/>
      <c r="P126" s="62"/>
      <c r="Q126" s="62"/>
      <c r="R126" s="62"/>
      <c r="S126" s="62"/>
      <c r="T126" s="62"/>
      <c r="U126" s="62"/>
      <c r="V126" s="62"/>
      <c r="W126" s="62"/>
      <c r="X126" s="62"/>
      <c r="Y126" s="62"/>
      <c r="Z126" s="62"/>
      <c r="AA126" s="62"/>
      <c r="AB126" s="62"/>
      <c r="AC126" s="62"/>
      <c r="AD126" s="62"/>
      <c r="AE126" s="62"/>
      <c r="AF126" s="62"/>
      <c r="AG126" s="33"/>
      <c r="AH126" s="33"/>
      <c r="AI126" s="33"/>
    </row>
  </sheetData>
  <mergeCells count="1">
    <mergeCell ref="B2:J2"/>
  </mergeCells>
  <conditionalFormatting sqref="C1 C4:C126">
    <cfRule type="containsText" dxfId="34" priority="1" operator="containsText" text="樣粉">
      <formula>NOT(ISERROR(SEARCH(("樣粉"),(C1))))</formula>
    </cfRule>
    <cfRule type="containsText" dxfId="33" priority="2" operator="containsText" text="無烤漆">
      <formula>NOT(ISERROR(SEARCH(("無烤漆"),(C1))))</formula>
    </cfRule>
    <cfRule type="containsText" dxfId="32" priority="3" operator="containsText" text="颱風">
      <formula>NOT(ISERROR(SEARCH(("颱風"),(C1))))</formula>
    </cfRule>
    <cfRule type="containsText" dxfId="31" priority="4" operator="containsText" text="例">
      <formula>NOT(ISERROR(SEARCH(("例"),(C1))))</formula>
    </cfRule>
    <cfRule type="containsText" dxfId="30" priority="5" operator="containsText" text="國定">
      <formula>NOT(ISERROR(SEARCH(("國定"),(C1))))</formula>
    </cfRule>
    <cfRule type="containsText" dxfId="29" priority="6" operator="containsText" text="年假">
      <formula>NOT(ISERROR(SEARCH(("年假"),(C1))))</formula>
    </cfRule>
    <cfRule type="containsText" dxfId="28" priority="7" operator="containsText" text="例假日">
      <formula>NOT(ISERROR(SEARCH(("例假日"),(C1))))</formula>
    </cfRule>
    <cfRule type="containsText" dxfId="27" priority="8" operator="containsText" text="颱風假">
      <formula>NOT(ISERROR(SEARCH(("颱風假"),(C1))))</formula>
    </cfRule>
    <cfRule type="containsText" dxfId="26" priority="9" operator="containsText" text="無烤漆">
      <formula>NOT(ISERROR(SEARCH(("無烤漆"),(C1))))</formula>
    </cfRule>
    <cfRule type="containsText" dxfId="25" priority="10" operator="containsText" text="國定假日">
      <formula>NOT(ISERROR(SEARCH(("國定假日"),(C1))))</formula>
    </cfRule>
  </conditionalFormatting>
  <conditionalFormatting sqref="E4:E126">
    <cfRule type="cellIs" dxfId="24" priority="11" operator="equal">
      <formula>0</formula>
    </cfRule>
  </conditionalFormatting>
  <conditionalFormatting sqref="M5:M126">
    <cfRule type="containsText" dxfId="23" priority="12" operator="containsText" text="不">
      <formula>NOT(ISERROR(SEARCH(("不"),(M5))))</formula>
    </cfRule>
  </conditionalFormatting>
  <dataValidations count="2">
    <dataValidation type="list" allowBlank="1" showErrorMessage="1" sqref="M1:M126" xr:uid="{00000000-0002-0000-0300-000001000000}">
      <formula1>"不回收,回收"</formula1>
    </dataValidation>
    <dataValidation type="list" allowBlank="1" sqref="K2:K89 K97:K126" xr:uid="{00000000-0002-0000-0300-000002000000}">
      <formula1>"全,上,下"</formula1>
    </dataValidation>
  </dataValidations>
  <pageMargins left="0.7" right="0.7" top="0.75" bottom="0.75" header="0" footer="0"/>
  <pageSetup paperSize="9" fitToWidth="0" fitToHeight="0"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烤漆色號編碼!$A:$A</xm:f>
          </x14:formula1>
          <xm:sqref>C5:C126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244"/>
  <sheetViews>
    <sheetView tabSelected="1" workbookViewId="0">
      <selection activeCell="A9" sqref="A9:A12"/>
    </sheetView>
  </sheetViews>
  <sheetFormatPr defaultColWidth="13.97265625" defaultRowHeight="15" customHeight="1" x14ac:dyDescent="0.15"/>
  <cols>
    <col min="1" max="1" width="11.765625" customWidth="1"/>
    <col min="2" max="2" width="6.49609375" style="89" bestFit="1" customWidth="1"/>
    <col min="3" max="3" width="5.76171875" style="90" customWidth="1"/>
    <col min="4" max="33" width="5.76171875" customWidth="1"/>
    <col min="34" max="36" width="3.921875" bestFit="1" customWidth="1"/>
    <col min="37" max="38" width="10.05078125" bestFit="1" customWidth="1"/>
  </cols>
  <sheetData>
    <row r="1" spans="1:53" s="91" customFormat="1" ht="43.5" customHeight="1" x14ac:dyDescent="0.15">
      <c r="A1" s="206" t="str">
        <f>"寶凱噴房用粉"&amp;$D$2&amp;"年"&amp;$G$2&amp;"月紀錄表"</f>
        <v>寶凱噴房用粉2025年5月紀錄表</v>
      </c>
      <c r="B1" s="207"/>
      <c r="C1" s="208"/>
      <c r="D1" s="209"/>
      <c r="E1" s="209"/>
      <c r="F1" s="209"/>
      <c r="G1" s="209"/>
      <c r="H1" s="209"/>
      <c r="I1" s="209"/>
      <c r="J1" s="209"/>
      <c r="K1" s="209"/>
      <c r="L1" s="209"/>
      <c r="M1" s="209"/>
      <c r="N1" s="209"/>
      <c r="O1" s="209"/>
      <c r="P1" s="209"/>
      <c r="Q1" s="209"/>
      <c r="R1" s="209"/>
    </row>
    <row r="2" spans="1:53" s="92" customFormat="1" ht="20.25" customHeight="1" x14ac:dyDescent="0.15">
      <c r="A2" s="203" t="s">
        <v>352</v>
      </c>
      <c r="B2" s="203"/>
      <c r="C2" s="204"/>
      <c r="D2" s="203">
        <v>2025</v>
      </c>
      <c r="E2" s="205"/>
      <c r="F2" s="93" t="s">
        <v>353</v>
      </c>
      <c r="G2" s="93">
        <v>5</v>
      </c>
      <c r="H2" s="93" t="s">
        <v>354</v>
      </c>
      <c r="I2" s="94"/>
      <c r="J2" s="94"/>
      <c r="K2" s="94"/>
      <c r="L2" s="94"/>
      <c r="M2" s="94"/>
      <c r="N2" s="94"/>
      <c r="O2" s="94"/>
      <c r="P2" s="94"/>
      <c r="AK2" s="94" t="s">
        <v>355</v>
      </c>
      <c r="AL2" s="94" t="s">
        <v>356</v>
      </c>
    </row>
    <row r="3" spans="1:53" s="95" customFormat="1" ht="20.25" customHeight="1" x14ac:dyDescent="0.15">
      <c r="A3" s="202"/>
      <c r="B3" s="96"/>
      <c r="C3" s="97">
        <f>DATE($D$2,$G$2,1)</f>
        <v>45778</v>
      </c>
      <c r="D3" s="98">
        <f>C3+1</f>
        <v>45779</v>
      </c>
      <c r="E3" s="98">
        <f>D3+1</f>
        <v>45780</v>
      </c>
      <c r="F3" s="98">
        <f>E3+1</f>
        <v>45781</v>
      </c>
      <c r="G3" s="98">
        <f>F3+1</f>
        <v>45782</v>
      </c>
      <c r="H3" s="98">
        <f>G3+1</f>
        <v>45783</v>
      </c>
      <c r="I3" s="98">
        <f>H3+1</f>
        <v>45784</v>
      </c>
      <c r="J3" s="98">
        <f>I3+1</f>
        <v>45785</v>
      </c>
      <c r="K3" s="98">
        <f>J3+1</f>
        <v>45786</v>
      </c>
      <c r="L3" s="98">
        <f>K3+1</f>
        <v>45787</v>
      </c>
      <c r="M3" s="98">
        <f>L3+1</f>
        <v>45788</v>
      </c>
      <c r="N3" s="98">
        <f>M3+1</f>
        <v>45789</v>
      </c>
      <c r="O3" s="98">
        <f>N3+1</f>
        <v>45790</v>
      </c>
      <c r="P3" s="98">
        <f>O3+1</f>
        <v>45791</v>
      </c>
      <c r="Q3" s="98">
        <f>P3+1</f>
        <v>45792</v>
      </c>
      <c r="R3" s="98">
        <f>Q3+1</f>
        <v>45793</v>
      </c>
      <c r="S3" s="98">
        <f>R3+1</f>
        <v>45794</v>
      </c>
      <c r="T3" s="98">
        <f>S3+1</f>
        <v>45795</v>
      </c>
      <c r="U3" s="98">
        <f>T3+1</f>
        <v>45796</v>
      </c>
      <c r="V3" s="98">
        <f>U3+1</f>
        <v>45797</v>
      </c>
      <c r="W3" s="98">
        <f>V3+1</f>
        <v>45798</v>
      </c>
      <c r="X3" s="98">
        <f>W3+1</f>
        <v>45799</v>
      </c>
      <c r="Y3" s="98">
        <f>X3+1</f>
        <v>45800</v>
      </c>
      <c r="Z3" s="98">
        <f>Y3+1</f>
        <v>45801</v>
      </c>
      <c r="AA3" s="98">
        <f>Z3+1</f>
        <v>45802</v>
      </c>
      <c r="AB3" s="98">
        <f>AA3+1</f>
        <v>45803</v>
      </c>
      <c r="AC3" s="98">
        <f>AB3+1</f>
        <v>45804</v>
      </c>
      <c r="AD3" s="98">
        <f>AC3+1</f>
        <v>45805</v>
      </c>
      <c r="AE3" s="98">
        <f>AD3+1</f>
        <v>45806</v>
      </c>
      <c r="AF3" s="98">
        <f>AE3+1</f>
        <v>45807</v>
      </c>
      <c r="AG3" s="98">
        <f>AF3+1</f>
        <v>45808</v>
      </c>
      <c r="AH3" s="98"/>
      <c r="AI3" s="98"/>
      <c r="AJ3" s="98"/>
      <c r="AK3" s="99">
        <v>2022</v>
      </c>
      <c r="AL3" s="98">
        <v>1</v>
      </c>
      <c r="AM3" s="98"/>
      <c r="AN3" s="98"/>
      <c r="AO3" s="98"/>
      <c r="AP3" s="98"/>
      <c r="AQ3" s="98"/>
      <c r="AR3" s="98"/>
      <c r="AS3" s="98"/>
      <c r="AT3" s="98"/>
      <c r="AU3" s="98"/>
      <c r="AV3" s="98"/>
      <c r="AW3" s="98"/>
      <c r="AX3" s="98"/>
      <c r="AY3" s="98"/>
      <c r="AZ3" s="98"/>
      <c r="BA3" s="98"/>
    </row>
    <row r="4" spans="1:53" s="95" customFormat="1" ht="20.25" customHeight="1" x14ac:dyDescent="0.15">
      <c r="A4" s="202"/>
      <c r="B4" s="96"/>
      <c r="C4" s="100">
        <f>C3</f>
        <v>45778</v>
      </c>
      <c r="D4" s="100">
        <f>D3</f>
        <v>45779</v>
      </c>
      <c r="E4" s="100">
        <f>E3</f>
        <v>45780</v>
      </c>
      <c r="F4" s="100">
        <f>F3</f>
        <v>45781</v>
      </c>
      <c r="G4" s="100">
        <f>G3</f>
        <v>45782</v>
      </c>
      <c r="H4" s="100">
        <f>H3</f>
        <v>45783</v>
      </c>
      <c r="I4" s="100">
        <f>I3</f>
        <v>45784</v>
      </c>
      <c r="J4" s="100">
        <f>J3</f>
        <v>45785</v>
      </c>
      <c r="K4" s="100">
        <f>K3</f>
        <v>45786</v>
      </c>
      <c r="L4" s="100">
        <f>L3</f>
        <v>45787</v>
      </c>
      <c r="M4" s="100">
        <f>M3</f>
        <v>45788</v>
      </c>
      <c r="N4" s="100">
        <f>N3</f>
        <v>45789</v>
      </c>
      <c r="O4" s="100">
        <f>O3</f>
        <v>45790</v>
      </c>
      <c r="P4" s="100">
        <f>P3</f>
        <v>45791</v>
      </c>
      <c r="Q4" s="100">
        <f>Q3</f>
        <v>45792</v>
      </c>
      <c r="R4" s="100">
        <f>R3</f>
        <v>45793</v>
      </c>
      <c r="S4" s="100">
        <f>S3</f>
        <v>45794</v>
      </c>
      <c r="T4" s="100">
        <f>T3</f>
        <v>45795</v>
      </c>
      <c r="U4" s="100">
        <f>U3</f>
        <v>45796</v>
      </c>
      <c r="V4" s="100">
        <f>V3</f>
        <v>45797</v>
      </c>
      <c r="W4" s="100">
        <f>W3</f>
        <v>45798</v>
      </c>
      <c r="X4" s="100">
        <f>X3</f>
        <v>45799</v>
      </c>
      <c r="Y4" s="100">
        <f>Y3</f>
        <v>45800</v>
      </c>
      <c r="Z4" s="100">
        <f>Z3</f>
        <v>45801</v>
      </c>
      <c r="AA4" s="100">
        <f>AA3</f>
        <v>45802</v>
      </c>
      <c r="AB4" s="100">
        <f>AB3</f>
        <v>45803</v>
      </c>
      <c r="AC4" s="100">
        <f>AC3</f>
        <v>45804</v>
      </c>
      <c r="AD4" s="100">
        <f>AD3</f>
        <v>45805</v>
      </c>
      <c r="AE4" s="100">
        <f>AE3</f>
        <v>45806</v>
      </c>
      <c r="AF4" s="100">
        <f>AF3</f>
        <v>45807</v>
      </c>
      <c r="AG4" s="100">
        <f>AG3</f>
        <v>45808</v>
      </c>
      <c r="AH4" s="100"/>
      <c r="AI4" s="100"/>
      <c r="AJ4" s="100"/>
      <c r="AK4" s="95">
        <f>AK3+1</f>
        <v>2023</v>
      </c>
      <c r="AL4" s="95">
        <f>AL3+1</f>
        <v>2</v>
      </c>
      <c r="AM4"/>
    </row>
    <row r="5" spans="1:53" s="101" customFormat="1" ht="20.25" customHeight="1" x14ac:dyDescent="0.15">
      <c r="A5" s="201" t="str">
        <f>IF(烤漆色號編碼!A2="","-",烤漆色號編碼!A2)</f>
        <v>DP-11485</v>
      </c>
      <c r="B5" s="95" t="s">
        <v>371</v>
      </c>
      <c r="C5" s="102"/>
      <c r="AK5" s="101">
        <f>AK4+1</f>
        <v>2024</v>
      </c>
      <c r="AL5" s="101">
        <f>AL4+1</f>
        <v>3</v>
      </c>
      <c r="AM5"/>
    </row>
    <row r="6" spans="1:53" s="101" customFormat="1" ht="20.25" customHeight="1" x14ac:dyDescent="0.15">
      <c r="A6" s="201"/>
      <c r="B6" s="95" t="s">
        <v>324</v>
      </c>
      <c r="C6" s="102"/>
      <c r="AK6" s="101">
        <f>AK5+1</f>
        <v>2025</v>
      </c>
      <c r="AL6" s="101">
        <f>AL5+1</f>
        <v>4</v>
      </c>
      <c r="AM6"/>
    </row>
    <row r="7" spans="1:53" s="101" customFormat="1" ht="20.25" customHeight="1" x14ac:dyDescent="0.15">
      <c r="A7" s="201"/>
      <c r="B7" s="95" t="s">
        <v>451</v>
      </c>
      <c r="C7" s="102"/>
      <c r="AK7" s="101">
        <f>AK6+1</f>
        <v>2026</v>
      </c>
      <c r="AL7" s="101">
        <f>AL6+1</f>
        <v>5</v>
      </c>
      <c r="AM7"/>
    </row>
    <row r="8" spans="1:53" s="101" customFormat="1" ht="20.25" customHeight="1" x14ac:dyDescent="0.15">
      <c r="A8" s="201"/>
      <c r="B8" s="95" t="s">
        <v>326</v>
      </c>
      <c r="C8" s="102"/>
      <c r="AK8" s="101">
        <f>AK7+1</f>
        <v>2027</v>
      </c>
      <c r="AL8" s="101">
        <f>AL7+1</f>
        <v>6</v>
      </c>
      <c r="AM8"/>
    </row>
    <row r="9" spans="1:53" s="101" customFormat="1" ht="20.25" customHeight="1" x14ac:dyDescent="0.15">
      <c r="A9" s="201" t="str">
        <f>IF(烤漆色號編碼!A3="","-",烤漆色號編碼!A3)</f>
        <v>DP-1856</v>
      </c>
      <c r="B9" s="95" t="str">
        <f>$B$5</f>
        <v>箱數</v>
      </c>
      <c r="C9" s="102"/>
      <c r="AK9" s="101">
        <f>AK8+1</f>
        <v>2028</v>
      </c>
      <c r="AL9" s="101">
        <f>AL8+1</f>
        <v>7</v>
      </c>
      <c r="AM9"/>
    </row>
    <row r="10" spans="1:53" s="101" customFormat="1" ht="20.25" customHeight="1" x14ac:dyDescent="0.15">
      <c r="A10" s="201"/>
      <c r="B10" s="95" t="str">
        <f>$B$6</f>
        <v>散粉</v>
      </c>
      <c r="C10" s="102"/>
      <c r="AK10" s="101">
        <f>AK9+1</f>
        <v>2029</v>
      </c>
      <c r="AL10" s="101">
        <f>AL9+1</f>
        <v>8</v>
      </c>
      <c r="AM10"/>
    </row>
    <row r="11" spans="1:53" s="101" customFormat="1" ht="20.25" customHeight="1" x14ac:dyDescent="0.15">
      <c r="A11" s="201"/>
      <c r="B11" s="95" t="str">
        <f>$B$7</f>
        <v>總用量</v>
      </c>
      <c r="C11" s="102"/>
      <c r="AK11" s="101">
        <f>AK10+1</f>
        <v>2030</v>
      </c>
      <c r="AL11" s="101">
        <f>AL10+1</f>
        <v>9</v>
      </c>
      <c r="AM11"/>
    </row>
    <row r="12" spans="1:53" s="101" customFormat="1" ht="20.25" customHeight="1" x14ac:dyDescent="0.15">
      <c r="A12" s="201"/>
      <c r="B12" s="95" t="str">
        <f>$B$8</f>
        <v>回庫</v>
      </c>
      <c r="C12" s="102"/>
      <c r="AK12" s="101">
        <f>AK11+1</f>
        <v>2031</v>
      </c>
      <c r="AL12" s="101">
        <f>AL11+1</f>
        <v>10</v>
      </c>
      <c r="AM12"/>
    </row>
    <row r="13" spans="1:53" s="101" customFormat="1" ht="20.25" customHeight="1" x14ac:dyDescent="0.15">
      <c r="A13" s="201" t="str">
        <f>IF(烤漆色號編碼!A7="","-",烤漆色號編碼!A7)</f>
        <v>780-310AT</v>
      </c>
      <c r="B13" s="95" t="str">
        <f>$B$5</f>
        <v>箱數</v>
      </c>
      <c r="C13" s="102"/>
      <c r="AK13" s="101">
        <f>AK12+1</f>
        <v>2032</v>
      </c>
      <c r="AL13" s="101">
        <f>AL12+1</f>
        <v>11</v>
      </c>
      <c r="AM13"/>
    </row>
    <row r="14" spans="1:53" s="101" customFormat="1" ht="20.25" customHeight="1" x14ac:dyDescent="0.15">
      <c r="A14" s="201"/>
      <c r="B14" s="95" t="str">
        <f>$B$6</f>
        <v>散粉</v>
      </c>
      <c r="C14" s="102"/>
      <c r="AK14" s="101">
        <f>AK13+1</f>
        <v>2033</v>
      </c>
      <c r="AL14" s="101">
        <f>AL13+1</f>
        <v>12</v>
      </c>
      <c r="AM14"/>
    </row>
    <row r="15" spans="1:53" s="101" customFormat="1" ht="20.25" customHeight="1" x14ac:dyDescent="0.15">
      <c r="A15" s="201"/>
      <c r="B15" s="95" t="str">
        <f>$B$7</f>
        <v>總用量</v>
      </c>
      <c r="C15" s="102"/>
      <c r="AK15" s="101">
        <f>AK14+1</f>
        <v>2034</v>
      </c>
      <c r="AL15"/>
      <c r="AM15"/>
    </row>
    <row r="16" spans="1:53" s="101" customFormat="1" ht="20.25" customHeight="1" x14ac:dyDescent="0.15">
      <c r="A16" s="201"/>
      <c r="B16" s="95" t="str">
        <f>$B$8</f>
        <v>回庫</v>
      </c>
      <c r="C16" s="102"/>
      <c r="AK16" s="101">
        <f>AK15+1</f>
        <v>2035</v>
      </c>
      <c r="AL16"/>
      <c r="AM16"/>
    </row>
    <row r="17" spans="1:39" s="101" customFormat="1" ht="20.25" customHeight="1" x14ac:dyDescent="0.15">
      <c r="A17" s="201" t="str">
        <f>IF(烤漆色號編碼!A11="","-",烤漆色號編碼!A11)</f>
        <v>EN-402T</v>
      </c>
      <c r="B17" s="95" t="str">
        <f>$B$5</f>
        <v>箱數</v>
      </c>
      <c r="C17" s="102"/>
      <c r="AK17" s="101">
        <f>AK16+1</f>
        <v>2036</v>
      </c>
      <c r="AL17"/>
      <c r="AM17"/>
    </row>
    <row r="18" spans="1:39" s="101" customFormat="1" ht="20.25" customHeight="1" x14ac:dyDescent="0.15">
      <c r="A18" s="201"/>
      <c r="B18" s="95" t="str">
        <f>$B$6</f>
        <v>散粉</v>
      </c>
      <c r="C18" s="102"/>
      <c r="AK18" s="101">
        <f>AK17+1</f>
        <v>2037</v>
      </c>
      <c r="AL18"/>
      <c r="AM18"/>
    </row>
    <row r="19" spans="1:39" s="101" customFormat="1" ht="20.25" customHeight="1" x14ac:dyDescent="0.15">
      <c r="A19" s="201"/>
      <c r="B19" s="95" t="str">
        <f>$B$7</f>
        <v>總用量</v>
      </c>
      <c r="C19" s="102"/>
      <c r="AK19" s="101">
        <f>AK18+1</f>
        <v>2038</v>
      </c>
      <c r="AL19"/>
      <c r="AM19"/>
    </row>
    <row r="20" spans="1:39" s="101" customFormat="1" ht="20.25" customHeight="1" x14ac:dyDescent="0.15">
      <c r="A20" s="201"/>
      <c r="B20" s="95" t="str">
        <f>$B$8</f>
        <v>回庫</v>
      </c>
      <c r="C20" s="102"/>
      <c r="AK20" s="101">
        <f>AK19+1</f>
        <v>2039</v>
      </c>
      <c r="AL20"/>
      <c r="AM20"/>
    </row>
    <row r="21" spans="1:39" s="101" customFormat="1" ht="20.25" customHeight="1" x14ac:dyDescent="0.15">
      <c r="A21" s="201" t="str">
        <f>IF(烤漆色號編碼!A18="","-",烤漆色號編碼!A18)</f>
        <v>O-22170G</v>
      </c>
      <c r="B21" s="95" t="str">
        <f>$B$5</f>
        <v>箱數</v>
      </c>
      <c r="C21" s="102"/>
      <c r="AK21" s="101">
        <f>AK20+1</f>
        <v>2040</v>
      </c>
      <c r="AL21"/>
      <c r="AM21"/>
    </row>
    <row r="22" spans="1:39" s="101" customFormat="1" ht="20.25" customHeight="1" x14ac:dyDescent="0.15">
      <c r="A22" s="201"/>
      <c r="B22" s="95" t="str">
        <f>$B$6</f>
        <v>散粉</v>
      </c>
      <c r="C22" s="102"/>
      <c r="AK22" s="101">
        <f>AK21+1</f>
        <v>2041</v>
      </c>
      <c r="AL22"/>
      <c r="AM22"/>
    </row>
    <row r="23" spans="1:39" s="101" customFormat="1" ht="20.25" customHeight="1" x14ac:dyDescent="0.15">
      <c r="A23" s="201"/>
      <c r="B23" s="95" t="str">
        <f>$B$7</f>
        <v>總用量</v>
      </c>
      <c r="C23" s="102"/>
      <c r="AK23" s="101">
        <f>AK22+1</f>
        <v>2042</v>
      </c>
      <c r="AL23"/>
      <c r="AM23"/>
    </row>
    <row r="24" spans="1:39" s="101" customFormat="1" ht="20.25" customHeight="1" x14ac:dyDescent="0.15">
      <c r="A24" s="201"/>
      <c r="B24" s="95" t="str">
        <f>$B$8</f>
        <v>回庫</v>
      </c>
      <c r="C24" s="102"/>
      <c r="AK24" s="101">
        <f>AK23+1</f>
        <v>2043</v>
      </c>
      <c r="AL24"/>
      <c r="AM24"/>
    </row>
    <row r="25" spans="1:39" s="101" customFormat="1" ht="20.25" customHeight="1" x14ac:dyDescent="0.15">
      <c r="A25" s="201" t="str">
        <f>IF(烤漆色號編碼!A19="","-",烤漆色號編碼!A19)</f>
        <v>O-200SB</v>
      </c>
      <c r="B25" s="95" t="str">
        <f>$B$5</f>
        <v>箱數</v>
      </c>
      <c r="C25" s="102"/>
      <c r="AK25" s="101">
        <f>AK24+1</f>
        <v>2044</v>
      </c>
      <c r="AL25"/>
      <c r="AM25"/>
    </row>
    <row r="26" spans="1:39" s="101" customFormat="1" ht="20.25" customHeight="1" x14ac:dyDescent="0.15">
      <c r="A26" s="201"/>
      <c r="B26" s="95" t="str">
        <f>$B$6</f>
        <v>散粉</v>
      </c>
      <c r="C26" s="102"/>
      <c r="AK26" s="101">
        <f>AK25+1</f>
        <v>2045</v>
      </c>
      <c r="AL26"/>
      <c r="AM26"/>
    </row>
    <row r="27" spans="1:39" s="101" customFormat="1" ht="20.25" customHeight="1" x14ac:dyDescent="0.15">
      <c r="A27" s="201"/>
      <c r="B27" s="95" t="str">
        <f>$B$7</f>
        <v>總用量</v>
      </c>
      <c r="C27" s="102"/>
      <c r="AK27" s="101">
        <f>AK26+1</f>
        <v>2046</v>
      </c>
      <c r="AL27"/>
      <c r="AM27"/>
    </row>
    <row r="28" spans="1:39" s="101" customFormat="1" ht="20.25" customHeight="1" x14ac:dyDescent="0.15">
      <c r="A28" s="201"/>
      <c r="B28" s="95" t="str">
        <f>$B$8</f>
        <v>回庫</v>
      </c>
      <c r="C28" s="102"/>
      <c r="AK28" s="101">
        <f>AK27+1</f>
        <v>2047</v>
      </c>
      <c r="AL28"/>
      <c r="AM28"/>
    </row>
    <row r="29" spans="1:39" s="101" customFormat="1" ht="20.25" customHeight="1" x14ac:dyDescent="0.15">
      <c r="A29" s="201" t="str">
        <f>IF(烤漆色號編碼!A26="","-",烤漆色號編碼!A26)</f>
        <v>4605-702A</v>
      </c>
      <c r="B29" s="95" t="str">
        <f>$B$5</f>
        <v>箱數</v>
      </c>
      <c r="C29" s="102"/>
      <c r="AK29" s="101">
        <f>AK28+1</f>
        <v>2048</v>
      </c>
      <c r="AL29"/>
      <c r="AM29"/>
    </row>
    <row r="30" spans="1:39" s="101" customFormat="1" ht="20.25" customHeight="1" x14ac:dyDescent="0.15">
      <c r="A30" s="201"/>
      <c r="B30" s="95" t="str">
        <f>$B$6</f>
        <v>散粉</v>
      </c>
      <c r="C30" s="102"/>
      <c r="AK30" s="101">
        <f>AK29+1</f>
        <v>2049</v>
      </c>
      <c r="AL30"/>
      <c r="AM30"/>
    </row>
    <row r="31" spans="1:39" s="101" customFormat="1" ht="20.25" customHeight="1" x14ac:dyDescent="0.15">
      <c r="A31" s="201"/>
      <c r="B31" s="95" t="str">
        <f>$B$7</f>
        <v>總用量</v>
      </c>
      <c r="C31" s="102"/>
      <c r="AK31" s="101">
        <f>AK30+1</f>
        <v>2050</v>
      </c>
      <c r="AL31"/>
      <c r="AM31"/>
    </row>
    <row r="32" spans="1:39" s="101" customFormat="1" ht="20.25" customHeight="1" x14ac:dyDescent="0.15">
      <c r="A32" s="201"/>
      <c r="B32" s="95" t="str">
        <f>$B$8</f>
        <v>回庫</v>
      </c>
      <c r="C32" s="102"/>
      <c r="AK32" s="101">
        <f>AK31+1</f>
        <v>2051</v>
      </c>
      <c r="AL32"/>
      <c r="AM32"/>
    </row>
    <row r="33" spans="1:39" s="101" customFormat="1" ht="20.25" customHeight="1" x14ac:dyDescent="0.15">
      <c r="A33" s="201" t="str">
        <f>IF(烤漆色號編碼!A27="","-",烤漆色號編碼!A27)</f>
        <v>4900-246</v>
      </c>
      <c r="B33" s="95" t="str">
        <f>$B$5</f>
        <v>箱數</v>
      </c>
      <c r="C33" s="102"/>
      <c r="AK33" s="101">
        <f>AK32+1</f>
        <v>2052</v>
      </c>
      <c r="AL33"/>
      <c r="AM33"/>
    </row>
    <row r="34" spans="1:39" s="101" customFormat="1" ht="20.25" customHeight="1" x14ac:dyDescent="0.15">
      <c r="A34" s="201"/>
      <c r="B34" s="95" t="str">
        <f>$B$6</f>
        <v>散粉</v>
      </c>
      <c r="C34" s="102"/>
      <c r="AK34" s="101">
        <f>AK33+1</f>
        <v>2053</v>
      </c>
      <c r="AL34"/>
      <c r="AM34"/>
    </row>
    <row r="35" spans="1:39" s="101" customFormat="1" ht="20.25" customHeight="1" x14ac:dyDescent="0.15">
      <c r="A35" s="201"/>
      <c r="B35" s="95" t="str">
        <f>$B$7</f>
        <v>總用量</v>
      </c>
      <c r="C35" s="102"/>
      <c r="AK35" s="101">
        <f>AK34+1</f>
        <v>2054</v>
      </c>
      <c r="AL35"/>
      <c r="AM35"/>
    </row>
    <row r="36" spans="1:39" s="101" customFormat="1" ht="20.25" customHeight="1" x14ac:dyDescent="0.15">
      <c r="A36" s="201"/>
      <c r="B36" s="95" t="str">
        <f>$B$8</f>
        <v>回庫</v>
      </c>
      <c r="C36" s="102"/>
      <c r="AK36" s="101">
        <f>AK35+1</f>
        <v>2055</v>
      </c>
      <c r="AL36"/>
      <c r="AM36"/>
    </row>
    <row r="37" spans="1:39" s="101" customFormat="1" ht="20.25" customHeight="1" x14ac:dyDescent="0.15">
      <c r="A37" s="201" t="str">
        <f>IF(烤漆色號編碼!A34="","-",烤漆色號編碼!A34)</f>
        <v>008/2H056</v>
      </c>
      <c r="B37" s="95" t="str">
        <f>$B$5</f>
        <v>箱數</v>
      </c>
      <c r="C37" s="102"/>
      <c r="AK37" s="101">
        <f>AK36+1</f>
        <v>2056</v>
      </c>
      <c r="AL37"/>
      <c r="AM37"/>
    </row>
    <row r="38" spans="1:39" s="101" customFormat="1" ht="20.25" customHeight="1" x14ac:dyDescent="0.15">
      <c r="A38" s="201"/>
      <c r="B38" s="95" t="str">
        <f>$B$6</f>
        <v>散粉</v>
      </c>
      <c r="C38" s="102"/>
      <c r="AK38" s="101">
        <f>AK37+1</f>
        <v>2057</v>
      </c>
      <c r="AL38"/>
      <c r="AM38"/>
    </row>
    <row r="39" spans="1:39" s="101" customFormat="1" ht="20.25" customHeight="1" x14ac:dyDescent="0.15">
      <c r="A39" s="201"/>
      <c r="B39" s="95" t="str">
        <f>$B$7</f>
        <v>總用量</v>
      </c>
      <c r="C39" s="102"/>
      <c r="AK39" s="101">
        <f>AK38+1</f>
        <v>2058</v>
      </c>
      <c r="AL39"/>
      <c r="AM39"/>
    </row>
    <row r="40" spans="1:39" s="101" customFormat="1" ht="20.25" customHeight="1" x14ac:dyDescent="0.15">
      <c r="A40" s="201"/>
      <c r="B40" s="95" t="str">
        <f>$B$8</f>
        <v>回庫</v>
      </c>
      <c r="C40" s="102"/>
      <c r="AK40" s="101">
        <f>AK39+1</f>
        <v>2059</v>
      </c>
      <c r="AL40"/>
      <c r="AM40"/>
    </row>
    <row r="41" spans="1:39" s="101" customFormat="1" ht="20.25" customHeight="1" x14ac:dyDescent="0.15">
      <c r="A41" s="201" t="str">
        <f>IF(烤漆色號編碼!A35="","-",烤漆色號編碼!A35)</f>
        <v>008/1H174</v>
      </c>
      <c r="B41" s="95" t="str">
        <f>$B$5</f>
        <v>箱數</v>
      </c>
      <c r="C41" s="102"/>
      <c r="AK41" s="101">
        <f>AK40+1</f>
        <v>2060</v>
      </c>
      <c r="AL41"/>
      <c r="AM41"/>
    </row>
    <row r="42" spans="1:39" s="101" customFormat="1" ht="20.25" customHeight="1" x14ac:dyDescent="0.15">
      <c r="A42" s="201"/>
      <c r="B42" s="95" t="str">
        <f>$B$6</f>
        <v>散粉</v>
      </c>
      <c r="C42" s="102"/>
      <c r="AK42" s="101">
        <f>AK41+1</f>
        <v>2061</v>
      </c>
      <c r="AL42"/>
      <c r="AM42"/>
    </row>
    <row r="43" spans="1:39" s="101" customFormat="1" ht="20.25" customHeight="1" x14ac:dyDescent="0.15">
      <c r="A43" s="201"/>
      <c r="B43" s="95" t="str">
        <f>$B$7</f>
        <v>總用量</v>
      </c>
      <c r="C43" s="102"/>
      <c r="AK43" s="101">
        <f>AK42+1</f>
        <v>2062</v>
      </c>
      <c r="AL43"/>
      <c r="AM43"/>
    </row>
    <row r="44" spans="1:39" s="101" customFormat="1" ht="20.25" customHeight="1" x14ac:dyDescent="0.15">
      <c r="A44" s="201"/>
      <c r="B44" s="95" t="str">
        <f>$B$8</f>
        <v>回庫</v>
      </c>
      <c r="C44" s="102"/>
      <c r="AK44" s="101">
        <f>AK43+1</f>
        <v>2063</v>
      </c>
      <c r="AL44"/>
      <c r="AM44"/>
    </row>
    <row r="45" spans="1:39" s="101" customFormat="1" ht="20.25" customHeight="1" x14ac:dyDescent="0.15">
      <c r="A45" s="201" t="str">
        <f>IF(烤漆色號編碼!A42="","-",烤漆色號編碼!A42)</f>
        <v>例假日</v>
      </c>
      <c r="B45" s="95" t="str">
        <f>$B$5</f>
        <v>箱數</v>
      </c>
      <c r="C45" s="102"/>
      <c r="AK45" s="101">
        <f>AK44+1</f>
        <v>2064</v>
      </c>
      <c r="AL45"/>
      <c r="AM45"/>
    </row>
    <row r="46" spans="1:39" ht="20.25" customHeight="1" x14ac:dyDescent="0.15">
      <c r="A46" s="201"/>
      <c r="B46" s="95" t="str">
        <f>$B$6</f>
        <v>散粉</v>
      </c>
      <c r="AK46" s="103">
        <f>AK45+1</f>
        <v>2065</v>
      </c>
    </row>
    <row r="47" spans="1:39" ht="20.25" customHeight="1" x14ac:dyDescent="0.15">
      <c r="A47" s="201"/>
      <c r="B47" s="95" t="str">
        <f>$B$7</f>
        <v>總用量</v>
      </c>
      <c r="AK47">
        <f>AK46+1</f>
        <v>2066</v>
      </c>
    </row>
    <row r="48" spans="1:39" ht="20.25" customHeight="1" x14ac:dyDescent="0.15">
      <c r="A48" s="201"/>
      <c r="B48" s="95" t="str">
        <f>$B$8</f>
        <v>回庫</v>
      </c>
      <c r="AK48">
        <f>AK47+1</f>
        <v>2067</v>
      </c>
    </row>
    <row r="49" spans="1:37" ht="20.25" customHeight="1" x14ac:dyDescent="0.15">
      <c r="A49" s="201" t="str">
        <f>IF(烤漆色號編碼!A43="","-",烤漆色號編碼!A43)</f>
        <v>颱風假</v>
      </c>
      <c r="B49" s="95" t="str">
        <f>$B$5</f>
        <v>箱數</v>
      </c>
      <c r="AK49">
        <f>AK48+1</f>
        <v>2068</v>
      </c>
    </row>
    <row r="50" spans="1:37" ht="20.25" customHeight="1" x14ac:dyDescent="0.15">
      <c r="A50" s="201"/>
      <c r="B50" s="95" t="str">
        <f>$B$6</f>
        <v>散粉</v>
      </c>
      <c r="AK50">
        <f>AK49+1</f>
        <v>2069</v>
      </c>
    </row>
    <row r="51" spans="1:37" ht="20.25" customHeight="1" x14ac:dyDescent="0.15">
      <c r="A51" s="201"/>
      <c r="B51" s="95" t="str">
        <f>$B$7</f>
        <v>總用量</v>
      </c>
      <c r="AK51">
        <f>AK50+1</f>
        <v>2070</v>
      </c>
    </row>
    <row r="52" spans="1:37" ht="20.25" customHeight="1" x14ac:dyDescent="0.15">
      <c r="A52" s="201"/>
      <c r="B52" s="95" t="str">
        <f>$B$8</f>
        <v>回庫</v>
      </c>
      <c r="AK52">
        <f>AK51+1</f>
        <v>2071</v>
      </c>
    </row>
    <row r="53" spans="1:37" ht="20.25" customHeight="1" x14ac:dyDescent="0.15">
      <c r="A53" s="201" t="str">
        <f>IF(烤漆色號編碼!A50="","-",烤漆色號編碼!A50)</f>
        <v>-</v>
      </c>
      <c r="B53" s="95" t="str">
        <f>$B$5</f>
        <v>箱數</v>
      </c>
      <c r="AK53">
        <f>AK52+1</f>
        <v>2072</v>
      </c>
    </row>
    <row r="54" spans="1:37" ht="20.25" customHeight="1" x14ac:dyDescent="0.15">
      <c r="A54" s="201"/>
      <c r="B54" s="95" t="str">
        <f>$B$6</f>
        <v>散粉</v>
      </c>
      <c r="AK54">
        <f>AK53+1</f>
        <v>2073</v>
      </c>
    </row>
    <row r="55" spans="1:37" ht="20.25" customHeight="1" x14ac:dyDescent="0.15">
      <c r="A55" s="201"/>
      <c r="B55" s="95" t="str">
        <f>$B$7</f>
        <v>總用量</v>
      </c>
      <c r="AK55">
        <f>AK54+1</f>
        <v>2074</v>
      </c>
    </row>
    <row r="56" spans="1:37" ht="20.25" customHeight="1" x14ac:dyDescent="0.15">
      <c r="A56" s="201"/>
      <c r="B56" s="95" t="str">
        <f>$B$8</f>
        <v>回庫</v>
      </c>
      <c r="AK56">
        <f>AK55+1</f>
        <v>2075</v>
      </c>
    </row>
    <row r="57" spans="1:37" ht="20.25" customHeight="1" x14ac:dyDescent="0.15">
      <c r="A57" s="201" t="str">
        <f>IF(烤漆色號編碼!A51="","-",烤漆色號編碼!A51)</f>
        <v>-</v>
      </c>
      <c r="B57" s="95" t="str">
        <f>$B$5</f>
        <v>箱數</v>
      </c>
      <c r="AK57">
        <f>AK56+1</f>
        <v>2076</v>
      </c>
    </row>
    <row r="58" spans="1:37" ht="20.25" customHeight="1" x14ac:dyDescent="0.15">
      <c r="A58" s="201"/>
      <c r="B58" s="95" t="str">
        <f>$B$6</f>
        <v>散粉</v>
      </c>
      <c r="AK58">
        <f>AK57+1</f>
        <v>2077</v>
      </c>
    </row>
    <row r="59" spans="1:37" ht="20.25" customHeight="1" x14ac:dyDescent="0.15">
      <c r="A59" s="201"/>
      <c r="B59" s="95" t="str">
        <f>$B$7</f>
        <v>總用量</v>
      </c>
      <c r="AK59">
        <f>AK58+1</f>
        <v>2078</v>
      </c>
    </row>
    <row r="60" spans="1:37" ht="20.25" customHeight="1" x14ac:dyDescent="0.15">
      <c r="A60" s="201"/>
      <c r="B60" s="95" t="str">
        <f>$B$8</f>
        <v>回庫</v>
      </c>
      <c r="AK60">
        <f>AK59+1</f>
        <v>2079</v>
      </c>
    </row>
    <row r="61" spans="1:37" ht="20.25" customHeight="1" x14ac:dyDescent="0.15">
      <c r="A61" s="201" t="str">
        <f>IF(烤漆色號編碼!A58="","-",烤漆色號編碼!A58)</f>
        <v>-</v>
      </c>
      <c r="B61" s="95" t="str">
        <f>$B$5</f>
        <v>箱數</v>
      </c>
      <c r="AK61">
        <f>AK60+1</f>
        <v>2080</v>
      </c>
    </row>
    <row r="62" spans="1:37" ht="20.25" customHeight="1" x14ac:dyDescent="0.15">
      <c r="A62" s="201"/>
      <c r="B62" s="95" t="str">
        <f>$B$6</f>
        <v>散粉</v>
      </c>
    </row>
    <row r="63" spans="1:37" ht="20.25" customHeight="1" x14ac:dyDescent="0.15">
      <c r="A63" s="201"/>
      <c r="B63" s="95" t="str">
        <f>$B$7</f>
        <v>總用量</v>
      </c>
    </row>
    <row r="64" spans="1:37" ht="20.25" customHeight="1" x14ac:dyDescent="0.15">
      <c r="A64" s="201"/>
      <c r="B64" s="95" t="str">
        <f>$B$8</f>
        <v>回庫</v>
      </c>
    </row>
    <row r="65" spans="1:2" ht="20.25" customHeight="1" x14ac:dyDescent="0.15">
      <c r="A65" s="201" t="str">
        <f>IF(烤漆色號編碼!A59="","-",烤漆色號編碼!A59)</f>
        <v>-</v>
      </c>
      <c r="B65" s="95" t="str">
        <f>$B$5</f>
        <v>箱數</v>
      </c>
    </row>
    <row r="66" spans="1:2" ht="20.25" customHeight="1" x14ac:dyDescent="0.15">
      <c r="A66" s="201"/>
      <c r="B66" s="95" t="str">
        <f>$B$6</f>
        <v>散粉</v>
      </c>
    </row>
    <row r="67" spans="1:2" ht="20.25" customHeight="1" x14ac:dyDescent="0.15">
      <c r="A67" s="201"/>
      <c r="B67" s="95" t="str">
        <f>$B$7</f>
        <v>總用量</v>
      </c>
    </row>
    <row r="68" spans="1:2" ht="20.25" customHeight="1" x14ac:dyDescent="0.15">
      <c r="A68" s="201"/>
      <c r="B68" s="95" t="str">
        <f>$B$8</f>
        <v>回庫</v>
      </c>
    </row>
    <row r="69" spans="1:2" ht="20.25" customHeight="1" x14ac:dyDescent="0.15">
      <c r="A69" s="201" t="str">
        <f>IF(烤漆色號編碼!A66="","-",烤漆色號編碼!A66)</f>
        <v>-</v>
      </c>
      <c r="B69" s="95" t="str">
        <f>$B$5</f>
        <v>箱數</v>
      </c>
    </row>
    <row r="70" spans="1:2" ht="20.25" customHeight="1" x14ac:dyDescent="0.15">
      <c r="A70" s="201"/>
      <c r="B70" s="95" t="str">
        <f>$B$6</f>
        <v>散粉</v>
      </c>
    </row>
    <row r="71" spans="1:2" ht="20.25" customHeight="1" x14ac:dyDescent="0.15">
      <c r="A71" s="201"/>
      <c r="B71" s="95" t="str">
        <f>$B$7</f>
        <v>總用量</v>
      </c>
    </row>
    <row r="72" spans="1:2" ht="20.25" customHeight="1" x14ac:dyDescent="0.15">
      <c r="A72" s="201"/>
      <c r="B72" s="95" t="str">
        <f>$B$8</f>
        <v>回庫</v>
      </c>
    </row>
    <row r="73" spans="1:2" ht="20.25" customHeight="1" x14ac:dyDescent="0.15">
      <c r="A73" s="201" t="str">
        <f>IF(烤漆色號編碼!A67="","-",烤漆色號編碼!A67)</f>
        <v>-</v>
      </c>
      <c r="B73" s="95" t="str">
        <f>$B$5</f>
        <v>箱數</v>
      </c>
    </row>
    <row r="74" spans="1:2" ht="20.25" customHeight="1" x14ac:dyDescent="0.15">
      <c r="A74" s="201"/>
      <c r="B74" s="95" t="str">
        <f>$B$6</f>
        <v>散粉</v>
      </c>
    </row>
    <row r="75" spans="1:2" ht="20.25" customHeight="1" x14ac:dyDescent="0.15">
      <c r="A75" s="201"/>
      <c r="B75" s="95" t="str">
        <f>$B$7</f>
        <v>總用量</v>
      </c>
    </row>
    <row r="76" spans="1:2" ht="20.25" customHeight="1" x14ac:dyDescent="0.15">
      <c r="A76" s="201"/>
      <c r="B76" s="95" t="str">
        <f>$B$8</f>
        <v>回庫</v>
      </c>
    </row>
    <row r="77" spans="1:2" ht="20.25" customHeight="1" x14ac:dyDescent="0.15">
      <c r="A77" s="201" t="str">
        <f>IF(烤漆色號編碼!A74="","-",烤漆色號編碼!A74)</f>
        <v>-</v>
      </c>
      <c r="B77" s="95" t="str">
        <f>$B$5</f>
        <v>箱數</v>
      </c>
    </row>
    <row r="78" spans="1:2" ht="20.25" customHeight="1" x14ac:dyDescent="0.15">
      <c r="A78" s="201"/>
      <c r="B78" s="95" t="str">
        <f>$B$6</f>
        <v>散粉</v>
      </c>
    </row>
    <row r="79" spans="1:2" ht="20.25" customHeight="1" x14ac:dyDescent="0.15">
      <c r="A79" s="201"/>
      <c r="B79" s="95" t="str">
        <f>$B$7</f>
        <v>總用量</v>
      </c>
    </row>
    <row r="80" spans="1:2" ht="20.25" customHeight="1" x14ac:dyDescent="0.15">
      <c r="A80" s="201"/>
      <c r="B80" s="95" t="str">
        <f>$B$8</f>
        <v>回庫</v>
      </c>
    </row>
    <row r="81" spans="1:2" ht="20.25" customHeight="1" x14ac:dyDescent="0.15">
      <c r="A81" s="201" t="str">
        <f>IF(烤漆色號編碼!A75="","-",烤漆色號編碼!A75)</f>
        <v>-</v>
      </c>
      <c r="B81" s="95" t="str">
        <f>$B$5</f>
        <v>箱數</v>
      </c>
    </row>
    <row r="82" spans="1:2" ht="20.25" customHeight="1" x14ac:dyDescent="0.15">
      <c r="A82" s="201"/>
      <c r="B82" s="95" t="str">
        <f>$B$6</f>
        <v>散粉</v>
      </c>
    </row>
    <row r="83" spans="1:2" ht="20.25" customHeight="1" x14ac:dyDescent="0.15">
      <c r="A83" s="201"/>
      <c r="B83" s="95" t="str">
        <f>$B$7</f>
        <v>總用量</v>
      </c>
    </row>
    <row r="84" spans="1:2" ht="20.25" customHeight="1" x14ac:dyDescent="0.15">
      <c r="A84" s="201"/>
      <c r="B84" s="95" t="str">
        <f>$B$8</f>
        <v>回庫</v>
      </c>
    </row>
    <row r="85" spans="1:2" ht="20.25" customHeight="1" x14ac:dyDescent="0.15">
      <c r="A85" s="201" t="str">
        <f>IF(烤漆色號編碼!A82="","-",烤漆色號編碼!A82)</f>
        <v>-</v>
      </c>
      <c r="B85" s="95" t="str">
        <f>$B$5</f>
        <v>箱數</v>
      </c>
    </row>
    <row r="86" spans="1:2" ht="20.25" customHeight="1" x14ac:dyDescent="0.15">
      <c r="A86" s="201"/>
      <c r="B86" s="95" t="str">
        <f>$B$6</f>
        <v>散粉</v>
      </c>
    </row>
    <row r="87" spans="1:2" ht="20.25" customHeight="1" x14ac:dyDescent="0.15">
      <c r="A87" s="201"/>
      <c r="B87" s="95" t="str">
        <f>$B$7</f>
        <v>總用量</v>
      </c>
    </row>
    <row r="88" spans="1:2" ht="20.25" customHeight="1" x14ac:dyDescent="0.15">
      <c r="A88" s="201"/>
      <c r="B88" s="95" t="str">
        <f>$B$8</f>
        <v>回庫</v>
      </c>
    </row>
    <row r="89" spans="1:2" ht="20.25" customHeight="1" x14ac:dyDescent="0.15">
      <c r="A89" s="201" t="str">
        <f>IF(烤漆色號編碼!A83="","-",烤漆色號編碼!A83)</f>
        <v>-</v>
      </c>
      <c r="B89" s="95" t="str">
        <f>$B$5</f>
        <v>箱數</v>
      </c>
    </row>
    <row r="90" spans="1:2" ht="20.25" customHeight="1" x14ac:dyDescent="0.15">
      <c r="A90" s="201"/>
      <c r="B90" s="95" t="str">
        <f>$B$6</f>
        <v>散粉</v>
      </c>
    </row>
    <row r="91" spans="1:2" ht="20.25" customHeight="1" x14ac:dyDescent="0.15">
      <c r="A91" s="201"/>
      <c r="B91" s="95" t="str">
        <f>$B$7</f>
        <v>總用量</v>
      </c>
    </row>
    <row r="92" spans="1:2" ht="20.25" customHeight="1" x14ac:dyDescent="0.15">
      <c r="A92" s="201"/>
      <c r="B92" s="95" t="str">
        <f>$B$8</f>
        <v>回庫</v>
      </c>
    </row>
    <row r="93" spans="1:2" ht="20.25" customHeight="1" x14ac:dyDescent="0.15">
      <c r="A93" s="201" t="str">
        <f>IF(烤漆色號編碼!A90="","-",烤漆色號編碼!A90)</f>
        <v>-</v>
      </c>
      <c r="B93" s="95" t="str">
        <f>$B$5</f>
        <v>箱數</v>
      </c>
    </row>
    <row r="94" spans="1:2" ht="20.25" customHeight="1" x14ac:dyDescent="0.15">
      <c r="A94" s="201"/>
      <c r="B94" s="95" t="str">
        <f>$B$6</f>
        <v>散粉</v>
      </c>
    </row>
    <row r="95" spans="1:2" ht="20.25" customHeight="1" x14ac:dyDescent="0.15">
      <c r="A95" s="201"/>
      <c r="B95" s="95" t="str">
        <f>$B$7</f>
        <v>總用量</v>
      </c>
    </row>
    <row r="96" spans="1:2" ht="20.25" customHeight="1" x14ac:dyDescent="0.15">
      <c r="A96" s="201"/>
      <c r="B96" s="95" t="str">
        <f>$B$8</f>
        <v>回庫</v>
      </c>
    </row>
    <row r="97" spans="1:2" ht="20.25" customHeight="1" x14ac:dyDescent="0.15">
      <c r="A97" s="201" t="str">
        <f>IF(烤漆色號編碼!A91="","-",烤漆色號編碼!A91)</f>
        <v>-</v>
      </c>
      <c r="B97" s="95" t="str">
        <f>$B$5</f>
        <v>箱數</v>
      </c>
    </row>
    <row r="98" spans="1:2" ht="20.25" customHeight="1" x14ac:dyDescent="0.15">
      <c r="A98" s="201"/>
      <c r="B98" s="95" t="str">
        <f>$B$6</f>
        <v>散粉</v>
      </c>
    </row>
    <row r="99" spans="1:2" ht="20.25" customHeight="1" x14ac:dyDescent="0.15">
      <c r="A99" s="201"/>
      <c r="B99" s="95" t="str">
        <f>$B$7</f>
        <v>總用量</v>
      </c>
    </row>
    <row r="100" spans="1:2" ht="20.25" customHeight="1" x14ac:dyDescent="0.15">
      <c r="A100" s="201"/>
      <c r="B100" s="95" t="str">
        <f>$B$8</f>
        <v>回庫</v>
      </c>
    </row>
    <row r="101" spans="1:2" ht="13.5" x14ac:dyDescent="0.15">
      <c r="A101" s="201" t="str">
        <f>IF(烤漆色號編碼!A98="","-",烤漆色號編碼!A98)</f>
        <v>-</v>
      </c>
      <c r="B101" s="95" t="str">
        <f>$B$5</f>
        <v>箱數</v>
      </c>
    </row>
    <row r="102" spans="1:2" ht="13.5" x14ac:dyDescent="0.15">
      <c r="A102" s="201"/>
      <c r="B102" s="95" t="str">
        <f>$B$6</f>
        <v>散粉</v>
      </c>
    </row>
    <row r="103" spans="1:2" ht="13.5" x14ac:dyDescent="0.15">
      <c r="A103" s="201"/>
      <c r="B103" s="95" t="str">
        <f>$B$7</f>
        <v>總用量</v>
      </c>
    </row>
    <row r="104" spans="1:2" ht="13.5" x14ac:dyDescent="0.15">
      <c r="A104" s="201"/>
      <c r="B104" s="95" t="str">
        <f>$B$8</f>
        <v>回庫</v>
      </c>
    </row>
    <row r="105" spans="1:2" ht="13.5" x14ac:dyDescent="0.15">
      <c r="A105" s="201" t="str">
        <f>IF(烤漆色號編碼!A99="","-",烤漆色號編碼!A99)</f>
        <v>-</v>
      </c>
      <c r="B105" s="95" t="str">
        <f>$B$5</f>
        <v>箱數</v>
      </c>
    </row>
    <row r="106" spans="1:2" ht="13.5" x14ac:dyDescent="0.15">
      <c r="A106" s="201"/>
      <c r="B106" s="95" t="str">
        <f>$B$6</f>
        <v>散粉</v>
      </c>
    </row>
    <row r="107" spans="1:2" ht="13.5" x14ac:dyDescent="0.15">
      <c r="A107" s="201"/>
      <c r="B107" s="95" t="str">
        <f>$B$7</f>
        <v>總用量</v>
      </c>
    </row>
    <row r="108" spans="1:2" ht="13.5" x14ac:dyDescent="0.15">
      <c r="A108" s="201"/>
      <c r="B108" s="95" t="str">
        <f>$B$8</f>
        <v>回庫</v>
      </c>
    </row>
    <row r="109" spans="1:2" ht="13.5" x14ac:dyDescent="0.15">
      <c r="A109" s="201" t="str">
        <f>IF(烤漆色號編碼!A106="","-",烤漆色號編碼!A106)</f>
        <v>-</v>
      </c>
      <c r="B109" s="95" t="str">
        <f>$B$5</f>
        <v>箱數</v>
      </c>
    </row>
    <row r="110" spans="1:2" ht="13.5" x14ac:dyDescent="0.15">
      <c r="A110" s="201"/>
      <c r="B110" s="95" t="str">
        <f>$B$6</f>
        <v>散粉</v>
      </c>
    </row>
    <row r="111" spans="1:2" ht="13.5" x14ac:dyDescent="0.15">
      <c r="A111" s="201"/>
      <c r="B111" s="95" t="str">
        <f>$B$7</f>
        <v>總用量</v>
      </c>
    </row>
    <row r="112" spans="1:2" ht="13.5" x14ac:dyDescent="0.15">
      <c r="A112" s="201"/>
      <c r="B112" s="95" t="str">
        <f>$B$8</f>
        <v>回庫</v>
      </c>
    </row>
    <row r="113" spans="1:2" ht="13.5" x14ac:dyDescent="0.15">
      <c r="A113" s="201" t="str">
        <f>IF(烤漆色號編碼!A107="","-",烤漆色號編碼!A107)</f>
        <v>-</v>
      </c>
      <c r="B113" s="95" t="str">
        <f>$B$5</f>
        <v>箱數</v>
      </c>
    </row>
    <row r="114" spans="1:2" ht="13.5" x14ac:dyDescent="0.15">
      <c r="A114" s="201"/>
      <c r="B114" s="95" t="str">
        <f>$B$6</f>
        <v>散粉</v>
      </c>
    </row>
    <row r="115" spans="1:2" ht="13.5" x14ac:dyDescent="0.15">
      <c r="A115" s="201"/>
      <c r="B115" s="95" t="str">
        <f>$B$7</f>
        <v>總用量</v>
      </c>
    </row>
    <row r="116" spans="1:2" ht="13.5" x14ac:dyDescent="0.15">
      <c r="A116" s="201"/>
      <c r="B116" s="95" t="str">
        <f>$B$8</f>
        <v>回庫</v>
      </c>
    </row>
    <row r="117" spans="1:2" ht="13.5" x14ac:dyDescent="0.15">
      <c r="A117" s="201" t="str">
        <f>IF(烤漆色號編碼!A114="","-",烤漆色號編碼!A114)</f>
        <v>-</v>
      </c>
      <c r="B117" s="95" t="str">
        <f>$B$5</f>
        <v>箱數</v>
      </c>
    </row>
    <row r="118" spans="1:2" ht="13.5" x14ac:dyDescent="0.15">
      <c r="A118" s="201"/>
      <c r="B118" s="95" t="str">
        <f>$B$6</f>
        <v>散粉</v>
      </c>
    </row>
    <row r="119" spans="1:2" ht="13.5" x14ac:dyDescent="0.15">
      <c r="A119" s="201"/>
      <c r="B119" s="95" t="str">
        <f>$B$7</f>
        <v>總用量</v>
      </c>
    </row>
    <row r="120" spans="1:2" ht="13.5" x14ac:dyDescent="0.15">
      <c r="A120" s="201"/>
      <c r="B120" s="95" t="str">
        <f>$B$8</f>
        <v>回庫</v>
      </c>
    </row>
    <row r="121" spans="1:2" ht="13.5" x14ac:dyDescent="0.15">
      <c r="A121" s="201" t="str">
        <f>IF(烤漆色號編碼!A115="","-",烤漆色號編碼!A115)</f>
        <v>-</v>
      </c>
      <c r="B121" s="95" t="str">
        <f>$B$5</f>
        <v>箱數</v>
      </c>
    </row>
    <row r="122" spans="1:2" ht="13.5" x14ac:dyDescent="0.15">
      <c r="A122" s="201"/>
      <c r="B122" s="95" t="str">
        <f>$B$6</f>
        <v>散粉</v>
      </c>
    </row>
    <row r="123" spans="1:2" ht="13.5" x14ac:dyDescent="0.15">
      <c r="A123" s="201"/>
      <c r="B123" s="95" t="str">
        <f>$B$7</f>
        <v>總用量</v>
      </c>
    </row>
    <row r="124" spans="1:2" ht="13.5" x14ac:dyDescent="0.15">
      <c r="A124" s="201"/>
      <c r="B124" s="95" t="str">
        <f>$B$8</f>
        <v>回庫</v>
      </c>
    </row>
    <row r="125" spans="1:2" ht="13.5" x14ac:dyDescent="0.15">
      <c r="A125" s="201" t="str">
        <f>IF(烤漆色號編碼!A122="","-",烤漆色號編碼!A122)</f>
        <v>-</v>
      </c>
      <c r="B125" s="95" t="str">
        <f>$B$5</f>
        <v>箱數</v>
      </c>
    </row>
    <row r="126" spans="1:2" ht="13.5" x14ac:dyDescent="0.15">
      <c r="A126" s="201"/>
      <c r="B126" s="95" t="str">
        <f>$B$6</f>
        <v>散粉</v>
      </c>
    </row>
    <row r="127" spans="1:2" ht="13.5" x14ac:dyDescent="0.15">
      <c r="A127" s="201"/>
      <c r="B127" s="95" t="str">
        <f>$B$7</f>
        <v>總用量</v>
      </c>
    </row>
    <row r="128" spans="1:2" ht="13.5" x14ac:dyDescent="0.15">
      <c r="A128" s="201"/>
      <c r="B128" s="95" t="str">
        <f>$B$8</f>
        <v>回庫</v>
      </c>
    </row>
    <row r="129" spans="1:2" ht="13.5" x14ac:dyDescent="0.15">
      <c r="A129" s="201" t="str">
        <f>IF(烤漆色號編碼!A123="","-",烤漆色號編碼!A123)</f>
        <v>-</v>
      </c>
      <c r="B129" s="95" t="str">
        <f>$B$5</f>
        <v>箱數</v>
      </c>
    </row>
    <row r="130" spans="1:2" ht="13.5" x14ac:dyDescent="0.15">
      <c r="A130" s="201"/>
      <c r="B130" s="95" t="str">
        <f>$B$6</f>
        <v>散粉</v>
      </c>
    </row>
    <row r="131" spans="1:2" ht="13.5" x14ac:dyDescent="0.15">
      <c r="A131" s="201"/>
      <c r="B131" s="95" t="str">
        <f>$B$7</f>
        <v>總用量</v>
      </c>
    </row>
    <row r="132" spans="1:2" ht="13.5" x14ac:dyDescent="0.15">
      <c r="A132" s="201"/>
      <c r="B132" s="95" t="str">
        <f>$B$8</f>
        <v>回庫</v>
      </c>
    </row>
    <row r="133" spans="1:2" ht="13.5" x14ac:dyDescent="0.15">
      <c r="A133" s="201" t="str">
        <f>IF(烤漆色號編碼!A130="","-",烤漆色號編碼!A130)</f>
        <v>-</v>
      </c>
      <c r="B133" s="95" t="str">
        <f>$B$5</f>
        <v>箱數</v>
      </c>
    </row>
    <row r="134" spans="1:2" ht="13.5" x14ac:dyDescent="0.15">
      <c r="A134" s="201"/>
      <c r="B134" s="95" t="str">
        <f>$B$6</f>
        <v>散粉</v>
      </c>
    </row>
    <row r="135" spans="1:2" ht="13.5" x14ac:dyDescent="0.15">
      <c r="A135" s="201"/>
      <c r="B135" s="95" t="str">
        <f>$B$7</f>
        <v>總用量</v>
      </c>
    </row>
    <row r="136" spans="1:2" ht="13.5" x14ac:dyDescent="0.15">
      <c r="A136" s="201"/>
      <c r="B136" s="95" t="str">
        <f>$B$8</f>
        <v>回庫</v>
      </c>
    </row>
    <row r="137" spans="1:2" ht="13.5" x14ac:dyDescent="0.15">
      <c r="A137" s="201" t="str">
        <f>IF(烤漆色號編碼!A131="","-",烤漆色號編碼!A131)</f>
        <v>-</v>
      </c>
      <c r="B137" s="95" t="str">
        <f>$B$5</f>
        <v>箱數</v>
      </c>
    </row>
    <row r="138" spans="1:2" ht="13.5" x14ac:dyDescent="0.15">
      <c r="A138" s="201"/>
      <c r="B138" s="95" t="str">
        <f>$B$6</f>
        <v>散粉</v>
      </c>
    </row>
    <row r="139" spans="1:2" ht="13.5" x14ac:dyDescent="0.15">
      <c r="A139" s="201"/>
      <c r="B139" s="95" t="str">
        <f>$B$7</f>
        <v>總用量</v>
      </c>
    </row>
    <row r="140" spans="1:2" ht="13.5" x14ac:dyDescent="0.15">
      <c r="A140" s="201"/>
      <c r="B140" s="95" t="str">
        <f>$B$8</f>
        <v>回庫</v>
      </c>
    </row>
    <row r="141" spans="1:2" ht="13.5" x14ac:dyDescent="0.15">
      <c r="A141" s="201" t="str">
        <f>IF(烤漆色號編碼!A138="","-",烤漆色號編碼!A138)</f>
        <v>-</v>
      </c>
      <c r="B141" s="95" t="str">
        <f>$B$5</f>
        <v>箱數</v>
      </c>
    </row>
    <row r="142" spans="1:2" ht="13.5" x14ac:dyDescent="0.15">
      <c r="A142" s="201"/>
      <c r="B142" s="95" t="str">
        <f>$B$6</f>
        <v>散粉</v>
      </c>
    </row>
    <row r="143" spans="1:2" ht="13.5" x14ac:dyDescent="0.15">
      <c r="A143" s="201"/>
      <c r="B143" s="95" t="str">
        <f>$B$7</f>
        <v>總用量</v>
      </c>
    </row>
    <row r="144" spans="1:2" ht="13.5" x14ac:dyDescent="0.15">
      <c r="A144" s="201"/>
      <c r="B144" s="95" t="str">
        <f>$B$8</f>
        <v>回庫</v>
      </c>
    </row>
    <row r="145" spans="1:2" ht="13.5" x14ac:dyDescent="0.15">
      <c r="A145" s="201" t="str">
        <f>IF(烤漆色號編碼!A139="","-",烤漆色號編碼!A139)</f>
        <v>-</v>
      </c>
      <c r="B145" s="95" t="str">
        <f>$B$5</f>
        <v>箱數</v>
      </c>
    </row>
    <row r="146" spans="1:2" ht="13.5" x14ac:dyDescent="0.15">
      <c r="A146" s="201"/>
      <c r="B146" s="95" t="str">
        <f>$B$6</f>
        <v>散粉</v>
      </c>
    </row>
    <row r="147" spans="1:2" ht="13.5" x14ac:dyDescent="0.15">
      <c r="A147" s="201"/>
      <c r="B147" s="95" t="str">
        <f>$B$7</f>
        <v>總用量</v>
      </c>
    </row>
    <row r="148" spans="1:2" ht="13.5" x14ac:dyDescent="0.15">
      <c r="A148" s="201"/>
      <c r="B148" s="95" t="str">
        <f>$B$8</f>
        <v>回庫</v>
      </c>
    </row>
    <row r="149" spans="1:2" ht="13.5" x14ac:dyDescent="0.15">
      <c r="A149" s="201" t="str">
        <f>IF(烤漆色號編碼!A146="","-",烤漆色號編碼!A146)</f>
        <v>-</v>
      </c>
      <c r="B149" s="95" t="str">
        <f>$B$5</f>
        <v>箱數</v>
      </c>
    </row>
    <row r="150" spans="1:2" ht="13.5" x14ac:dyDescent="0.15">
      <c r="A150" s="201"/>
      <c r="B150" s="95" t="str">
        <f>$B$6</f>
        <v>散粉</v>
      </c>
    </row>
    <row r="151" spans="1:2" ht="13.5" x14ac:dyDescent="0.15">
      <c r="A151" s="201"/>
      <c r="B151" s="95" t="str">
        <f>$B$7</f>
        <v>總用量</v>
      </c>
    </row>
    <row r="152" spans="1:2" ht="13.5" x14ac:dyDescent="0.15">
      <c r="A152" s="201"/>
      <c r="B152" s="95" t="str">
        <f>$B$8</f>
        <v>回庫</v>
      </c>
    </row>
    <row r="153" spans="1:2" ht="13.5" x14ac:dyDescent="0.15">
      <c r="A153" s="201" t="str">
        <f>IF(烤漆色號編碼!A147="","-",烤漆色號編碼!A147)</f>
        <v>-</v>
      </c>
      <c r="B153" s="95" t="str">
        <f>$B$5</f>
        <v>箱數</v>
      </c>
    </row>
    <row r="154" spans="1:2" ht="13.5" x14ac:dyDescent="0.15">
      <c r="A154" s="201"/>
      <c r="B154" s="95" t="str">
        <f>$B$6</f>
        <v>散粉</v>
      </c>
    </row>
    <row r="155" spans="1:2" ht="13.5" x14ac:dyDescent="0.15">
      <c r="A155" s="201"/>
      <c r="B155" s="95" t="str">
        <f>$B$7</f>
        <v>總用量</v>
      </c>
    </row>
    <row r="156" spans="1:2" ht="13.5" x14ac:dyDescent="0.15">
      <c r="A156" s="201"/>
      <c r="B156" s="95" t="str">
        <f>$B$8</f>
        <v>回庫</v>
      </c>
    </row>
    <row r="157" spans="1:2" ht="13.5" x14ac:dyDescent="0.15">
      <c r="A157" s="201" t="str">
        <f>IF(烤漆色號編碼!A154="","-",烤漆色號編碼!A154)</f>
        <v>-</v>
      </c>
      <c r="B157" s="95" t="str">
        <f>$B$5</f>
        <v>箱數</v>
      </c>
    </row>
    <row r="158" spans="1:2" ht="13.5" x14ac:dyDescent="0.15">
      <c r="A158" s="201"/>
      <c r="B158" s="95" t="str">
        <f>$B$6</f>
        <v>散粉</v>
      </c>
    </row>
    <row r="159" spans="1:2" ht="13.5" x14ac:dyDescent="0.15">
      <c r="A159" s="201"/>
      <c r="B159" s="95" t="str">
        <f>$B$7</f>
        <v>總用量</v>
      </c>
    </row>
    <row r="160" spans="1:2" ht="13.5" x14ac:dyDescent="0.15">
      <c r="A160" s="201"/>
      <c r="B160" s="95" t="str">
        <f>$B$8</f>
        <v>回庫</v>
      </c>
    </row>
    <row r="161" spans="1:2" ht="13.5" x14ac:dyDescent="0.15">
      <c r="A161" s="201" t="str">
        <f>IF(烤漆色號編碼!A155="","-",烤漆色號編碼!A155)</f>
        <v>-</v>
      </c>
      <c r="B161" s="95" t="str">
        <f>$B$5</f>
        <v>箱數</v>
      </c>
    </row>
    <row r="162" spans="1:2" ht="13.5" x14ac:dyDescent="0.15">
      <c r="A162" s="201"/>
      <c r="B162" s="95" t="str">
        <f>$B$6</f>
        <v>散粉</v>
      </c>
    </row>
    <row r="163" spans="1:2" ht="13.5" x14ac:dyDescent="0.15">
      <c r="A163" s="201"/>
      <c r="B163" s="95" t="str">
        <f>$B$7</f>
        <v>總用量</v>
      </c>
    </row>
    <row r="164" spans="1:2" ht="13.5" x14ac:dyDescent="0.15">
      <c r="A164" s="201"/>
      <c r="B164" s="95" t="str">
        <f>$B$8</f>
        <v>回庫</v>
      </c>
    </row>
    <row r="165" spans="1:2" ht="13.5" x14ac:dyDescent="0.15">
      <c r="A165" s="201" t="str">
        <f>IF(烤漆色號編碼!A162="","-",烤漆色號編碼!A162)</f>
        <v>-</v>
      </c>
      <c r="B165" s="95" t="str">
        <f>$B$5</f>
        <v>箱數</v>
      </c>
    </row>
    <row r="166" spans="1:2" ht="13.5" x14ac:dyDescent="0.15">
      <c r="A166" s="201"/>
      <c r="B166" s="95" t="str">
        <f>$B$6</f>
        <v>散粉</v>
      </c>
    </row>
    <row r="167" spans="1:2" ht="13.5" x14ac:dyDescent="0.15">
      <c r="A167" s="201"/>
      <c r="B167" s="95" t="str">
        <f>$B$7</f>
        <v>總用量</v>
      </c>
    </row>
    <row r="168" spans="1:2" ht="13.5" x14ac:dyDescent="0.15">
      <c r="A168" s="201"/>
      <c r="B168" s="95" t="str">
        <f>$B$8</f>
        <v>回庫</v>
      </c>
    </row>
    <row r="169" spans="1:2" ht="13.5" x14ac:dyDescent="0.15">
      <c r="A169" s="201" t="str">
        <f>IF(烤漆色號編碼!A163="","-",烤漆色號編碼!A163)</f>
        <v>-</v>
      </c>
      <c r="B169" s="95" t="str">
        <f>$B$5</f>
        <v>箱數</v>
      </c>
    </row>
    <row r="170" spans="1:2" ht="13.5" x14ac:dyDescent="0.15">
      <c r="A170" s="201"/>
      <c r="B170" s="95" t="str">
        <f>$B$6</f>
        <v>散粉</v>
      </c>
    </row>
    <row r="171" spans="1:2" ht="13.5" x14ac:dyDescent="0.15">
      <c r="A171" s="201"/>
      <c r="B171" s="95" t="str">
        <f>$B$7</f>
        <v>總用量</v>
      </c>
    </row>
    <row r="172" spans="1:2" ht="13.5" x14ac:dyDescent="0.15">
      <c r="A172" s="201"/>
      <c r="B172" s="95" t="str">
        <f>$B$8</f>
        <v>回庫</v>
      </c>
    </row>
    <row r="173" spans="1:2" ht="13.5" x14ac:dyDescent="0.15">
      <c r="A173" s="201" t="str">
        <f>IF(烤漆色號編碼!A170="","-",烤漆色號編碼!A170)</f>
        <v>-</v>
      </c>
      <c r="B173" s="95" t="str">
        <f>$B$5</f>
        <v>箱數</v>
      </c>
    </row>
    <row r="174" spans="1:2" ht="13.5" x14ac:dyDescent="0.15">
      <c r="A174" s="201"/>
      <c r="B174" s="95" t="str">
        <f>$B$6</f>
        <v>散粉</v>
      </c>
    </row>
    <row r="175" spans="1:2" ht="13.5" x14ac:dyDescent="0.15">
      <c r="A175" s="201"/>
      <c r="B175" s="95" t="str">
        <f>$B$7</f>
        <v>總用量</v>
      </c>
    </row>
    <row r="176" spans="1:2" ht="13.5" x14ac:dyDescent="0.15">
      <c r="A176" s="201"/>
      <c r="B176" s="95" t="str">
        <f>$B$8</f>
        <v>回庫</v>
      </c>
    </row>
    <row r="177" spans="1:2" ht="13.5" x14ac:dyDescent="0.15">
      <c r="A177" s="201" t="str">
        <f>IF(烤漆色號編碼!A171="","-",烤漆色號編碼!A171)</f>
        <v>-</v>
      </c>
      <c r="B177" s="95" t="str">
        <f>$B$5</f>
        <v>箱數</v>
      </c>
    </row>
    <row r="178" spans="1:2" ht="13.5" x14ac:dyDescent="0.15">
      <c r="A178" s="201"/>
      <c r="B178" s="95" t="str">
        <f>$B$6</f>
        <v>散粉</v>
      </c>
    </row>
    <row r="179" spans="1:2" ht="13.5" x14ac:dyDescent="0.15">
      <c r="A179" s="201"/>
      <c r="B179" s="95" t="str">
        <f>$B$7</f>
        <v>總用量</v>
      </c>
    </row>
    <row r="180" spans="1:2" ht="13.5" x14ac:dyDescent="0.15">
      <c r="A180" s="201"/>
      <c r="B180" s="95" t="str">
        <f>$B$8</f>
        <v>回庫</v>
      </c>
    </row>
    <row r="181" spans="1:2" ht="13.5" x14ac:dyDescent="0.15">
      <c r="A181" s="201" t="str">
        <f>IF(烤漆色號編碼!A178="","-",烤漆色號編碼!A178)</f>
        <v>-</v>
      </c>
      <c r="B181" s="95" t="str">
        <f>$B$5</f>
        <v>箱數</v>
      </c>
    </row>
    <row r="182" spans="1:2" ht="13.5" x14ac:dyDescent="0.15">
      <c r="A182" s="201"/>
      <c r="B182" s="95" t="str">
        <f>$B$6</f>
        <v>散粉</v>
      </c>
    </row>
    <row r="183" spans="1:2" ht="13.5" x14ac:dyDescent="0.15">
      <c r="A183" s="201"/>
      <c r="B183" s="95" t="str">
        <f>$B$7</f>
        <v>總用量</v>
      </c>
    </row>
    <row r="184" spans="1:2" ht="13.5" x14ac:dyDescent="0.15">
      <c r="A184" s="201"/>
      <c r="B184" s="95" t="str">
        <f>$B$8</f>
        <v>回庫</v>
      </c>
    </row>
    <row r="185" spans="1:2" ht="13.5" x14ac:dyDescent="0.15">
      <c r="A185" s="201" t="str">
        <f>IF(烤漆色號編碼!A179="","-",烤漆色號編碼!A179)</f>
        <v>-</v>
      </c>
      <c r="B185" s="95" t="str">
        <f>$B$5</f>
        <v>箱數</v>
      </c>
    </row>
    <row r="186" spans="1:2" ht="13.5" x14ac:dyDescent="0.15">
      <c r="A186" s="201"/>
      <c r="B186" s="95" t="str">
        <f>$B$6</f>
        <v>散粉</v>
      </c>
    </row>
    <row r="187" spans="1:2" ht="13.5" x14ac:dyDescent="0.15">
      <c r="A187" s="201"/>
      <c r="B187" s="95" t="str">
        <f>$B$7</f>
        <v>總用量</v>
      </c>
    </row>
    <row r="188" spans="1:2" ht="13.5" x14ac:dyDescent="0.15">
      <c r="A188" s="201"/>
      <c r="B188" s="95" t="str">
        <f>$B$8</f>
        <v>回庫</v>
      </c>
    </row>
    <row r="189" spans="1:2" ht="13.5" x14ac:dyDescent="0.15">
      <c r="A189" s="201" t="str">
        <f>IF(烤漆色號編碼!A186="","-",烤漆色號編碼!A186)</f>
        <v>-</v>
      </c>
      <c r="B189" s="95" t="str">
        <f>$B$5</f>
        <v>箱數</v>
      </c>
    </row>
    <row r="190" spans="1:2" ht="13.5" x14ac:dyDescent="0.15">
      <c r="A190" s="201"/>
      <c r="B190" s="95" t="str">
        <f>$B$6</f>
        <v>散粉</v>
      </c>
    </row>
    <row r="191" spans="1:2" ht="13.5" x14ac:dyDescent="0.15">
      <c r="A191" s="201"/>
      <c r="B191" s="95" t="str">
        <f>$B$7</f>
        <v>總用量</v>
      </c>
    </row>
    <row r="192" spans="1:2" ht="13.5" x14ac:dyDescent="0.15">
      <c r="A192" s="201"/>
      <c r="B192" s="95" t="str">
        <f>$B$8</f>
        <v>回庫</v>
      </c>
    </row>
    <row r="193" spans="1:2" ht="13.5" x14ac:dyDescent="0.15">
      <c r="A193" s="201" t="str">
        <f>IF(烤漆色號編碼!A187="","-",烤漆色號編碼!A187)</f>
        <v>-</v>
      </c>
      <c r="B193" s="95" t="str">
        <f>$B$5</f>
        <v>箱數</v>
      </c>
    </row>
    <row r="194" spans="1:2" ht="13.5" x14ac:dyDescent="0.15">
      <c r="A194" s="201"/>
    </row>
    <row r="195" spans="1:2" ht="13.5" x14ac:dyDescent="0.15">
      <c r="A195" s="201"/>
    </row>
    <row r="196" spans="1:2" ht="13.5" x14ac:dyDescent="0.15">
      <c r="A196" s="201"/>
    </row>
    <row r="197" spans="1:2" ht="13.5" x14ac:dyDescent="0.15">
      <c r="A197" s="201" t="str">
        <f>IF(烤漆色號編碼!A194="","-",烤漆色號編碼!A194)</f>
        <v>-</v>
      </c>
    </row>
    <row r="198" spans="1:2" ht="13.5" x14ac:dyDescent="0.15">
      <c r="A198" s="201"/>
    </row>
    <row r="199" spans="1:2" ht="13.5" x14ac:dyDescent="0.15">
      <c r="A199" s="201"/>
    </row>
    <row r="200" spans="1:2" ht="13.5" x14ac:dyDescent="0.15">
      <c r="A200" s="201"/>
    </row>
    <row r="201" spans="1:2" ht="13.5" x14ac:dyDescent="0.15">
      <c r="A201" s="201" t="str">
        <f>IF(烤漆色號編碼!A195="","-",烤漆色號編碼!A195)</f>
        <v>-</v>
      </c>
    </row>
    <row r="202" spans="1:2" ht="13.5" x14ac:dyDescent="0.15">
      <c r="A202" s="201"/>
    </row>
    <row r="203" spans="1:2" ht="13.5" x14ac:dyDescent="0.15">
      <c r="A203" s="201"/>
    </row>
    <row r="204" spans="1:2" ht="13.5" x14ac:dyDescent="0.15">
      <c r="A204" s="201"/>
    </row>
    <row r="205" spans="1:2" ht="13.5" x14ac:dyDescent="0.15">
      <c r="A205" s="201" t="str">
        <f>IF(烤漆色號編碼!A202="","-",烤漆色號編碼!A202)</f>
        <v>-</v>
      </c>
    </row>
    <row r="206" spans="1:2" ht="13.5" x14ac:dyDescent="0.15">
      <c r="A206" s="201"/>
    </row>
    <row r="207" spans="1:2" ht="13.5" x14ac:dyDescent="0.15">
      <c r="A207" s="201"/>
    </row>
    <row r="208" spans="1:2" ht="13.5" x14ac:dyDescent="0.15">
      <c r="A208" s="201"/>
    </row>
    <row r="209" spans="1:1" ht="13.5" x14ac:dyDescent="0.15">
      <c r="A209" s="201" t="str">
        <f>IF(烤漆色號編碼!A203="","-",烤漆色號編碼!A203)</f>
        <v>-</v>
      </c>
    </row>
    <row r="210" spans="1:1" ht="13.5" x14ac:dyDescent="0.15">
      <c r="A210" s="201"/>
    </row>
    <row r="211" spans="1:1" ht="13.5" x14ac:dyDescent="0.15">
      <c r="A211" s="201"/>
    </row>
    <row r="212" spans="1:1" ht="13.5" x14ac:dyDescent="0.15">
      <c r="A212" s="201"/>
    </row>
    <row r="213" spans="1:1" ht="13.5" x14ac:dyDescent="0.15">
      <c r="A213" s="201" t="str">
        <f>IF(烤漆色號編碼!A210="","-",烤漆色號編碼!A210)</f>
        <v>-</v>
      </c>
    </row>
    <row r="214" spans="1:1" ht="13.5" x14ac:dyDescent="0.15">
      <c r="A214" s="201"/>
    </row>
    <row r="215" spans="1:1" ht="13.5" x14ac:dyDescent="0.15">
      <c r="A215" s="201"/>
    </row>
    <row r="216" spans="1:1" ht="13.5" x14ac:dyDescent="0.15">
      <c r="A216" s="201"/>
    </row>
    <row r="217" spans="1:1" ht="13.5" x14ac:dyDescent="0.15">
      <c r="A217" s="201" t="str">
        <f>IF(烤漆色號編碼!A211="","-",烤漆色號編碼!A211)</f>
        <v>-</v>
      </c>
    </row>
    <row r="218" spans="1:1" ht="13.5" x14ac:dyDescent="0.15">
      <c r="A218" s="201"/>
    </row>
    <row r="219" spans="1:1" ht="13.5" x14ac:dyDescent="0.15">
      <c r="A219" s="201"/>
    </row>
    <row r="220" spans="1:1" ht="13.5" x14ac:dyDescent="0.15">
      <c r="A220" s="201"/>
    </row>
    <row r="221" spans="1:1" ht="13.5" x14ac:dyDescent="0.15">
      <c r="A221" s="201" t="str">
        <f>IF(烤漆色號編碼!A218="","-",烤漆色號編碼!A218)</f>
        <v>-</v>
      </c>
    </row>
    <row r="222" spans="1:1" ht="13.5" x14ac:dyDescent="0.15">
      <c r="A222" s="201"/>
    </row>
    <row r="223" spans="1:1" ht="13.5" x14ac:dyDescent="0.15">
      <c r="A223" s="201"/>
    </row>
    <row r="224" spans="1:1" ht="13.5" x14ac:dyDescent="0.15">
      <c r="A224" s="201"/>
    </row>
    <row r="225" spans="1:1" ht="13.5" x14ac:dyDescent="0.15">
      <c r="A225" s="201" t="str">
        <f>IF(烤漆色號編碼!A219="","-",烤漆色號編碼!A219)</f>
        <v>-</v>
      </c>
    </row>
    <row r="226" spans="1:1" ht="13.5" x14ac:dyDescent="0.15">
      <c r="A226" s="201"/>
    </row>
    <row r="227" spans="1:1" ht="13.5" x14ac:dyDescent="0.15">
      <c r="A227" s="201"/>
    </row>
    <row r="228" spans="1:1" ht="13.5" x14ac:dyDescent="0.15">
      <c r="A228" s="201"/>
    </row>
    <row r="229" spans="1:1" ht="13.5" x14ac:dyDescent="0.15">
      <c r="A229" s="201" t="str">
        <f>IF(烤漆色號編碼!A226="","-",烤漆色號編碼!A226)</f>
        <v>-</v>
      </c>
    </row>
    <row r="230" spans="1:1" ht="13.5" x14ac:dyDescent="0.15">
      <c r="A230" s="201"/>
    </row>
    <row r="231" spans="1:1" ht="13.5" x14ac:dyDescent="0.15">
      <c r="A231" s="201"/>
    </row>
    <row r="232" spans="1:1" ht="13.5" x14ac:dyDescent="0.15">
      <c r="A232" s="201"/>
    </row>
    <row r="233" spans="1:1" ht="13.5" x14ac:dyDescent="0.15">
      <c r="A233" s="201" t="str">
        <f>IF(烤漆色號編碼!A227="","-",烤漆色號編碼!A227)</f>
        <v>-</v>
      </c>
    </row>
    <row r="234" spans="1:1" ht="13.5" x14ac:dyDescent="0.15">
      <c r="A234" s="201"/>
    </row>
    <row r="235" spans="1:1" ht="13.5" x14ac:dyDescent="0.15">
      <c r="A235" s="201"/>
    </row>
    <row r="236" spans="1:1" ht="13.5" x14ac:dyDescent="0.15">
      <c r="A236" s="201"/>
    </row>
    <row r="237" spans="1:1" ht="13.5" x14ac:dyDescent="0.15">
      <c r="A237" s="201" t="str">
        <f>IF(烤漆色號編碼!A234="","-",烤漆色號編碼!A234)</f>
        <v>-</v>
      </c>
    </row>
    <row r="238" spans="1:1" ht="13.5" x14ac:dyDescent="0.15">
      <c r="A238" s="201"/>
    </row>
    <row r="239" spans="1:1" ht="13.5" x14ac:dyDescent="0.15">
      <c r="A239" s="201"/>
    </row>
    <row r="240" spans="1:1" ht="13.5" x14ac:dyDescent="0.15">
      <c r="A240" s="201"/>
    </row>
    <row r="241" spans="1:1" ht="13.5" x14ac:dyDescent="0.15">
      <c r="A241" s="201" t="str">
        <f>IF(烤漆色號編碼!A235="","-",烤漆色號編碼!A235)</f>
        <v>-</v>
      </c>
    </row>
    <row r="242" spans="1:1" ht="13.5" x14ac:dyDescent="0.15">
      <c r="A242" s="201"/>
    </row>
    <row r="243" spans="1:1" ht="13.5" x14ac:dyDescent="0.15">
      <c r="A243" s="201"/>
    </row>
    <row r="244" spans="1:1" ht="13.5" x14ac:dyDescent="0.15">
      <c r="A244" s="201"/>
    </row>
  </sheetData>
  <mergeCells count="64">
    <mergeCell ref="A2:C2"/>
    <mergeCell ref="D2:E2"/>
    <mergeCell ref="A1:R1"/>
    <mergeCell ref="A145:A148"/>
    <mergeCell ref="A217:A220"/>
    <mergeCell ref="A181:A184"/>
    <mergeCell ref="A77:A80"/>
    <mergeCell ref="A165:A168"/>
    <mergeCell ref="A45:A48"/>
    <mergeCell ref="A149:A152"/>
    <mergeCell ref="A29:A32"/>
    <mergeCell ref="A133:A136"/>
    <mergeCell ref="A21:A24"/>
    <mergeCell ref="A101:A104"/>
    <mergeCell ref="A85:A88"/>
    <mergeCell ref="A61:A64"/>
    <mergeCell ref="A241:A244"/>
    <mergeCell ref="A17:A20"/>
    <mergeCell ref="A129:A132"/>
    <mergeCell ref="A3:A4"/>
    <mergeCell ref="A5:A8"/>
    <mergeCell ref="A73:A76"/>
    <mergeCell ref="A33:A36"/>
    <mergeCell ref="A201:A204"/>
    <mergeCell ref="A65:A68"/>
    <mergeCell ref="A9:A12"/>
    <mergeCell ref="A109:A112"/>
    <mergeCell ref="A197:A200"/>
    <mergeCell ref="A141:A144"/>
    <mergeCell ref="A157:A160"/>
    <mergeCell ref="A93:A96"/>
    <mergeCell ref="A121:A124"/>
    <mergeCell ref="A117:A120"/>
    <mergeCell ref="A97:A100"/>
    <mergeCell ref="A25:A28"/>
    <mergeCell ref="A57:A60"/>
    <mergeCell ref="A41:A44"/>
    <mergeCell ref="A81:A84"/>
    <mergeCell ref="A13:A16"/>
    <mergeCell ref="A69:A72"/>
    <mergeCell ref="A53:A56"/>
    <mergeCell ref="A37:A40"/>
    <mergeCell ref="A225:A228"/>
    <mergeCell ref="A161:A164"/>
    <mergeCell ref="A169:A172"/>
    <mergeCell ref="A177:A180"/>
    <mergeCell ref="A185:A188"/>
    <mergeCell ref="A193:A196"/>
    <mergeCell ref="A209:A212"/>
    <mergeCell ref="A153:A156"/>
    <mergeCell ref="A49:A52"/>
    <mergeCell ref="A89:A92"/>
    <mergeCell ref="A105:A108"/>
    <mergeCell ref="A113:A116"/>
    <mergeCell ref="A237:A240"/>
    <mergeCell ref="A125:A128"/>
    <mergeCell ref="A221:A224"/>
    <mergeCell ref="A189:A192"/>
    <mergeCell ref="A205:A208"/>
    <mergeCell ref="A229:A232"/>
    <mergeCell ref="A213:A216"/>
    <mergeCell ref="A173:A176"/>
    <mergeCell ref="A233:A236"/>
    <mergeCell ref="A137:A140"/>
  </mergeCells>
  <conditionalFormatting sqref="C3:AJ321">
    <cfRule type="cellIs" dxfId="22" priority="1" operator="greaterThan">
      <formula>WEEKDAY(C$3,2)&gt;5</formula>
    </cfRule>
  </conditionalFormatting>
  <dataValidations count="2">
    <dataValidation type="list" allowBlank="1" sqref="G2" xr:uid="{00000000-0002-0000-0400-000000000000}">
      <formula1>$AL$3:$AL$14</formula1>
    </dataValidation>
    <dataValidation type="list" allowBlank="1" sqref="D2" xr:uid="{00000000-0002-0000-0400-000001000000}">
      <formula1>$AK$3:$AK$61</formula1>
    </dataValidation>
  </dataValidations>
  <pageMargins left="0.7" right="0.7" top="0.75" bottom="0.75" header="0" footer="0"/>
  <pageSetup paperSize="9" fitToWidth="0"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7"/>
  <sheetViews>
    <sheetView workbookViewId="0">
      <selection activeCell="C5" sqref="C5"/>
    </sheetView>
  </sheetViews>
  <sheetFormatPr defaultColWidth="13.97265625" defaultRowHeight="15" customHeight="1" x14ac:dyDescent="0.15"/>
  <cols>
    <col min="1" max="1" width="2.08203125" customWidth="1"/>
    <col min="2" max="2" width="3.4296875" customWidth="1"/>
    <col min="3" max="3" width="10.05078125" customWidth="1"/>
    <col min="4" max="4" width="11.03125" customWidth="1"/>
    <col min="5" max="5" width="8.3359375" customWidth="1"/>
    <col min="6" max="6" width="10.05078125" customWidth="1"/>
    <col min="7" max="7" width="14.953125" customWidth="1"/>
    <col min="8" max="8" width="15.078125" customWidth="1"/>
    <col min="9" max="10" width="10.05078125" customWidth="1"/>
    <col min="11" max="11" width="10.05078125" hidden="1" customWidth="1"/>
    <col min="12" max="12" width="7.72265625" hidden="1" customWidth="1"/>
    <col min="13" max="13" width="5.1484375" hidden="1" customWidth="1"/>
  </cols>
  <sheetData>
    <row r="1" spans="1:13" ht="8.25" customHeight="1" x14ac:dyDescent="0.15">
      <c r="A1" s="104"/>
      <c r="B1" s="105"/>
      <c r="C1" s="105"/>
      <c r="D1" s="106"/>
      <c r="E1" s="105"/>
      <c r="F1" s="105"/>
      <c r="G1" s="105"/>
      <c r="H1" s="105"/>
      <c r="I1" s="105"/>
      <c r="J1" s="104"/>
      <c r="K1" s="104"/>
      <c r="L1" s="105"/>
      <c r="M1" s="104"/>
    </row>
    <row r="2" spans="1:13" ht="13.5" customHeight="1" x14ac:dyDescent="0.15">
      <c r="A2" s="104"/>
      <c r="B2" s="107"/>
      <c r="C2" s="108" t="s">
        <v>357</v>
      </c>
      <c r="D2" s="109" t="s">
        <v>358</v>
      </c>
      <c r="E2" s="108" t="s">
        <v>359</v>
      </c>
      <c r="F2" s="108" t="s">
        <v>360</v>
      </c>
      <c r="G2" s="110">
        <f ca="1">TODAY()</f>
        <v>45987</v>
      </c>
      <c r="H2" s="111" t="e">
        <f>TEXT(WEEKDAY(每日用粉紀錄表!#REF!,1),"aaaa")</f>
        <v>#REF!</v>
      </c>
      <c r="I2" s="112"/>
      <c r="J2" s="112"/>
      <c r="K2" s="113"/>
      <c r="L2" s="114"/>
      <c r="M2" s="113"/>
    </row>
    <row r="3" spans="1:13" ht="13.5" customHeight="1" x14ac:dyDescent="0.15">
      <c r="A3" s="115"/>
      <c r="B3" s="116" t="s">
        <v>361</v>
      </c>
      <c r="C3" s="116" t="s">
        <v>23</v>
      </c>
      <c r="D3" s="116" t="s">
        <v>362</v>
      </c>
      <c r="E3" s="116" t="s">
        <v>17</v>
      </c>
      <c r="F3" s="116" t="s">
        <v>363</v>
      </c>
      <c r="G3" s="116" t="s">
        <v>358</v>
      </c>
      <c r="H3" s="116" t="s">
        <v>364</v>
      </c>
      <c r="I3" s="116" t="s">
        <v>365</v>
      </c>
      <c r="J3" s="116" t="s">
        <v>366</v>
      </c>
      <c r="K3" s="114"/>
      <c r="L3" s="114"/>
      <c r="M3" s="114"/>
    </row>
    <row r="4" spans="1:13" ht="13.5" customHeight="1" x14ac:dyDescent="0.15">
      <c r="A4" s="117"/>
      <c r="B4" s="118">
        <f t="shared" ref="B4:B86" si="0">MAX(B$3:$B3)+1</f>
        <v>1</v>
      </c>
      <c r="C4" s="119" t="str">
        <f>IF(烤漆色號編碼!A2="","-",烤漆色號編碼!A2)</f>
        <v>DP-11485</v>
      </c>
      <c r="D4" s="55" t="str">
        <f>IF(烤漆色號編碼!C2="","-",烤漆色號編碼!C2)</f>
        <v>白亮光</v>
      </c>
      <c r="E4" s="119" t="str">
        <f>IF(烤漆色號編碼!B2="","-",烤漆色號編碼!B2)</f>
        <v>WE</v>
      </c>
      <c r="F4" s="120">
        <f>SUMIFS(期初庫存!F:F,期初庫存!C:C,C4)+SUMIFS(採購入庫!H:H,採購入庫!D:D,C4)-SUMIFS(借出!H:H,借出!D:D,C4)-SUMIFS(每日用粉紀錄表!G:G,每日用粉紀錄表!C:C,C4)+SUMIFS(歸還!H:H,歸還!D:D,C4)+SUMIFS(每日用粉紀錄表!I:I,每日用粉紀錄表!C:C,C4)</f>
        <v>38</v>
      </c>
      <c r="G4" s="120">
        <f>SUMIFS(期初庫存!G:G,期初庫存!C:C,C4)+SUMIFS(採購入庫!G:G,採購入庫!D:D,C4)-SUMIFS(每日用粉紀錄表!F:F,每日用粉紀錄表!C:C,C4)-SUMIFS(借出!G:G,借出!D:D,C4)+SUMIFS(歸還!G:G,歸還!D:D,C4)</f>
        <v>1</v>
      </c>
      <c r="H4" s="119"/>
      <c r="I4" s="121" t="str">
        <f t="shared" ref="I4:I103" si="1">IF(H4&gt;G4,"採購","否")</f>
        <v>否</v>
      </c>
      <c r="J4" s="119">
        <f t="shared" ref="J4:J33" si="2">IFERROR($G4*25+$F4,"-")</f>
        <v>63</v>
      </c>
      <c r="K4" s="113"/>
      <c r="L4" s="114"/>
      <c r="M4" s="113"/>
    </row>
    <row r="5" spans="1:13" ht="13.5" customHeight="1" x14ac:dyDescent="0.15">
      <c r="A5" s="117"/>
      <c r="B5" s="118">
        <f t="shared" si="0"/>
        <v>2</v>
      </c>
      <c r="C5" s="119" t="str">
        <f>IF(烤漆色號編碼!A3="","-",烤漆色號編碼!A3)</f>
        <v>DP-1856</v>
      </c>
      <c r="D5" s="55" t="str">
        <f>IF(烤漆色號編碼!C3="","-",烤漆色號編碼!C3)</f>
        <v>灰白</v>
      </c>
      <c r="E5" s="119" t="str">
        <f>IF(烤漆色號編碼!B3="","-",烤漆色號編碼!B3)</f>
        <v>WE1</v>
      </c>
      <c r="F5" s="120">
        <f>SUMIFS(期初庫存!F:F,期初庫存!C:C,C5)+SUMIFS(採購入庫!H:H,採購入庫!D:D,C5)-SUMIFS(借出!H:H,借出!D:D,C5)-SUMIFS(每日用粉紀錄表!G:G,每日用粉紀錄表!C:C,C5)+SUMIFS(歸還!H:H,歸還!D:D,C5)+SUMIFS(每日用粉紀錄表!I:I,每日用粉紀錄表!C:C,C5)</f>
        <v>12</v>
      </c>
      <c r="G5" s="120">
        <f>SUMIFS(期初庫存!G:G,期初庫存!C:C,C5)+SUMIFS(採購入庫!G:G,採購入庫!D:D,C5)-SUMIFS(每日用粉紀錄表!F:F,每日用粉紀錄表!C:C,C5)-SUMIFS(借出!G:G,借出!D:D,C5)+SUMIFS(歸還!G:G,歸還!D:D,C5)</f>
        <v>1</v>
      </c>
      <c r="H5" s="119"/>
      <c r="I5" s="121" t="str">
        <f t="shared" si="1"/>
        <v>否</v>
      </c>
      <c r="J5" s="119">
        <f t="shared" si="2"/>
        <v>37</v>
      </c>
      <c r="K5" s="113"/>
      <c r="L5" s="114"/>
      <c r="M5" s="113"/>
    </row>
    <row r="6" spans="1:13" ht="13.5" customHeight="1" x14ac:dyDescent="0.15">
      <c r="A6" s="117"/>
      <c r="B6" s="118">
        <f t="shared" si="0"/>
        <v>3</v>
      </c>
      <c r="C6" s="119" t="str">
        <f>IF(烤漆色號編碼!A4="","-",烤漆色號編碼!A4)</f>
        <v>O-5905</v>
      </c>
      <c r="D6" s="55" t="str">
        <f>IF(烤漆色號編碼!C4="","-",烤漆色號編碼!C4)</f>
        <v>黃亮光</v>
      </c>
      <c r="E6" s="119" t="str">
        <f>IF(烤漆色號編碼!B4="","-",烤漆色號編碼!B4)</f>
        <v>換粉</v>
      </c>
      <c r="F6" s="120">
        <f>SUMIFS(期初庫存!F:F,期初庫存!C:C,C6)+SUMIFS(採購入庫!H:H,採購入庫!D:D,C6)-SUMIFS(借出!H:H,借出!D:D,C6)-SUMIFS(每日用粉紀錄表!G:G,每日用粉紀錄表!C:C,C6)+SUMIFS(歸還!H:H,歸還!D:D,C6)+SUMIFS(每日用粉紀錄表!I:I,每日用粉紀錄表!C:C,C6)</f>
        <v>0</v>
      </c>
      <c r="G6" s="120">
        <f>SUMIFS(期初庫存!G:G,期初庫存!C:C,C6)+SUMIFS(採購入庫!G:G,採購入庫!D:D,C6)-SUMIFS(每日用粉紀錄表!F:F,每日用粉紀錄表!C:C,C6)-SUMIFS(借出!G:G,借出!D:D,C6)+SUMIFS(歸還!G:G,歸還!D:D,C6)</f>
        <v>0</v>
      </c>
      <c r="H6" s="119"/>
      <c r="I6" s="121" t="str">
        <f t="shared" si="1"/>
        <v>否</v>
      </c>
      <c r="J6" s="119">
        <f t="shared" si="2"/>
        <v>0</v>
      </c>
      <c r="K6" s="113"/>
      <c r="L6" s="114"/>
      <c r="M6" s="113"/>
    </row>
    <row r="7" spans="1:13" ht="13.5" customHeight="1" x14ac:dyDescent="0.15">
      <c r="A7" s="117"/>
      <c r="B7" s="118">
        <f t="shared" si="0"/>
        <v>4</v>
      </c>
      <c r="C7" s="119" t="str">
        <f>IF(烤漆色號編碼!A5="","-",烤漆色號編碼!A5)</f>
        <v>New O-5905</v>
      </c>
      <c r="D7" s="55" t="str">
        <f>IF(烤漆色號編碼!C5="","-",烤漆色號編碼!C5)</f>
        <v>黃亮光</v>
      </c>
      <c r="E7" s="119" t="str">
        <f>IF(烤漆色號編碼!B5="","-",烤漆色號編碼!B5)</f>
        <v>換粉</v>
      </c>
      <c r="F7" s="120">
        <f>SUMIFS(期初庫存!F:F,期初庫存!C:C,C7)+SUMIFS(採購入庫!H:H,採購入庫!D:D,C7)-SUMIFS(借出!H:H,借出!D:D,C7)-SUMIFS(每日用粉紀錄表!G:G,每日用粉紀錄表!C:C,C7)+SUMIFS(歸還!H:H,歸還!D:D,C7)+SUMIFS(每日用粉紀錄表!I:I,每日用粉紀錄表!C:C,C7)</f>
        <v>7</v>
      </c>
      <c r="G7" s="120">
        <f>SUMIFS(期初庫存!G:G,期初庫存!C:C,C7)+SUMIFS(採購入庫!G:G,採購入庫!D:D,C7)-SUMIFS(每日用粉紀錄表!F:F,每日用粉紀錄表!C:C,C7)-SUMIFS(借出!G:G,借出!D:D,C7)+SUMIFS(歸還!G:G,歸還!D:D,C7)</f>
        <v>2</v>
      </c>
      <c r="H7" s="119"/>
      <c r="I7" s="121" t="str">
        <f t="shared" si="1"/>
        <v>否</v>
      </c>
      <c r="J7" s="119">
        <f t="shared" si="2"/>
        <v>57</v>
      </c>
      <c r="K7" s="113"/>
      <c r="L7" s="114"/>
      <c r="M7" s="113"/>
    </row>
    <row r="8" spans="1:13" ht="13.5" customHeight="1" x14ac:dyDescent="0.15">
      <c r="A8" s="117"/>
      <c r="B8" s="118">
        <f t="shared" si="0"/>
        <v>5</v>
      </c>
      <c r="C8" s="119" t="str">
        <f>IF(烤漆色號編碼!A6="","-",烤漆色號編碼!A6)</f>
        <v>790-41540H</v>
      </c>
      <c r="D8" s="55" t="str">
        <f>IF(烤漆色號編碼!C6="","-",烤漆色號編碼!C6)</f>
        <v>黃錘紋</v>
      </c>
      <c r="E8" s="119" t="str">
        <f>IF(烤漆色號編碼!B6="","-",烤漆色號編碼!B6)</f>
        <v>YWH</v>
      </c>
      <c r="F8" s="120">
        <f>SUMIFS(期初庫存!F:F,期初庫存!C:C,C8)+SUMIFS(採購入庫!H:H,採購入庫!D:D,C8)-SUMIFS(借出!H:H,借出!D:D,C8)-SUMIFS(每日用粉紀錄表!G:G,每日用粉紀錄表!C:C,C8)+SUMIFS(歸還!H:H,歸還!D:D,C8)+SUMIFS(每日用粉紀錄表!I:I,每日用粉紀錄表!C:C,C8)</f>
        <v>27</v>
      </c>
      <c r="G8" s="120">
        <f>SUMIFS(期初庫存!G:G,期初庫存!C:C,C8)+SUMIFS(採購入庫!G:G,採購入庫!D:D,C8)-SUMIFS(每日用粉紀錄表!F:F,每日用粉紀錄表!C:C,C8)-SUMIFS(借出!G:G,借出!D:D,C8)+SUMIFS(歸還!G:G,歸還!D:D,C8)</f>
        <v>0</v>
      </c>
      <c r="H8" s="119">
        <v>1</v>
      </c>
      <c r="I8" s="121" t="str">
        <f t="shared" si="1"/>
        <v>採購</v>
      </c>
      <c r="J8" s="119">
        <f t="shared" si="2"/>
        <v>27</v>
      </c>
      <c r="K8" s="113"/>
      <c r="L8" s="114"/>
      <c r="M8" s="113"/>
    </row>
    <row r="9" spans="1:13" ht="13.5" customHeight="1" x14ac:dyDescent="0.15">
      <c r="A9" s="117"/>
      <c r="B9" s="118">
        <f t="shared" si="0"/>
        <v>6</v>
      </c>
      <c r="C9" s="119" t="str">
        <f>IF(烤漆色號編碼!A7="","-",烤漆色號編碼!A7)</f>
        <v>780-310AT</v>
      </c>
      <c r="D9" s="55" t="str">
        <f>IF(烤漆色號編碼!C7="","-",烤漆色號編碼!C7)</f>
        <v>法拉利紅</v>
      </c>
      <c r="E9" s="119" t="str">
        <f>IF(烤漆色號編碼!B7="","-",烤漆色號編碼!B7)</f>
        <v>RD</v>
      </c>
      <c r="F9" s="120">
        <f>SUMIFS(期初庫存!F:F,期初庫存!C:C,C9)+SUMIFS(採購入庫!H:H,採購入庫!D:D,C9)-SUMIFS(借出!H:H,借出!D:D,C9)-SUMIFS(每日用粉紀錄表!G:G,每日用粉紀錄表!C:C,C9)+SUMIFS(歸還!H:H,歸還!D:D,C9)+SUMIFS(每日用粉紀錄表!I:I,每日用粉紀錄表!C:C,C9)</f>
        <v>11</v>
      </c>
      <c r="G9" s="120">
        <f>SUMIFS(期初庫存!G:G,期初庫存!C:C,C9)+SUMIFS(採購入庫!G:G,採購入庫!D:D,C9)-SUMIFS(每日用粉紀錄表!F:F,每日用粉紀錄表!C:C,C9)-SUMIFS(借出!G:G,借出!D:D,C9)+SUMIFS(歸還!G:G,歸還!D:D,C9)</f>
        <v>3</v>
      </c>
      <c r="H9" s="119">
        <v>1</v>
      </c>
      <c r="I9" s="121" t="str">
        <f t="shared" si="1"/>
        <v>否</v>
      </c>
      <c r="J9" s="119">
        <f t="shared" si="2"/>
        <v>86</v>
      </c>
      <c r="K9" s="113"/>
      <c r="L9" s="114"/>
      <c r="M9" s="113"/>
    </row>
    <row r="10" spans="1:13" ht="13.5" customHeight="1" x14ac:dyDescent="0.15">
      <c r="A10" s="117"/>
      <c r="B10" s="118">
        <f t="shared" si="0"/>
        <v>7</v>
      </c>
      <c r="C10" s="119" t="str">
        <f>IF(烤漆色號編碼!A8="","-",烤漆色號編碼!A8)</f>
        <v>LT-90442</v>
      </c>
      <c r="D10" s="55" t="str">
        <f>IF(烤漆色號編碼!C8="","-",烤漆色號編碼!C8)</f>
        <v>藍色</v>
      </c>
      <c r="E10" s="119" t="str">
        <f>IF(烤漆色號編碼!B8="","-",烤漆色號編碼!B8)</f>
        <v>BE</v>
      </c>
      <c r="F10" s="120">
        <f>SUMIFS(期初庫存!F:F,期初庫存!C:C,C10)+SUMIFS(採購入庫!H:H,採購入庫!D:D,C10)-SUMIFS(借出!H:H,借出!D:D,C10)-SUMIFS(每日用粉紀錄表!G:G,每日用粉紀錄表!C:C,C10)+SUMIFS(歸還!H:H,歸還!D:D,C10)+SUMIFS(每日用粉紀錄表!I:I,每日用粉紀錄表!C:C,C10)</f>
        <v>3</v>
      </c>
      <c r="G10" s="120">
        <f>SUMIFS(期初庫存!G:G,期初庫存!C:C,C10)+SUMIFS(採購入庫!G:G,採購入庫!D:D,C10)-SUMIFS(每日用粉紀錄表!F:F,每日用粉紀錄表!C:C,C10)-SUMIFS(借出!G:G,借出!D:D,C10)+SUMIFS(歸還!G:G,歸還!D:D,C10)</f>
        <v>2</v>
      </c>
      <c r="H10" s="119">
        <v>1</v>
      </c>
      <c r="I10" s="121" t="str">
        <f t="shared" si="1"/>
        <v>否</v>
      </c>
      <c r="J10" s="119">
        <f t="shared" si="2"/>
        <v>53</v>
      </c>
      <c r="K10" s="113"/>
      <c r="L10" s="114"/>
      <c r="M10" s="113"/>
    </row>
    <row r="11" spans="1:13" ht="13.5" customHeight="1" x14ac:dyDescent="0.15">
      <c r="A11" s="117"/>
      <c r="B11" s="118">
        <f t="shared" si="0"/>
        <v>8</v>
      </c>
      <c r="C11" s="119" t="str">
        <f>IF(烤漆色號編碼!A9="","-",烤漆色號編碼!A9)</f>
        <v>770-739</v>
      </c>
      <c r="D11" s="55" t="str">
        <f>IF(烤漆色號編碼!C9="","-",烤漆色號編碼!C9)</f>
        <v>豔藍-孔雀藍</v>
      </c>
      <c r="E11" s="119" t="str">
        <f>IF(烤漆色號編碼!B9="","-",烤漆色號編碼!B9)</f>
        <v>BEG</v>
      </c>
      <c r="F11" s="120">
        <f>SUMIFS(期初庫存!F:F,期初庫存!C:C,C11)+SUMIFS(採購入庫!H:H,採購入庫!D:D,C11)-SUMIFS(借出!H:H,借出!D:D,C11)-SUMIFS(每日用粉紀錄表!G:G,每日用粉紀錄表!C:C,C11)+SUMIFS(歸還!H:H,歸還!D:D,C11)+SUMIFS(每日用粉紀錄表!I:I,每日用粉紀錄表!C:C,C11)</f>
        <v>21</v>
      </c>
      <c r="G11" s="120">
        <f>SUMIFS(期初庫存!G:G,期初庫存!C:C,C11)+SUMIFS(採購入庫!G:G,採購入庫!D:D,C11)-SUMIFS(每日用粉紀錄表!F:F,每日用粉紀錄表!C:C,C11)-SUMIFS(借出!G:G,借出!D:D,C11)+SUMIFS(歸還!G:G,歸還!D:D,C11)</f>
        <v>4</v>
      </c>
      <c r="H11" s="119">
        <v>1</v>
      </c>
      <c r="I11" s="121" t="str">
        <f t="shared" si="1"/>
        <v>否</v>
      </c>
      <c r="J11" s="119">
        <f t="shared" si="2"/>
        <v>121</v>
      </c>
      <c r="K11" s="113"/>
      <c r="L11" s="114"/>
      <c r="M11" s="113"/>
    </row>
    <row r="12" spans="1:13" ht="13.5" customHeight="1" x14ac:dyDescent="0.15">
      <c r="A12" s="117"/>
      <c r="B12" s="118">
        <f t="shared" si="0"/>
        <v>9</v>
      </c>
      <c r="C12" s="119" t="str">
        <f>IF(烤漆色號編碼!A10="","-",烤漆色號編碼!A10)</f>
        <v>4950-502</v>
      </c>
      <c r="D12" s="55" t="str">
        <f>IF(烤漆色號編碼!C10="","-",烤漆色號編碼!C10)</f>
        <v>黑平光</v>
      </c>
      <c r="E12" s="119" t="str">
        <f>IF(烤漆色號編碼!B10="","-",烤漆色號編碼!B10)</f>
        <v>BK</v>
      </c>
      <c r="F12" s="120">
        <f>SUMIFS(期初庫存!F:F,期初庫存!C:C,C12)+SUMIFS(採購入庫!H:H,採購入庫!D:D,C12)-SUMIFS(借出!H:H,借出!D:D,C12)-SUMIFS(每日用粉紀錄表!G:G,每日用粉紀錄表!C:C,C12)+SUMIFS(歸還!H:H,歸還!D:D,C12)+SUMIFS(每日用粉紀錄表!I:I,每日用粉紀錄表!C:C,C12)</f>
        <v>2</v>
      </c>
      <c r="G12" s="120">
        <f>SUMIFS(期初庫存!G:G,期初庫存!C:C,C12)+SUMIFS(採購入庫!G:G,採購入庫!D:D,C12)-SUMIFS(每日用粉紀錄表!F:F,每日用粉紀錄表!C:C,C12)-SUMIFS(借出!G:G,借出!D:D,C12)+SUMIFS(歸還!G:G,歸還!D:D,C12)</f>
        <v>4</v>
      </c>
      <c r="H12" s="119">
        <v>1</v>
      </c>
      <c r="I12" s="121" t="str">
        <f t="shared" si="1"/>
        <v>否</v>
      </c>
      <c r="J12" s="119">
        <f t="shared" si="2"/>
        <v>102</v>
      </c>
      <c r="K12" s="113"/>
      <c r="L12" s="114"/>
      <c r="M12" s="113"/>
    </row>
    <row r="13" spans="1:13" ht="13.5" customHeight="1" x14ac:dyDescent="0.15">
      <c r="A13" s="117"/>
      <c r="B13" s="118">
        <f t="shared" si="0"/>
        <v>10</v>
      </c>
      <c r="C13" s="119" t="str">
        <f>IF(烤漆色號編碼!A11="","-",烤漆色號編碼!A11)</f>
        <v>EN-402T</v>
      </c>
      <c r="D13" s="55" t="str">
        <f>IF(烤漆色號編碼!C11="","-",烤漆色號編碼!C11)</f>
        <v>黑錘紋</v>
      </c>
      <c r="E13" s="119" t="str">
        <f>IF(烤漆色號編碼!B11="","-",烤漆色號編碼!B11)</f>
        <v>BKH</v>
      </c>
      <c r="F13" s="120">
        <f>SUMIFS(期初庫存!F:F,期初庫存!C:C,C13)+SUMIFS(採購入庫!H:H,採購入庫!D:D,C13)-SUMIFS(借出!H:H,借出!D:D,C13)-SUMIFS(每日用粉紀錄表!G:G,每日用粉紀錄表!C:C,C13)+SUMIFS(歸還!H:H,歸還!D:D,C13)+SUMIFS(每日用粉紀錄表!I:I,每日用粉紀錄表!C:C,C13)</f>
        <v>33</v>
      </c>
      <c r="G13" s="120">
        <f>SUMIFS(期初庫存!G:G,期初庫存!C:C,C13)+SUMIFS(採購入庫!G:G,採購入庫!D:D,C13)-SUMIFS(每日用粉紀錄表!F:F,每日用粉紀錄表!C:C,C13)-SUMIFS(借出!G:G,借出!D:D,C13)+SUMIFS(歸還!G:G,歸還!D:D,C13)</f>
        <v>0</v>
      </c>
      <c r="H13" s="122">
        <v>1</v>
      </c>
      <c r="I13" s="121" t="str">
        <f t="shared" si="1"/>
        <v>採購</v>
      </c>
      <c r="J13" s="119">
        <f t="shared" si="2"/>
        <v>33</v>
      </c>
      <c r="K13" s="113"/>
      <c r="L13" s="114"/>
      <c r="M13" s="113"/>
    </row>
    <row r="14" spans="1:13" ht="13.5" customHeight="1" x14ac:dyDescent="0.15">
      <c r="A14" s="117"/>
      <c r="B14" s="118">
        <f t="shared" si="0"/>
        <v>11</v>
      </c>
      <c r="C14" s="119" t="str">
        <f>IF(烤漆色號編碼!A12="","-",烤漆色號編碼!A12)</f>
        <v>K-91097G</v>
      </c>
      <c r="D14" s="55" t="str">
        <f>IF(烤漆色號編碼!C12="","-",烤漆色號編碼!C12)</f>
        <v>新黑砂</v>
      </c>
      <c r="E14" s="119" t="str">
        <f>IF(烤漆色號編碼!B12="","-",烤漆色號編碼!B12)</f>
        <v>BKS1</v>
      </c>
      <c r="F14" s="120">
        <f>SUMIFS(期初庫存!F:F,期初庫存!C:C,C14)+SUMIFS(採購入庫!H:H,採購入庫!D:D,C14)-SUMIFS(借出!H:H,借出!D:D,C14)-SUMIFS(每日用粉紀錄表!G:G,每日用粉紀錄表!C:C,C14)+SUMIFS(歸還!H:H,歸還!D:D,C14)+SUMIFS(每日用粉紀錄表!I:I,每日用粉紀錄表!C:C,C14)</f>
        <v>-6</v>
      </c>
      <c r="G14" s="120">
        <f>SUMIFS(期初庫存!G:G,期初庫存!C:C,C14)+SUMIFS(採購入庫!G:G,採購入庫!D:D,C14)-SUMIFS(每日用粉紀錄表!F:F,每日用粉紀錄表!C:C,C14)-SUMIFS(借出!G:G,借出!D:D,C14)+SUMIFS(歸還!G:G,歸還!D:D,C14)</f>
        <v>24</v>
      </c>
      <c r="H14" s="122">
        <v>8</v>
      </c>
      <c r="I14" s="121" t="str">
        <f t="shared" si="1"/>
        <v>否</v>
      </c>
      <c r="J14" s="119">
        <f t="shared" si="2"/>
        <v>594</v>
      </c>
      <c r="K14" s="113"/>
      <c r="L14" s="114"/>
      <c r="M14" s="113"/>
    </row>
    <row r="15" spans="1:13" ht="13.5" customHeight="1" x14ac:dyDescent="0.15">
      <c r="A15" s="117"/>
      <c r="B15" s="118">
        <f t="shared" si="0"/>
        <v>12</v>
      </c>
      <c r="C15" s="119" t="str">
        <f>IF(烤漆色號編碼!A13="","-",烤漆色號編碼!A13)</f>
        <v>780-45510H</v>
      </c>
      <c r="D15" s="55" t="str">
        <f>IF(烤漆色號編碼!C13="","-",烤漆色號編碼!C13)</f>
        <v>黑砂</v>
      </c>
      <c r="E15" s="119" t="str">
        <f>IF(烤漆色號編碼!B13="","-",烤漆色號編碼!B13)</f>
        <v>換粉</v>
      </c>
      <c r="F15" s="120">
        <f>SUMIFS(期初庫存!F:F,期初庫存!C:C,C15)+SUMIFS(採購入庫!H:H,採購入庫!D:D,C15)-SUMIFS(借出!H:H,借出!D:D,C15)-SUMIFS(每日用粉紀錄表!G:G,每日用粉紀錄表!C:C,C15)+SUMIFS(歸還!H:H,歸還!D:D,C15)+SUMIFS(每日用粉紀錄表!I:I,每日用粉紀錄表!C:C,C15)</f>
        <v>0</v>
      </c>
      <c r="G15" s="120">
        <f>SUMIFS(期初庫存!G:G,期初庫存!C:C,C15)+SUMIFS(採購入庫!G:G,採購入庫!D:D,C15)-SUMIFS(每日用粉紀錄表!F:F,每日用粉紀錄表!C:C,C15)-SUMIFS(借出!G:G,借出!D:D,C15)+SUMIFS(歸還!G:G,歸還!D:D,C15)</f>
        <v>0</v>
      </c>
      <c r="H15" s="122"/>
      <c r="I15" s="121" t="str">
        <f t="shared" si="1"/>
        <v>否</v>
      </c>
      <c r="J15" s="119">
        <f t="shared" si="2"/>
        <v>0</v>
      </c>
      <c r="K15" s="113"/>
      <c r="L15" s="114"/>
      <c r="M15" s="113"/>
    </row>
    <row r="16" spans="1:13" ht="13.5" customHeight="1" x14ac:dyDescent="0.15">
      <c r="A16" s="117"/>
      <c r="B16" s="118">
        <f t="shared" si="0"/>
        <v>13</v>
      </c>
      <c r="C16" s="119" t="str">
        <f>IF(烤漆色號編碼!A14="","-",烤漆色號編碼!A14)</f>
        <v>4605-505</v>
      </c>
      <c r="D16" s="55" t="str">
        <f>IF(烤漆色號編碼!C14="","-",烤漆色號編碼!C14)</f>
        <v>消光黑</v>
      </c>
      <c r="E16" s="119" t="str">
        <f>IF(烤漆色號編碼!B14="","-",烤漆色號編碼!B14)</f>
        <v>EBK</v>
      </c>
      <c r="F16" s="120">
        <f>SUMIFS(期初庫存!F:F,期初庫存!C:C,C16)+SUMIFS(採購入庫!H:H,採購入庫!D:D,C16)-SUMIFS(借出!H:H,借出!D:D,C16)-SUMIFS(每日用粉紀錄表!G:G,每日用粉紀錄表!C:C,C16)+SUMIFS(歸還!H:H,歸還!D:D,C16)+SUMIFS(每日用粉紀錄表!I:I,每日用粉紀錄表!C:C,C16)</f>
        <v>21</v>
      </c>
      <c r="G16" s="120">
        <f>SUMIFS(期初庫存!G:G,期初庫存!C:C,C16)+SUMIFS(採購入庫!G:G,採購入庫!D:D,C16)-SUMIFS(每日用粉紀錄表!F:F,每日用粉紀錄表!C:C,C16)-SUMIFS(借出!G:G,借出!D:D,C16)+SUMIFS(歸還!G:G,歸還!D:D,C16)</f>
        <v>3</v>
      </c>
      <c r="H16" s="122">
        <v>1</v>
      </c>
      <c r="I16" s="121" t="str">
        <f t="shared" si="1"/>
        <v>否</v>
      </c>
      <c r="J16" s="119">
        <f t="shared" si="2"/>
        <v>96</v>
      </c>
      <c r="K16" s="113"/>
      <c r="L16" s="114"/>
      <c r="M16" s="113"/>
    </row>
    <row r="17" spans="1:13" ht="13.5" customHeight="1" x14ac:dyDescent="0.15">
      <c r="A17" s="117"/>
      <c r="B17" s="118">
        <f t="shared" si="0"/>
        <v>14</v>
      </c>
      <c r="C17" s="119" t="str">
        <f>IF(烤漆色號編碼!A15="","-",烤漆色號編碼!A15)</f>
        <v>O-9850GSNB</v>
      </c>
      <c r="D17" s="55" t="str">
        <f>IF(烤漆色號編碼!C15="","-",烤漆色號編碼!C15)</f>
        <v>黑砂閃銀</v>
      </c>
      <c r="E17" s="119" t="str">
        <f>IF(烤漆色號編碼!B15="","-",烤漆色號編碼!B15)</f>
        <v>BKSA</v>
      </c>
      <c r="F17" s="120">
        <f>SUMIFS(期初庫存!F:F,期初庫存!C:C,C17)+SUMIFS(採購入庫!H:H,採購入庫!D:D,C17)-SUMIFS(借出!H:H,借出!D:D,C17)-SUMIFS(每日用粉紀錄表!G:G,每日用粉紀錄表!C:C,C17)+SUMIFS(歸還!H:H,歸還!D:D,C17)+SUMIFS(每日用粉紀錄表!I:I,每日用粉紀錄表!C:C,C17)</f>
        <v>65</v>
      </c>
      <c r="G17" s="120">
        <f>SUMIFS(期初庫存!G:G,期初庫存!C:C,C17)+SUMIFS(採購入庫!G:G,採購入庫!D:D,C17)-SUMIFS(每日用粉紀錄表!F:F,每日用粉紀錄表!C:C,C17)-SUMIFS(借出!G:G,借出!D:D,C17)+SUMIFS(歸還!G:G,歸還!D:D,C17)</f>
        <v>1</v>
      </c>
      <c r="H17" s="122">
        <v>1</v>
      </c>
      <c r="I17" s="121" t="str">
        <f t="shared" si="1"/>
        <v>否</v>
      </c>
      <c r="J17" s="119">
        <f t="shared" si="2"/>
        <v>90</v>
      </c>
      <c r="K17" s="113"/>
      <c r="L17" s="114"/>
      <c r="M17" s="113"/>
    </row>
    <row r="18" spans="1:13" ht="13.5" customHeight="1" x14ac:dyDescent="0.15">
      <c r="A18" s="117"/>
      <c r="B18" s="118">
        <f t="shared" si="0"/>
        <v>15</v>
      </c>
      <c r="C18" s="119" t="str">
        <f>IF(烤漆色號編碼!A16="","-",烤漆色號編碼!A16)</f>
        <v>K-9287S</v>
      </c>
      <c r="D18" s="55" t="str">
        <f>IF(烤漆色號編碼!C16="","-",烤漆色號編碼!C16)</f>
        <v>黑閃銀</v>
      </c>
      <c r="E18" s="119" t="str">
        <f>IF(烤漆色號編碼!B16="","-",烤漆色號編碼!B16)</f>
        <v>BKSA1</v>
      </c>
      <c r="F18" s="120">
        <f>SUMIFS(期初庫存!F:F,期初庫存!C:C,C18)+SUMIFS(採購入庫!H:H,採購入庫!D:D,C18)-SUMIFS(借出!H:H,借出!D:D,C18)-SUMIFS(每日用粉紀錄表!G:G,每日用粉紀錄表!C:C,C18)+SUMIFS(歸還!H:H,歸還!D:D,C18)+SUMIFS(每日用粉紀錄表!I:I,每日用粉紀錄表!C:C,C18)</f>
        <v>8</v>
      </c>
      <c r="G18" s="120">
        <f>SUMIFS(期初庫存!G:G,期初庫存!C:C,C18)+SUMIFS(採購入庫!G:G,採購入庫!D:D,C18)-SUMIFS(每日用粉紀錄表!F:F,每日用粉紀錄表!C:C,C18)-SUMIFS(借出!G:G,借出!D:D,C18)+SUMIFS(歸還!G:G,歸還!D:D,C18)</f>
        <v>2</v>
      </c>
      <c r="H18" s="122">
        <v>1</v>
      </c>
      <c r="I18" s="121" t="str">
        <f t="shared" si="1"/>
        <v>否</v>
      </c>
      <c r="J18" s="119">
        <f t="shared" si="2"/>
        <v>58</v>
      </c>
      <c r="K18" s="113"/>
      <c r="L18" s="114"/>
      <c r="M18" s="113"/>
    </row>
    <row r="19" spans="1:13" ht="13.5" customHeight="1" x14ac:dyDescent="0.15">
      <c r="A19" s="117"/>
      <c r="B19" s="118">
        <f t="shared" si="0"/>
        <v>16</v>
      </c>
      <c r="C19" s="119" t="str">
        <f>IF(烤漆色號編碼!A17="","-",烤漆色號編碼!A17)</f>
        <v>EL-0365T</v>
      </c>
      <c r="D19" s="55" t="str">
        <f>IF(烤漆色號編碼!C17="","-",烤漆色號編碼!C17)</f>
        <v>鐵灰砂</v>
      </c>
      <c r="E19" s="119" t="str">
        <f>IF(烤漆色號編碼!B17="","-",烤漆色號編碼!B17)</f>
        <v>IGS</v>
      </c>
      <c r="F19" s="120">
        <f>SUMIFS(期初庫存!F:F,期初庫存!C:C,C19)+SUMIFS(採購入庫!H:H,採購入庫!D:D,C19)-SUMIFS(借出!H:H,借出!D:D,C19)-SUMIFS(每日用粉紀錄表!G:G,每日用粉紀錄表!C:C,C19)+SUMIFS(歸還!H:H,歸還!D:D,C19)+SUMIFS(每日用粉紀錄表!I:I,每日用粉紀錄表!C:C,C19)</f>
        <v>13</v>
      </c>
      <c r="G19" s="120">
        <f>SUMIFS(期初庫存!G:G,期初庫存!C:C,C19)+SUMIFS(採購入庫!G:G,採購入庫!D:D,C19)-SUMIFS(每日用粉紀錄表!F:F,每日用粉紀錄表!C:C,C19)-SUMIFS(借出!G:G,借出!D:D,C19)+SUMIFS(歸還!G:G,歸還!D:D,C19)</f>
        <v>2</v>
      </c>
      <c r="H19" s="122">
        <v>6</v>
      </c>
      <c r="I19" s="121" t="str">
        <f t="shared" si="1"/>
        <v>採購</v>
      </c>
      <c r="J19" s="119">
        <f t="shared" si="2"/>
        <v>63</v>
      </c>
      <c r="K19" s="113"/>
      <c r="L19" s="114"/>
      <c r="M19" s="113"/>
    </row>
    <row r="20" spans="1:13" ht="13.5" customHeight="1" x14ac:dyDescent="0.15">
      <c r="A20" s="117"/>
      <c r="B20" s="118">
        <f t="shared" si="0"/>
        <v>17</v>
      </c>
      <c r="C20" s="119" t="str">
        <f>IF(烤漆色號編碼!A18="","-",烤漆色號編碼!A18)</f>
        <v>O-22170G</v>
      </c>
      <c r="D20" s="55" t="str">
        <f>IF(烤漆色號編碼!C18="","-",烤漆色號編碼!C18)</f>
        <v>深灰砂</v>
      </c>
      <c r="E20" s="119" t="str">
        <f>IF(烤漆色號編碼!B18="","-",烤漆色號編碼!B18)</f>
        <v>DGS</v>
      </c>
      <c r="F20" s="120">
        <f>SUMIFS(期初庫存!F:F,期初庫存!C:C,C20)+SUMIFS(採購入庫!H:H,採購入庫!D:D,C20)-SUMIFS(借出!H:H,借出!D:D,C20)-SUMIFS(每日用粉紀錄表!G:G,每日用粉紀錄表!C:C,C20)+SUMIFS(歸還!H:H,歸還!D:D,C20)+SUMIFS(每日用粉紀錄表!I:I,每日用粉紀錄表!C:C,C20)</f>
        <v>17</v>
      </c>
      <c r="G20" s="120">
        <f>SUMIFS(期初庫存!G:G,期初庫存!C:C,C20)+SUMIFS(採購入庫!G:G,採購入庫!D:D,C20)-SUMIFS(每日用粉紀錄表!F:F,每日用粉紀錄表!C:C,C20)-SUMIFS(借出!G:G,借出!D:D,C20)+SUMIFS(歸還!G:G,歸還!D:D,C20)</f>
        <v>8</v>
      </c>
      <c r="H20" s="122">
        <v>6</v>
      </c>
      <c r="I20" s="121" t="str">
        <f t="shared" si="1"/>
        <v>否</v>
      </c>
      <c r="J20" s="119">
        <f t="shared" si="2"/>
        <v>217</v>
      </c>
      <c r="K20" s="113"/>
      <c r="L20" s="114"/>
      <c r="M20" s="113"/>
    </row>
    <row r="21" spans="1:13" ht="13.5" customHeight="1" x14ac:dyDescent="0.15">
      <c r="A21" s="117"/>
      <c r="B21" s="118">
        <f t="shared" si="0"/>
        <v>18</v>
      </c>
      <c r="C21" s="119" t="str">
        <f>IF(烤漆色號編碼!A19="","-",烤漆色號編碼!A19)</f>
        <v>O-200SB</v>
      </c>
      <c r="D21" s="55" t="str">
        <f>IF(烤漆色號編碼!C19="","-",烤漆色號編碼!C19)</f>
        <v>閃銀</v>
      </c>
      <c r="E21" s="119" t="str">
        <f>IF(烤漆色號編碼!B19="","-",烤漆色號編碼!B19)</f>
        <v>無粉</v>
      </c>
      <c r="F21" s="120">
        <f>SUMIFS(期初庫存!F:F,期初庫存!C:C,C21)+SUMIFS(採購入庫!H:H,採購入庫!D:D,C21)-SUMIFS(借出!H:H,借出!D:D,C21)-SUMIFS(每日用粉紀錄表!G:G,每日用粉紀錄表!C:C,C21)+SUMIFS(歸還!H:H,歸還!D:D,C21)+SUMIFS(每日用粉紀錄表!I:I,每日用粉紀錄表!C:C,C21)</f>
        <v>0</v>
      </c>
      <c r="G21" s="120">
        <f>SUMIFS(期初庫存!G:G,期初庫存!C:C,C21)+SUMIFS(採購入庫!G:G,採購入庫!D:D,C21)-SUMIFS(每日用粉紀錄表!F:F,每日用粉紀錄表!C:C,C21)-SUMIFS(借出!G:G,借出!D:D,C21)+SUMIFS(歸還!G:G,歸還!D:D,C21)</f>
        <v>0</v>
      </c>
      <c r="H21" s="122"/>
      <c r="I21" s="121" t="str">
        <f t="shared" si="1"/>
        <v>否</v>
      </c>
      <c r="J21" s="119">
        <f t="shared" si="2"/>
        <v>0</v>
      </c>
      <c r="K21" s="113"/>
      <c r="L21" s="114"/>
      <c r="M21" s="113"/>
    </row>
    <row r="22" spans="1:13" ht="13.5" customHeight="1" x14ac:dyDescent="0.15">
      <c r="A22" s="117"/>
      <c r="B22" s="118">
        <f t="shared" si="0"/>
        <v>19</v>
      </c>
      <c r="C22" s="119" t="str">
        <f>IF(烤漆色號編碼!A20="","-",烤漆色號編碼!A20)</f>
        <v>K-5257CSB</v>
      </c>
      <c r="D22" s="55" t="str">
        <f>IF(烤漆色號編碼!C20="","-",烤漆色號編碼!C20)</f>
        <v>新閃銀</v>
      </c>
      <c r="E22" s="119" t="str">
        <f>IF(烤漆色號編碼!B20="","-",烤漆色號編碼!B20)</f>
        <v>換粉</v>
      </c>
      <c r="F22" s="120">
        <f>SUMIFS(期初庫存!F:F,期初庫存!C:C,C22)+SUMIFS(採購入庫!H:H,採購入庫!D:D,C22)-SUMIFS(借出!H:H,借出!D:D,C22)-SUMIFS(每日用粉紀錄表!G:G,每日用粉紀錄表!C:C,C22)+SUMIFS(歸還!H:H,歸還!D:D,C22)+SUMIFS(每日用粉紀錄表!I:I,每日用粉紀錄表!C:C,C22)</f>
        <v>44</v>
      </c>
      <c r="G22" s="120">
        <f>SUMIFS(期初庫存!G:G,期初庫存!C:C,C22)+SUMIFS(採購入庫!G:G,採購入庫!D:D,C22)-SUMIFS(每日用粉紀錄表!F:F,每日用粉紀錄表!C:C,C22)-SUMIFS(借出!G:G,借出!D:D,C22)+SUMIFS(歸還!G:G,歸還!D:D,C22)</f>
        <v>2</v>
      </c>
      <c r="H22" s="122"/>
      <c r="I22" s="121" t="str">
        <f t="shared" si="1"/>
        <v>否</v>
      </c>
      <c r="J22" s="119">
        <f t="shared" si="2"/>
        <v>94</v>
      </c>
      <c r="K22" s="113"/>
      <c r="L22" s="114"/>
      <c r="M22" s="113"/>
    </row>
    <row r="23" spans="1:13" ht="13.5" customHeight="1" x14ac:dyDescent="0.15">
      <c r="A23" s="117"/>
      <c r="B23" s="118">
        <f t="shared" si="0"/>
        <v>20</v>
      </c>
      <c r="C23" s="119" t="str">
        <f>IF(烤漆色號編碼!A21="","-",烤漆色號編碼!A21)</f>
        <v>K-4654</v>
      </c>
      <c r="D23" s="55" t="str">
        <f>IF(烤漆色號編碼!C21="","-",烤漆色號編碼!C21)</f>
        <v>紫色</v>
      </c>
      <c r="E23" s="119" t="str">
        <f>IF(烤漆色號編碼!B21="","-",烤漆色號編碼!B21)</f>
        <v>PEL</v>
      </c>
      <c r="F23" s="120">
        <f>SUMIFS(期初庫存!F:F,期初庫存!C:C,C23)+SUMIFS(採購入庫!H:H,採購入庫!D:D,C23)-SUMIFS(借出!H:H,借出!D:D,C23)-SUMIFS(每日用粉紀錄表!G:G,每日用粉紀錄表!C:C,C23)+SUMIFS(歸還!H:H,歸還!D:D,C23)+SUMIFS(每日用粉紀錄表!I:I,每日用粉紀錄表!C:C,C23)</f>
        <v>34</v>
      </c>
      <c r="G23" s="120">
        <f>SUMIFS(期初庫存!G:G,期初庫存!C:C,C23)+SUMIFS(採購入庫!G:G,採購入庫!D:D,C23)-SUMIFS(每日用粉紀錄表!F:F,每日用粉紀錄表!C:C,C23)-SUMIFS(借出!G:G,借出!D:D,C23)+SUMIFS(歸還!G:G,歸還!D:D,C23)</f>
        <v>2</v>
      </c>
      <c r="H23" s="122">
        <v>1</v>
      </c>
      <c r="I23" s="121" t="str">
        <f t="shared" si="1"/>
        <v>否</v>
      </c>
      <c r="J23" s="119">
        <f t="shared" si="2"/>
        <v>84</v>
      </c>
      <c r="K23" s="113"/>
      <c r="L23" s="114"/>
      <c r="M23" s="113"/>
    </row>
    <row r="24" spans="1:13" ht="13.5" customHeight="1" x14ac:dyDescent="0.15">
      <c r="A24" s="117"/>
      <c r="B24" s="118">
        <f t="shared" si="0"/>
        <v>21</v>
      </c>
      <c r="C24" s="119" t="str">
        <f>IF(烤漆色號編碼!A22="","-",烤漆色號編碼!A22)</f>
        <v>780-9B65</v>
      </c>
      <c r="D24" s="55" t="str">
        <f>IF(烤漆色號編碼!C22="","-",烤漆色號編碼!C22)</f>
        <v>銀灰</v>
      </c>
      <c r="E24" s="119" t="str">
        <f>IF(烤漆色號編碼!B22="","-",烤漆色號編碼!B22)</f>
        <v>ATG</v>
      </c>
      <c r="F24" s="120">
        <f>SUMIFS(期初庫存!F:F,期初庫存!C:C,C24)+SUMIFS(採購入庫!H:H,採購入庫!D:D,C24)-SUMIFS(借出!H:H,借出!D:D,C24)-SUMIFS(每日用粉紀錄表!G:G,每日用粉紀錄表!C:C,C24)+SUMIFS(歸還!H:H,歸還!D:D,C24)+SUMIFS(每日用粉紀錄表!I:I,每日用粉紀錄表!C:C,C24)</f>
        <v>21</v>
      </c>
      <c r="G24" s="120">
        <f>SUMIFS(期初庫存!G:G,期初庫存!C:C,C24)+SUMIFS(採購入庫!G:G,採購入庫!D:D,C24)-SUMIFS(每日用粉紀錄表!F:F,每日用粉紀錄表!C:C,C24)-SUMIFS(借出!G:G,借出!D:D,C24)+SUMIFS(歸還!G:G,歸還!D:D,C24)</f>
        <v>3</v>
      </c>
      <c r="H24" s="122">
        <v>1</v>
      </c>
      <c r="I24" s="121" t="str">
        <f t="shared" si="1"/>
        <v>否</v>
      </c>
      <c r="J24" s="119">
        <f t="shared" si="2"/>
        <v>96</v>
      </c>
      <c r="K24" s="113"/>
      <c r="L24" s="114"/>
      <c r="M24" s="113"/>
    </row>
    <row r="25" spans="1:13" ht="13.5" customHeight="1" x14ac:dyDescent="0.15">
      <c r="A25" s="117"/>
      <c r="B25" s="118">
        <f t="shared" si="0"/>
        <v>22</v>
      </c>
      <c r="C25" s="119" t="str">
        <f>IF(烤漆色號編碼!A23="","-",烤漆色號編碼!A23)</f>
        <v>780-9Q70</v>
      </c>
      <c r="D25" s="55" t="str">
        <f>IF(烤漆色號編碼!C23="","-",烤漆色號編碼!C23)</f>
        <v>銀灰</v>
      </c>
      <c r="E25" s="119" t="str">
        <f>IF(烤漆色號編碼!B23="","-",烤漆色號編碼!B23)</f>
        <v>ATG</v>
      </c>
      <c r="F25" s="120">
        <f>SUMIFS(期初庫存!F:F,期初庫存!C:C,C25)+SUMIFS(採購入庫!H:H,採購入庫!D:D,C25)-SUMIFS(借出!H:H,借出!D:D,C25)-SUMIFS(每日用粉紀錄表!G:G,每日用粉紀錄表!C:C,C25)+SUMIFS(歸還!H:H,歸還!D:D,C25)+SUMIFS(每日用粉紀錄表!I:I,每日用粉紀錄表!C:C,C25)</f>
        <v>0</v>
      </c>
      <c r="G25" s="120">
        <f>SUMIFS(期初庫存!G:G,期初庫存!C:C,C25)+SUMIFS(採購入庫!G:G,採購入庫!D:D,C25)-SUMIFS(每日用粉紀錄表!F:F,每日用粉紀錄表!C:C,C25)-SUMIFS(借出!G:G,借出!D:D,C25)+SUMIFS(歸還!G:G,歸還!D:D,C25)</f>
        <v>0</v>
      </c>
      <c r="H25" s="122"/>
      <c r="I25" s="121" t="str">
        <f t="shared" si="1"/>
        <v>否</v>
      </c>
      <c r="J25" s="119">
        <f t="shared" si="2"/>
        <v>0</v>
      </c>
      <c r="K25" s="113"/>
      <c r="L25" s="114"/>
      <c r="M25" s="113"/>
    </row>
    <row r="26" spans="1:13" ht="13.5" customHeight="1" x14ac:dyDescent="0.15">
      <c r="A26" s="117"/>
      <c r="B26" s="118">
        <f t="shared" si="0"/>
        <v>23</v>
      </c>
      <c r="C26" s="119" t="str">
        <f>IF(烤漆色號編碼!A24="","-",烤漆色號編碼!A24)</f>
        <v>780-6902</v>
      </c>
      <c r="D26" s="55" t="str">
        <f>IF(烤漆色號編碼!C24="","-",烤漆色號編碼!C24)</f>
        <v>綠色</v>
      </c>
      <c r="E26" s="119" t="str">
        <f>IF(烤漆色號編碼!B24="","-",烤漆色號編碼!B24)</f>
        <v>GN</v>
      </c>
      <c r="F26" s="120">
        <f>SUMIFS(期初庫存!F:F,期初庫存!C:C,C26)+SUMIFS(採購入庫!H:H,採購入庫!D:D,C26)-SUMIFS(借出!H:H,借出!D:D,C26)-SUMIFS(每日用粉紀錄表!G:G,每日用粉紀錄表!C:C,C26)+SUMIFS(歸還!H:H,歸還!D:D,C26)+SUMIFS(每日用粉紀錄表!I:I,每日用粉紀錄表!C:C,C26)</f>
        <v>12</v>
      </c>
      <c r="G26" s="120">
        <f>SUMIFS(期初庫存!G:G,期初庫存!C:C,C26)+SUMIFS(採購入庫!G:G,採購入庫!D:D,C26)-SUMIFS(每日用粉紀錄表!F:F,每日用粉紀錄表!C:C,C26)-SUMIFS(借出!G:G,借出!D:D,C26)+SUMIFS(歸還!G:G,歸還!D:D,C26)</f>
        <v>2</v>
      </c>
      <c r="H26" s="122">
        <v>1</v>
      </c>
      <c r="I26" s="121" t="str">
        <f t="shared" si="1"/>
        <v>否</v>
      </c>
      <c r="J26" s="119">
        <f t="shared" si="2"/>
        <v>62</v>
      </c>
      <c r="K26" s="113"/>
      <c r="L26" s="114"/>
      <c r="M26" s="113"/>
    </row>
    <row r="27" spans="1:13" ht="13.5" customHeight="1" x14ac:dyDescent="0.15">
      <c r="A27" s="117"/>
      <c r="B27" s="118">
        <f t="shared" si="0"/>
        <v>24</v>
      </c>
      <c r="C27" s="119" t="str">
        <f>IF(烤漆色號編碼!A25="","-",烤漆色號編碼!A25)</f>
        <v>A-10067</v>
      </c>
      <c r="D27" s="55" t="str">
        <f>IF(烤漆色號編碼!C25="","-",烤漆色號編碼!C25)</f>
        <v>橘色</v>
      </c>
      <c r="E27" s="119" t="str">
        <f>IF(烤漆色號編碼!B25="","-",烤漆色號編碼!B25)</f>
        <v>OE</v>
      </c>
      <c r="F27" s="120">
        <f>SUMIFS(期初庫存!F:F,期初庫存!C:C,C27)+SUMIFS(採購入庫!H:H,採購入庫!D:D,C27)-SUMIFS(借出!H:H,借出!D:D,C27)-SUMIFS(每日用粉紀錄表!G:G,每日用粉紀錄表!C:C,C27)+SUMIFS(歸還!H:H,歸還!D:D,C27)+SUMIFS(每日用粉紀錄表!I:I,每日用粉紀錄表!C:C,C27)</f>
        <v>71</v>
      </c>
      <c r="G27" s="120">
        <f>SUMIFS(期初庫存!G:G,期初庫存!C:C,C27)+SUMIFS(採購入庫!G:G,採購入庫!D:D,C27)-SUMIFS(每日用粉紀錄表!F:F,每日用粉紀錄表!C:C,C27)-SUMIFS(借出!G:G,借出!D:D,C27)+SUMIFS(歸還!G:G,歸還!D:D,C27)</f>
        <v>1</v>
      </c>
      <c r="H27" s="122">
        <v>1</v>
      </c>
      <c r="I27" s="121" t="str">
        <f t="shared" si="1"/>
        <v>否</v>
      </c>
      <c r="J27" s="119">
        <f t="shared" si="2"/>
        <v>96</v>
      </c>
      <c r="K27" s="113"/>
      <c r="L27" s="114"/>
      <c r="M27" s="113"/>
    </row>
    <row r="28" spans="1:13" ht="13.5" customHeight="1" x14ac:dyDescent="0.15">
      <c r="A28" s="117"/>
      <c r="B28" s="118">
        <f t="shared" si="0"/>
        <v>25</v>
      </c>
      <c r="C28" s="119" t="str">
        <f>IF(烤漆色號編碼!A26="","-",烤漆色號編碼!A26)</f>
        <v>4605-702A</v>
      </c>
      <c r="D28" s="55" t="str">
        <f>IF(烤漆色號編碼!C26="","-",烤漆色號編碼!C26)</f>
        <v>鐵灰</v>
      </c>
      <c r="E28" s="119" t="str">
        <f>IF(烤漆色號編碼!B26="","-",烤漆色號編碼!B26)</f>
        <v>IG</v>
      </c>
      <c r="F28" s="120">
        <f>SUMIFS(期初庫存!F:F,期初庫存!C:C,C28)+SUMIFS(採購入庫!H:H,採購入庫!D:D,C28)-SUMIFS(借出!H:H,借出!D:D,C28)-SUMIFS(每日用粉紀錄表!G:G,每日用粉紀錄表!C:C,C28)+SUMIFS(歸還!H:H,歸還!D:D,C28)+SUMIFS(每日用粉紀錄表!I:I,每日用粉紀錄表!C:C,C28)</f>
        <v>11</v>
      </c>
      <c r="G28" s="120">
        <f>SUMIFS(期初庫存!G:G,期初庫存!C:C,C28)+SUMIFS(採購入庫!G:G,採購入庫!D:D,C28)-SUMIFS(每日用粉紀錄表!F:F,每日用粉紀錄表!C:C,C28)-SUMIFS(借出!G:G,借出!D:D,C28)+SUMIFS(歸還!G:G,歸還!D:D,C28)</f>
        <v>0</v>
      </c>
      <c r="H28" s="122">
        <v>1</v>
      </c>
      <c r="I28" s="121" t="str">
        <f t="shared" si="1"/>
        <v>採購</v>
      </c>
      <c r="J28" s="119">
        <f t="shared" si="2"/>
        <v>11</v>
      </c>
      <c r="K28" s="113"/>
      <c r="L28" s="114"/>
      <c r="M28" s="113"/>
    </row>
    <row r="29" spans="1:13" ht="13.5" customHeight="1" x14ac:dyDescent="0.15">
      <c r="A29" s="117"/>
      <c r="B29" s="118">
        <f t="shared" si="0"/>
        <v>26</v>
      </c>
      <c r="C29" s="119" t="str">
        <f>IF(烤漆色號編碼!A27="","-",烤漆色號編碼!A27)</f>
        <v>4900-246</v>
      </c>
      <c r="D29" s="55" t="str">
        <f>IF(烤漆色號編碼!C27="","-",烤漆色號編碼!C27)</f>
        <v>鵝黃色</v>
      </c>
      <c r="E29" s="119" t="str">
        <f>IF(烤漆色號編碼!B27="","-",烤漆色號編碼!B27)</f>
        <v>GYW</v>
      </c>
      <c r="F29" s="120">
        <f>SUMIFS(期初庫存!F:F,期初庫存!C:C,C29)+SUMIFS(採購入庫!H:H,採購入庫!D:D,C29)-SUMIFS(借出!H:H,借出!D:D,C29)-SUMIFS(每日用粉紀錄表!G:G,每日用粉紀錄表!C:C,C29)+SUMIFS(歸還!H:H,歸還!D:D,C29)+SUMIFS(每日用粉紀錄表!I:I,每日用粉紀錄表!C:C,C29)</f>
        <v>22</v>
      </c>
      <c r="G29" s="120">
        <f>SUMIFS(期初庫存!G:G,期初庫存!C:C,C29)+SUMIFS(採購入庫!G:G,採購入庫!D:D,C29)-SUMIFS(每日用粉紀錄表!F:F,每日用粉紀錄表!C:C,C29)-SUMIFS(借出!G:G,借出!D:D,C29)+SUMIFS(歸還!G:G,歸還!D:D,C29)</f>
        <v>0</v>
      </c>
      <c r="H29" s="122">
        <v>1</v>
      </c>
      <c r="I29" s="121" t="str">
        <f t="shared" si="1"/>
        <v>採購</v>
      </c>
      <c r="J29" s="119">
        <f t="shared" si="2"/>
        <v>22</v>
      </c>
      <c r="K29" s="113"/>
      <c r="L29" s="114"/>
      <c r="M29" s="113"/>
    </row>
    <row r="30" spans="1:13" ht="13.5" customHeight="1" x14ac:dyDescent="0.15">
      <c r="A30" s="117"/>
      <c r="B30" s="118">
        <f t="shared" si="0"/>
        <v>27</v>
      </c>
      <c r="C30" s="119" t="str">
        <f>IF(烤漆色號編碼!A28="","-",烤漆色號編碼!A28)</f>
        <v>4900-149</v>
      </c>
      <c r="D30" s="55" t="str">
        <f>IF(烤漆色號編碼!C28="","-",烤漆色號編碼!C28)</f>
        <v>粉紅色</v>
      </c>
      <c r="E30" s="119" t="str">
        <f>IF(烤漆色號編碼!B28="","-",烤漆色號編碼!B28)</f>
        <v>PK</v>
      </c>
      <c r="F30" s="120">
        <f>SUMIFS(期初庫存!F:F,期初庫存!C:C,C30)+SUMIFS(採購入庫!H:H,採購入庫!D:D,C30)-SUMIFS(借出!H:H,借出!D:D,C30)-SUMIFS(每日用粉紀錄表!G:G,每日用粉紀錄表!C:C,C30)+SUMIFS(歸還!H:H,歸還!D:D,C30)+SUMIFS(每日用粉紀錄表!I:I,每日用粉紀錄表!C:C,C30)</f>
        <v>4</v>
      </c>
      <c r="G30" s="120">
        <f>SUMIFS(期初庫存!G:G,期初庫存!C:C,C30)+SUMIFS(採購入庫!G:G,採購入庫!D:D,C30)-SUMIFS(每日用粉紀錄表!F:F,每日用粉紀錄表!C:C,C30)-SUMIFS(借出!G:G,借出!D:D,C30)+SUMIFS(歸還!G:G,歸還!D:D,C30)</f>
        <v>2</v>
      </c>
      <c r="H30" s="122">
        <v>1</v>
      </c>
      <c r="I30" s="121" t="str">
        <f t="shared" si="1"/>
        <v>否</v>
      </c>
      <c r="J30" s="119">
        <f t="shared" si="2"/>
        <v>54</v>
      </c>
      <c r="K30" s="113"/>
      <c r="L30" s="114"/>
      <c r="M30" s="113"/>
    </row>
    <row r="31" spans="1:13" ht="13.5" customHeight="1" x14ac:dyDescent="0.15">
      <c r="A31" s="117"/>
      <c r="B31" s="118">
        <f t="shared" si="0"/>
        <v>28</v>
      </c>
      <c r="C31" s="119" t="str">
        <f>IF(烤漆色號編碼!A29="","-",烤漆色號編碼!A29)</f>
        <v>K-5510SCB</v>
      </c>
      <c r="D31" s="55" t="str">
        <f>IF(烤漆色號編碼!C29="","-",烤漆色號編碼!C29)</f>
        <v>黃金閃銀</v>
      </c>
      <c r="E31" s="119" t="str">
        <f>IF(烤漆色號編碼!B29="","-",烤漆色號編碼!B29)</f>
        <v>GSAT</v>
      </c>
      <c r="F31" s="120">
        <f>SUMIFS(期初庫存!F:F,期初庫存!C:C,C31)+SUMIFS(採購入庫!H:H,採購入庫!D:D,C31)-SUMIFS(借出!H:H,借出!D:D,C31)-SUMIFS(每日用粉紀錄表!G:G,每日用粉紀錄表!C:C,C31)+SUMIFS(歸還!H:H,歸還!D:D,C31)+SUMIFS(每日用粉紀錄表!I:I,每日用粉紀錄表!C:C,C31)</f>
        <v>9</v>
      </c>
      <c r="G31" s="120">
        <f>SUMIFS(期初庫存!G:G,期初庫存!C:C,C31)+SUMIFS(採購入庫!G:G,採購入庫!D:D,C31)-SUMIFS(每日用粉紀錄表!F:F,每日用粉紀錄表!C:C,C31)-SUMIFS(借出!G:G,借出!D:D,C31)+SUMIFS(歸還!G:G,歸還!D:D,C31)</f>
        <v>0</v>
      </c>
      <c r="H31" s="122">
        <v>1</v>
      </c>
      <c r="I31" s="121" t="str">
        <f t="shared" si="1"/>
        <v>採購</v>
      </c>
      <c r="J31" s="119">
        <f t="shared" si="2"/>
        <v>9</v>
      </c>
      <c r="K31" s="113"/>
      <c r="L31" s="114"/>
      <c r="M31" s="113"/>
    </row>
    <row r="32" spans="1:13" ht="13.5" customHeight="1" x14ac:dyDescent="0.15">
      <c r="A32" s="117"/>
      <c r="B32" s="118">
        <f t="shared" si="0"/>
        <v>29</v>
      </c>
      <c r="C32" s="119" t="str">
        <f>IF(烤漆色號編碼!A30="","-",烤漆色號編碼!A30)</f>
        <v>O-5337H</v>
      </c>
      <c r="D32" s="55" t="str">
        <f>IF(烤漆色號編碼!C30="","-",烤漆色號編碼!C30)</f>
        <v>黃錘紋</v>
      </c>
      <c r="E32" s="119" t="str">
        <f>IF(烤漆色號編碼!B30="","-",烤漆色號編碼!B30)</f>
        <v>YWH</v>
      </c>
      <c r="F32" s="120">
        <f>SUMIFS(期初庫存!F:F,期初庫存!C:C,C32)+SUMIFS(採購入庫!H:H,採購入庫!D:D,C32)-SUMIFS(借出!H:H,借出!D:D,C32)-SUMIFS(每日用粉紀錄表!G:G,每日用粉紀錄表!C:C,C32)+SUMIFS(歸還!H:H,歸還!D:D,C32)+SUMIFS(每日用粉紀錄表!I:I,每日用粉紀錄表!C:C,C32)</f>
        <v>0</v>
      </c>
      <c r="G32" s="120">
        <f>SUMIFS(期初庫存!G:G,期初庫存!C:C,C32)+SUMIFS(採購入庫!G:G,採購入庫!D:D,C32)-SUMIFS(每日用粉紀錄表!F:F,每日用粉紀錄表!C:C,C32)-SUMIFS(借出!G:G,借出!D:D,C32)+SUMIFS(歸還!G:G,歸還!D:D,C32)</f>
        <v>0</v>
      </c>
      <c r="H32" s="122">
        <v>1</v>
      </c>
      <c r="I32" s="121" t="str">
        <f t="shared" si="1"/>
        <v>採購</v>
      </c>
      <c r="J32" s="119">
        <f t="shared" si="2"/>
        <v>0</v>
      </c>
      <c r="K32" s="113"/>
      <c r="L32" s="114"/>
      <c r="M32" s="113"/>
    </row>
    <row r="33" spans="1:13" ht="13.5" customHeight="1" x14ac:dyDescent="0.15">
      <c r="A33" s="117"/>
      <c r="B33" s="118">
        <f t="shared" si="0"/>
        <v>30</v>
      </c>
      <c r="C33" s="119" t="str">
        <f>IF(烤漆色號編碼!A31="","-",烤漆色號編碼!A31)</f>
        <v>E-BY112</v>
      </c>
      <c r="D33" s="55" t="str">
        <f>IF(烤漆色號編碼!C31="","-",烤漆色號編碼!C31)</f>
        <v>灰色</v>
      </c>
      <c r="E33" s="119" t="str">
        <f>IF(烤漆色號編碼!B31="","-",烤漆色號編碼!B31)</f>
        <v>ATG</v>
      </c>
      <c r="F33" s="120">
        <f>SUMIFS(期初庫存!F:F,期初庫存!C:C,C33)+SUMIFS(採購入庫!H:H,採購入庫!D:D,C33)-SUMIFS(借出!H:H,借出!D:D,C33)-SUMIFS(每日用粉紀錄表!G:G,每日用粉紀錄表!C:C,C33)+SUMIFS(歸還!H:H,歸還!D:D,C33)+SUMIFS(每日用粉紀錄表!I:I,每日用粉紀錄表!C:C,C33)</f>
        <v>0</v>
      </c>
      <c r="G33" s="120">
        <f>SUMIFS(期初庫存!G:G,期初庫存!C:C,C33)+SUMIFS(採購入庫!G:G,採購入庫!D:D,C33)-SUMIFS(每日用粉紀錄表!F:F,每日用粉紀錄表!C:C,C33)-SUMIFS(借出!G:G,借出!D:D,C33)+SUMIFS(歸還!G:G,歸還!D:D,C33)</f>
        <v>0</v>
      </c>
      <c r="H33" s="122">
        <v>1</v>
      </c>
      <c r="I33" s="121" t="str">
        <f t="shared" si="1"/>
        <v>採購</v>
      </c>
      <c r="J33" s="119">
        <f t="shared" si="2"/>
        <v>0</v>
      </c>
      <c r="K33" s="113"/>
      <c r="L33" s="114"/>
      <c r="M33" s="113"/>
    </row>
    <row r="34" spans="1:13" ht="13.5" customHeight="1" x14ac:dyDescent="0.15">
      <c r="A34" s="117"/>
      <c r="B34" s="118">
        <f t="shared" si="0"/>
        <v>31</v>
      </c>
      <c r="C34" s="119" t="str">
        <f>IF(烤漆色號編碼!A32="","-",烤漆色號編碼!A32)</f>
        <v>BP-133S</v>
      </c>
      <c r="D34" s="55" t="str">
        <f>IF(烤漆色號編碼!C32="","-",烤漆色號編碼!C32)</f>
        <v>閃銀</v>
      </c>
      <c r="E34" s="119" t="str">
        <f>IF(烤漆色號編碼!B32="","-",烤漆色號編碼!B32)</f>
        <v>SAT2</v>
      </c>
      <c r="F34" s="120">
        <f>SUMIFS(期初庫存!F:F,期初庫存!C:C,C34)+SUMIFS(採購入庫!H:H,採購入庫!D:D,C34)-SUMIFS(借出!H:H,借出!D:D,C34)-SUMIFS(每日用粉紀錄表!G:G,每日用粉紀錄表!C:C,C34)+SUMIFS(歸還!H:H,歸還!D:D,C34)+SUMIFS(每日用粉紀錄表!I:I,每日用粉紀錄表!C:C,C34)</f>
        <v>9</v>
      </c>
      <c r="G34" s="120">
        <f>SUMIFS(期初庫存!G:G,期初庫存!C:C,C34)+SUMIFS(採購入庫!G:G,採購入庫!D:D,C34)-SUMIFS(每日用粉紀錄表!F:F,每日用粉紀錄表!C:C,C34)-SUMIFS(借出!G:G,借出!D:D,C34)+SUMIFS(歸還!G:G,歸還!D:D,C34)</f>
        <v>4</v>
      </c>
      <c r="H34" s="122">
        <v>1</v>
      </c>
      <c r="I34" s="121" t="str">
        <f t="shared" si="1"/>
        <v>否</v>
      </c>
      <c r="J34" s="119">
        <f>IFERROR($G34*20+$F34,"-")</f>
        <v>89</v>
      </c>
      <c r="K34" s="113"/>
      <c r="L34" s="114"/>
      <c r="M34" s="113"/>
    </row>
    <row r="35" spans="1:13" ht="13.5" customHeight="1" x14ac:dyDescent="0.15">
      <c r="A35" s="117"/>
      <c r="B35" s="118">
        <f t="shared" si="0"/>
        <v>32</v>
      </c>
      <c r="C35" s="119" t="str">
        <f>IF(烤漆色號編碼!A33="","-",烤漆色號編碼!A33)</f>
        <v>PC-20537Y</v>
      </c>
      <c r="D35" s="55" t="str">
        <f>IF(烤漆色號編碼!C33="","-",烤漆色號編碼!C33)</f>
        <v>灰平光</v>
      </c>
      <c r="E35" s="119" t="str">
        <f>IF(烤漆色號編碼!B33="","-",烤漆色號編碼!B33)</f>
        <v>ATG</v>
      </c>
      <c r="F35" s="120">
        <f>SUMIFS(期初庫存!F:F,期初庫存!C:C,C35)+SUMIFS(採購入庫!H:H,採購入庫!D:D,C35)-SUMIFS(借出!H:H,借出!D:D,C35)-SUMIFS(每日用粉紀錄表!G:G,每日用粉紀錄表!C:C,C35)+SUMIFS(歸還!H:H,歸還!D:D,C35)+SUMIFS(每日用粉紀錄表!I:I,每日用粉紀錄表!C:C,C35)</f>
        <v>6</v>
      </c>
      <c r="G35" s="120">
        <f>SUMIFS(期初庫存!G:G,期初庫存!C:C,C35)+SUMIFS(採購入庫!G:G,採購入庫!D:D,C35)-SUMIFS(每日用粉紀錄表!F:F,每日用粉紀錄表!C:C,C35)-SUMIFS(借出!G:G,借出!D:D,C35)+SUMIFS(歸還!G:G,歸還!D:D,C35)</f>
        <v>0</v>
      </c>
      <c r="H35" s="122"/>
      <c r="I35" s="121" t="str">
        <f t="shared" si="1"/>
        <v>否</v>
      </c>
      <c r="J35" s="119">
        <f t="shared" ref="J35:J103" si="3">IFERROR($G35*25+$F35,"-")</f>
        <v>6</v>
      </c>
      <c r="K35" s="113"/>
      <c r="L35" s="114"/>
      <c r="M35" s="113"/>
    </row>
    <row r="36" spans="1:13" ht="13.5" customHeight="1" x14ac:dyDescent="0.15">
      <c r="A36" s="117"/>
      <c r="B36" s="118">
        <f t="shared" si="0"/>
        <v>33</v>
      </c>
      <c r="C36" s="119" t="str">
        <f>IF(烤漆色號編碼!A34="","-",烤漆色號編碼!A34)</f>
        <v>008/2H056</v>
      </c>
      <c r="D36" s="55" t="str">
        <f>IF(烤漆色號編碼!C34="","-",烤漆色號編碼!C34)</f>
        <v>黃亮光</v>
      </c>
      <c r="E36" s="119" t="str">
        <f>IF(烤漆色號編碼!B34="","-",烤漆色號編碼!B34)</f>
        <v>YW1</v>
      </c>
      <c r="F36" s="120">
        <f>SUMIFS(期初庫存!F:F,期初庫存!C:C,C36)+SUMIFS(採購入庫!H:H,採購入庫!D:D,C36)-SUMIFS(借出!H:H,借出!D:D,C36)-SUMIFS(每日用粉紀錄表!G:G,每日用粉紀錄表!C:C,C36)+SUMIFS(歸還!H:H,歸還!D:D,C36)+SUMIFS(每日用粉紀錄表!I:I,每日用粉紀錄表!C:C,C36)</f>
        <v>18</v>
      </c>
      <c r="G36" s="120">
        <f>SUMIFS(期初庫存!G:G,期初庫存!C:C,C36)+SUMIFS(採購入庫!G:G,採購入庫!D:D,C36)-SUMIFS(每日用粉紀錄表!F:F,每日用粉紀錄表!C:C,C36)-SUMIFS(借出!G:G,借出!D:D,C36)+SUMIFS(歸還!G:G,歸還!D:D,C36)</f>
        <v>11</v>
      </c>
      <c r="H36" s="122">
        <v>1</v>
      </c>
      <c r="I36" s="121" t="str">
        <f t="shared" si="1"/>
        <v>否</v>
      </c>
      <c r="J36" s="119">
        <f t="shared" si="3"/>
        <v>293</v>
      </c>
      <c r="K36" s="113"/>
      <c r="L36" s="114"/>
      <c r="M36" s="113"/>
    </row>
    <row r="37" spans="1:13" ht="13.5" customHeight="1" x14ac:dyDescent="0.15">
      <c r="A37" s="117"/>
      <c r="B37" s="118">
        <f t="shared" si="0"/>
        <v>34</v>
      </c>
      <c r="C37" s="119" t="str">
        <f>IF(烤漆色號編碼!A35="","-",烤漆色號編碼!A35)</f>
        <v>008/1H174</v>
      </c>
      <c r="D37" s="55" t="str">
        <f>IF(烤漆色號編碼!C35="","-",烤漆色號編碼!C35)</f>
        <v>白亮光</v>
      </c>
      <c r="E37" s="119" t="str">
        <f>IF(烤漆色號編碼!B35="","-",烤漆色號編碼!B35)</f>
        <v>WE2</v>
      </c>
      <c r="F37" s="120">
        <f>SUMIFS(期初庫存!F:F,期初庫存!C:C,C37)+SUMIFS(採購入庫!H:H,採購入庫!D:D,C37)-SUMIFS(借出!H:H,借出!D:D,C37)-SUMIFS(每日用粉紀錄表!G:G,每日用粉紀錄表!C:C,C37)+SUMIFS(歸還!H:H,歸還!D:D,C37)+SUMIFS(每日用粉紀錄表!I:I,每日用粉紀錄表!C:C,C37)</f>
        <v>10</v>
      </c>
      <c r="G37" s="120">
        <f>SUMIFS(期初庫存!G:G,期初庫存!C:C,C37)+SUMIFS(採購入庫!G:G,採購入庫!D:D,C37)-SUMIFS(每日用粉紀錄表!F:F,每日用粉紀錄表!C:C,C37)-SUMIFS(借出!G:G,借出!D:D,C37)+SUMIFS(歸還!G:G,歸還!D:D,C37)</f>
        <v>18</v>
      </c>
      <c r="H37" s="122">
        <v>6</v>
      </c>
      <c r="I37" s="121" t="str">
        <f t="shared" si="1"/>
        <v>否</v>
      </c>
      <c r="J37" s="119">
        <f t="shared" si="3"/>
        <v>460</v>
      </c>
      <c r="K37" s="113"/>
      <c r="L37" s="114"/>
      <c r="M37" s="113"/>
    </row>
    <row r="38" spans="1:13" ht="13.5" customHeight="1" x14ac:dyDescent="0.15">
      <c r="A38" s="117"/>
      <c r="B38" s="118">
        <f t="shared" si="0"/>
        <v>35</v>
      </c>
      <c r="C38" s="119" t="str">
        <f>IF(烤漆色號編碼!A36="","-",烤漆色號編碼!A36)</f>
        <v>O-58057</v>
      </c>
      <c r="D38" s="55" t="str">
        <f>IF(烤漆色號編碼!C36="","-",烤漆色號編碼!C36)</f>
        <v>橘色</v>
      </c>
      <c r="E38" s="119" t="str">
        <f>IF(烤漆色號編碼!B36="","-",烤漆色號編碼!B36)</f>
        <v>OE1</v>
      </c>
      <c r="F38" s="120">
        <f>SUMIFS(期初庫存!F:F,期初庫存!C:C,C38)+SUMIFS(採購入庫!H:H,採購入庫!D:D,C38)-SUMIFS(借出!H:H,借出!D:D,C38)-SUMIFS(每日用粉紀錄表!G:G,每日用粉紀錄表!C:C,C38)+SUMIFS(歸還!H:H,歸還!D:D,C38)+SUMIFS(每日用粉紀錄表!I:I,每日用粉紀錄表!C:C,C38)</f>
        <v>12</v>
      </c>
      <c r="G38" s="120">
        <f>SUMIFS(期初庫存!G:G,期初庫存!C:C,C38)+SUMIFS(採購入庫!G:G,採購入庫!D:D,C38)-SUMIFS(每日用粉紀錄表!F:F,每日用粉紀錄表!C:C,C38)-SUMIFS(借出!G:G,借出!D:D,C38)+SUMIFS(歸還!G:G,歸還!D:D,C38)</f>
        <v>0</v>
      </c>
      <c r="H38" s="122"/>
      <c r="I38" s="121" t="str">
        <f t="shared" si="1"/>
        <v>否</v>
      </c>
      <c r="J38" s="119">
        <f t="shared" si="3"/>
        <v>12</v>
      </c>
      <c r="K38" s="113"/>
      <c r="L38" s="114"/>
      <c r="M38" s="113"/>
    </row>
    <row r="39" spans="1:13" ht="13.5" customHeight="1" x14ac:dyDescent="0.15">
      <c r="A39" s="117"/>
      <c r="B39" s="118">
        <f t="shared" si="0"/>
        <v>36</v>
      </c>
      <c r="C39" s="119" t="str">
        <f>IF(烤漆色號編碼!A37="","-",烤漆色號編碼!A37)</f>
        <v>K-7618</v>
      </c>
      <c r="D39" s="55" t="str">
        <f>IF(烤漆色號編碼!C37="","-",烤漆色號編碼!C37)</f>
        <v>青綠色</v>
      </c>
      <c r="E39" s="119" t="str">
        <f>IF(烤漆色號編碼!B37="","-",烤漆色號編碼!B37)</f>
        <v>FGN</v>
      </c>
      <c r="F39" s="120">
        <f>SUMIFS(期初庫存!F:F,期初庫存!C:C,C39)+SUMIFS(採購入庫!H:H,採購入庫!D:D,C39)-SUMIFS(借出!H:H,借出!D:D,C39)-SUMIFS(每日用粉紀錄表!G:G,每日用粉紀錄表!C:C,C39)+SUMIFS(歸還!H:H,歸還!D:D,C39)+SUMIFS(每日用粉紀錄表!I:I,每日用粉紀錄表!C:C,C39)</f>
        <v>19</v>
      </c>
      <c r="G39" s="120">
        <f>SUMIFS(期初庫存!G:G,期初庫存!C:C,C39)+SUMIFS(採購入庫!G:G,採購入庫!D:D,C39)-SUMIFS(每日用粉紀錄表!F:F,每日用粉紀錄表!C:C,C39)-SUMIFS(借出!G:G,借出!D:D,C39)+SUMIFS(歸還!G:G,歸還!D:D,C39)</f>
        <v>4</v>
      </c>
      <c r="H39" s="122">
        <v>1</v>
      </c>
      <c r="I39" s="121" t="str">
        <f t="shared" si="1"/>
        <v>否</v>
      </c>
      <c r="J39" s="119">
        <f t="shared" si="3"/>
        <v>119</v>
      </c>
      <c r="K39" s="113"/>
      <c r="L39" s="114"/>
      <c r="M39" s="113"/>
    </row>
    <row r="40" spans="1:13" ht="13.5" customHeight="1" x14ac:dyDescent="0.15">
      <c r="A40" s="117"/>
      <c r="B40" s="118">
        <f t="shared" si="0"/>
        <v>37</v>
      </c>
      <c r="C40" s="119" t="str">
        <f>IF(烤漆色號編碼!A38="","-",烤漆色號編碼!A38)</f>
        <v>008/35624</v>
      </c>
      <c r="D40" s="55" t="str">
        <f>IF(烤漆色號編碼!C38="","-",烤漆色號編碼!C38)</f>
        <v>橘色</v>
      </c>
      <c r="E40" s="119" t="str">
        <f>IF(烤漆色號編碼!B38="","-",烤漆色號編碼!B38)</f>
        <v>OE2</v>
      </c>
      <c r="F40" s="120">
        <f>SUMIFS(期初庫存!F:F,期初庫存!C:C,C40)+SUMIFS(採購入庫!H:H,採購入庫!D:D,C40)-SUMIFS(借出!H:H,借出!D:D,C40)-SUMIFS(每日用粉紀錄表!G:G,每日用粉紀錄表!C:C,C40)+SUMIFS(歸還!H:H,歸還!D:D,C40)+SUMIFS(每日用粉紀錄表!I:I,每日用粉紀錄表!C:C,C40)</f>
        <v>20</v>
      </c>
      <c r="G40" s="120">
        <f>SUMIFS(期初庫存!G:G,期初庫存!C:C,C40)+SUMIFS(採購入庫!G:G,採購入庫!D:D,C40)-SUMIFS(每日用粉紀錄表!F:F,每日用粉紀錄表!C:C,C40)-SUMIFS(借出!G:G,借出!D:D,C40)+SUMIFS(歸還!G:G,歸還!D:D,C40)</f>
        <v>0</v>
      </c>
      <c r="H40" s="122">
        <v>1</v>
      </c>
      <c r="I40" s="121" t="str">
        <f t="shared" si="1"/>
        <v>採購</v>
      </c>
      <c r="J40" s="119">
        <f t="shared" si="3"/>
        <v>20</v>
      </c>
      <c r="K40" s="113"/>
      <c r="L40" s="114"/>
      <c r="M40" s="113"/>
    </row>
    <row r="41" spans="1:13" ht="13.5" customHeight="1" x14ac:dyDescent="0.15">
      <c r="A41" s="117"/>
      <c r="B41" s="118">
        <f t="shared" si="0"/>
        <v>38</v>
      </c>
      <c r="C41" s="119" t="str">
        <f>IF(烤漆色號編碼!A39="","-",烤漆色號編碼!A39)</f>
        <v>780-7847AT</v>
      </c>
      <c r="D41" s="55" t="str">
        <f>IF(烤漆色號編碼!C39="","-",烤漆色號編碼!C39)</f>
        <v>深藍</v>
      </c>
      <c r="E41" s="119" t="str">
        <f>IF(烤漆色號編碼!B39="","-",烤漆色號編碼!B39)</f>
        <v>DBE</v>
      </c>
      <c r="F41" s="120">
        <f>SUMIFS(期初庫存!F:F,期初庫存!C:C,C41)+SUMIFS(採購入庫!H:H,採購入庫!D:D,C41)-SUMIFS(借出!H:H,借出!D:D,C41)-SUMIFS(每日用粉紀錄表!G:G,每日用粉紀錄表!C:C,C41)+SUMIFS(歸還!H:H,歸還!D:D,C41)+SUMIFS(每日用粉紀錄表!I:I,每日用粉紀錄表!C:C,C41)</f>
        <v>0</v>
      </c>
      <c r="G41" s="120">
        <f>SUMIFS(期初庫存!G:G,期初庫存!C:C,C41)+SUMIFS(採購入庫!G:G,採購入庫!D:D,C41)-SUMIFS(每日用粉紀錄表!F:F,每日用粉紀錄表!C:C,C41)-SUMIFS(借出!G:G,借出!D:D,C41)+SUMIFS(歸還!G:G,歸還!D:D,C41)</f>
        <v>0</v>
      </c>
      <c r="H41" s="122"/>
      <c r="I41" s="121" t="str">
        <f t="shared" si="1"/>
        <v>否</v>
      </c>
      <c r="J41" s="119">
        <f t="shared" si="3"/>
        <v>0</v>
      </c>
      <c r="K41" s="113"/>
      <c r="L41" s="114"/>
      <c r="M41" s="113"/>
    </row>
    <row r="42" spans="1:13" ht="13.5" customHeight="1" x14ac:dyDescent="0.15">
      <c r="A42" s="117"/>
      <c r="B42" s="118">
        <f t="shared" si="0"/>
        <v>39</v>
      </c>
      <c r="C42" s="119" t="str">
        <f>IF(烤漆色號編碼!A40="","-",烤漆色號編碼!A40)</f>
        <v>07146D</v>
      </c>
      <c r="D42" s="55" t="str">
        <f>IF(烤漆色號編碼!C40="","-",烤漆色號編碼!C40)</f>
        <v>白色</v>
      </c>
      <c r="E42" s="119" t="str">
        <f>IF(烤漆色號編碼!B40="","-",烤漆色號編碼!B40)</f>
        <v>WE</v>
      </c>
      <c r="F42" s="120">
        <f>SUMIFS(期初庫存!F:F,期初庫存!C:C,C42)+SUMIFS(採購入庫!H:H,採購入庫!D:D,C42)-SUMIFS(借出!H:H,借出!D:D,C42)-SUMIFS(每日用粉紀錄表!G:G,每日用粉紀錄表!C:C,C42)+SUMIFS(歸還!H:H,歸還!D:D,C42)+SUMIFS(每日用粉紀錄表!I:I,每日用粉紀錄表!C:C,C42)</f>
        <v>36</v>
      </c>
      <c r="G42" s="120">
        <f>SUMIFS(期初庫存!G:G,期初庫存!C:C,C42)+SUMIFS(採購入庫!G:G,採購入庫!D:D,C42)-SUMIFS(每日用粉紀錄表!F:F,每日用粉紀錄表!C:C,C42)-SUMIFS(借出!G:G,借出!D:D,C42)+SUMIFS(歸還!G:G,歸還!D:D,C42)</f>
        <v>5</v>
      </c>
      <c r="H42" s="122"/>
      <c r="I42" s="121" t="str">
        <f t="shared" si="1"/>
        <v>否</v>
      </c>
      <c r="J42" s="119">
        <f t="shared" si="3"/>
        <v>161</v>
      </c>
      <c r="K42" s="113"/>
      <c r="L42" s="114"/>
      <c r="M42" s="113"/>
    </row>
    <row r="43" spans="1:13" ht="13.5" customHeight="1" x14ac:dyDescent="0.15">
      <c r="A43" s="117"/>
      <c r="B43" s="118">
        <f t="shared" si="0"/>
        <v>40</v>
      </c>
      <c r="C43" s="119" t="s">
        <v>367</v>
      </c>
      <c r="D43" s="55" t="s">
        <v>368</v>
      </c>
      <c r="E43" s="119" t="str">
        <f>IF(烤漆色號編碼!B50="","-",烤漆色號編碼!B50)</f>
        <v>-</v>
      </c>
      <c r="F43" s="120">
        <f>SUMIFS(期初庫存!F:F,期初庫存!C:C,C43)+SUMIFS(採購入庫!H:H,採購入庫!D:D,C43)-SUMIFS(借出!H:H,借出!D:D,C43)-SUMIFS(每日用粉紀錄表!G:G,每日用粉紀錄表!C:C,C43)+SUMIFS(歸還!H:H,歸還!D:D,C43)+SUMIFS(每日用粉紀錄表!I:I,每日用粉紀錄表!C:C,C43)</f>
        <v>0</v>
      </c>
      <c r="G43" s="120">
        <f>SUMIFS(期初庫存!G:G,期初庫存!C:C,C43)+SUMIFS(採購入庫!G:G,採購入庫!D:D,C43)-SUMIFS(每日用粉紀錄表!F:F,每日用粉紀錄表!C:C,C43)-SUMIFS(借出!G:G,借出!D:D,C43)+SUMIFS(歸還!G:G,歸還!D:D,C43)</f>
        <v>0</v>
      </c>
      <c r="H43" s="122"/>
      <c r="I43" s="121" t="str">
        <f t="shared" si="1"/>
        <v>否</v>
      </c>
      <c r="J43" s="119">
        <f t="shared" si="3"/>
        <v>0</v>
      </c>
      <c r="K43" s="113"/>
      <c r="L43" s="114"/>
      <c r="M43" s="113"/>
    </row>
    <row r="44" spans="1:13" ht="13.5" customHeight="1" x14ac:dyDescent="0.15">
      <c r="A44" s="117"/>
      <c r="B44" s="118">
        <f t="shared" si="0"/>
        <v>41</v>
      </c>
      <c r="C44" s="119" t="s">
        <v>367</v>
      </c>
      <c r="D44" s="55" t="s">
        <v>368</v>
      </c>
      <c r="E44" s="119" t="str">
        <f>IF(烤漆色號編碼!B51="","-",烤漆色號編碼!B51)</f>
        <v>-</v>
      </c>
      <c r="F44" s="120">
        <f>SUMIFS(期初庫存!F:F,期初庫存!C:C,C44)+SUMIFS(採購入庫!H:H,採購入庫!D:D,C44)-SUMIFS(借出!H:H,借出!D:D,C44)-SUMIFS(每日用粉紀錄表!G:G,每日用粉紀錄表!C:C,C44)+SUMIFS(歸還!H:H,歸還!D:D,C44)+SUMIFS(每日用粉紀錄表!I:I,每日用粉紀錄表!C:C,C44)</f>
        <v>0</v>
      </c>
      <c r="G44" s="120">
        <f>SUMIFS(期初庫存!G:G,期初庫存!C:C,C44)+SUMIFS(採購入庫!G:G,採購入庫!D:D,C44)-SUMIFS(每日用粉紀錄表!F:F,每日用粉紀錄表!C:C,C44)-SUMIFS(借出!G:G,借出!D:D,C44)+SUMIFS(歸還!G:G,歸還!D:D,C44)</f>
        <v>0</v>
      </c>
      <c r="H44" s="122"/>
      <c r="I44" s="121" t="str">
        <f t="shared" si="1"/>
        <v>否</v>
      </c>
      <c r="J44" s="119">
        <f t="shared" si="3"/>
        <v>0</v>
      </c>
      <c r="K44" s="113"/>
      <c r="L44" s="114"/>
      <c r="M44" s="113"/>
    </row>
    <row r="45" spans="1:13" ht="13.5" customHeight="1" x14ac:dyDescent="0.15">
      <c r="A45" s="117"/>
      <c r="B45" s="118">
        <f t="shared" si="0"/>
        <v>42</v>
      </c>
      <c r="C45" s="119" t="s">
        <v>367</v>
      </c>
      <c r="D45" s="55" t="s">
        <v>368</v>
      </c>
      <c r="E45" s="119" t="str">
        <f>IF(烤漆色號編碼!B52="","-",烤漆色號編碼!B52)</f>
        <v>-</v>
      </c>
      <c r="F45" s="120">
        <f>SUMIFS(期初庫存!F:F,期初庫存!C:C,C45)+SUMIFS(採購入庫!H:H,採購入庫!D:D,C45)-SUMIFS(借出!H:H,借出!D:D,C45)-SUMIFS(每日用粉紀錄表!G:G,每日用粉紀錄表!C:C,C45)+SUMIFS(歸還!H:H,歸還!D:D,C45)+SUMIFS(每日用粉紀錄表!I:I,每日用粉紀錄表!C:C,C45)</f>
        <v>0</v>
      </c>
      <c r="G45" s="120">
        <f>SUMIFS(期初庫存!G:G,期初庫存!C:C,C45)+SUMIFS(採購入庫!G:G,採購入庫!D:D,C45)-SUMIFS(每日用粉紀錄表!F:F,每日用粉紀錄表!C:C,C45)-SUMIFS(借出!G:G,借出!D:D,C45)+SUMIFS(歸還!G:G,歸還!D:D,C45)</f>
        <v>0</v>
      </c>
      <c r="H45" s="122"/>
      <c r="I45" s="121" t="str">
        <f t="shared" si="1"/>
        <v>否</v>
      </c>
      <c r="J45" s="119">
        <f t="shared" si="3"/>
        <v>0</v>
      </c>
      <c r="K45" s="113"/>
      <c r="L45" s="114"/>
      <c r="M45" s="113"/>
    </row>
    <row r="46" spans="1:13" ht="13.5" customHeight="1" x14ac:dyDescent="0.15">
      <c r="A46" s="117"/>
      <c r="B46" s="118">
        <f t="shared" si="0"/>
        <v>43</v>
      </c>
      <c r="C46" s="119" t="s">
        <v>367</v>
      </c>
      <c r="D46" s="55" t="s">
        <v>368</v>
      </c>
      <c r="E46" s="119" t="str">
        <f>IF(烤漆色號編碼!B53="","-",烤漆色號編碼!B53)</f>
        <v>-</v>
      </c>
      <c r="F46" s="120">
        <f>SUMIFS(期初庫存!F:F,期初庫存!C:C,C46)+SUMIFS(採購入庫!H:H,採購入庫!D:D,C46)-SUMIFS(借出!H:H,借出!D:D,C46)-SUMIFS(每日用粉紀錄表!G:G,每日用粉紀錄表!C:C,C46)+SUMIFS(歸還!H:H,歸還!D:D,C46)+SUMIFS(每日用粉紀錄表!I:I,每日用粉紀錄表!C:C,C46)</f>
        <v>0</v>
      </c>
      <c r="G46" s="120">
        <f>SUMIFS(期初庫存!G:G,期初庫存!C:C,C46)+SUMIFS(採購入庫!G:G,採購入庫!D:D,C46)-SUMIFS(每日用粉紀錄表!F:F,每日用粉紀錄表!C:C,C46)-SUMIFS(借出!G:G,借出!D:D,C46)+SUMIFS(歸還!G:G,歸還!D:D,C46)</f>
        <v>0</v>
      </c>
      <c r="H46" s="122"/>
      <c r="I46" s="121" t="str">
        <f t="shared" si="1"/>
        <v>否</v>
      </c>
      <c r="J46" s="119">
        <f t="shared" si="3"/>
        <v>0</v>
      </c>
      <c r="K46" s="113"/>
      <c r="L46" s="114"/>
      <c r="M46" s="113"/>
    </row>
    <row r="47" spans="1:13" ht="13.5" customHeight="1" x14ac:dyDescent="0.15">
      <c r="A47" s="117"/>
      <c r="B47" s="118">
        <f t="shared" si="0"/>
        <v>44</v>
      </c>
      <c r="C47" s="119" t="s">
        <v>367</v>
      </c>
      <c r="D47" s="55" t="s">
        <v>368</v>
      </c>
      <c r="E47" s="119" t="s">
        <v>367</v>
      </c>
      <c r="F47" s="120">
        <f>SUMIFS(期初庫存!F:F,期初庫存!C:C,C47)+SUMIFS(採購入庫!H:H,採購入庫!D:D,C47)-SUMIFS(借出!H:H,借出!D:D,C47)-SUMIFS(每日用粉紀錄表!G:G,每日用粉紀錄表!C:C,C47)+SUMIFS(歸還!H:H,歸還!D:D,C47)+SUMIFS(每日用粉紀錄表!I:I,每日用粉紀錄表!C:C,C47)</f>
        <v>0</v>
      </c>
      <c r="G47" s="120">
        <f>SUMIFS(期初庫存!G:G,期初庫存!C:C,C47)+SUMIFS(採購入庫!G:G,採購入庫!D:D,C47)-SUMIFS(每日用粉紀錄表!F:F,每日用粉紀錄表!C:C,C47)-SUMIFS(借出!G:G,借出!D:D,C47)+SUMIFS(歸還!G:G,歸還!D:D,C47)</f>
        <v>0</v>
      </c>
      <c r="H47" s="122"/>
      <c r="I47" s="121" t="str">
        <f t="shared" si="1"/>
        <v>否</v>
      </c>
      <c r="J47" s="119">
        <f t="shared" si="3"/>
        <v>0</v>
      </c>
      <c r="K47" s="113"/>
      <c r="L47" s="114"/>
      <c r="M47" s="113"/>
    </row>
    <row r="48" spans="1:13" ht="13.5" customHeight="1" x14ac:dyDescent="0.15">
      <c r="A48" s="117"/>
      <c r="B48" s="118">
        <f t="shared" si="0"/>
        <v>45</v>
      </c>
      <c r="C48" s="119" t="s">
        <v>367</v>
      </c>
      <c r="D48" s="55" t="s">
        <v>368</v>
      </c>
      <c r="E48" s="119" t="s">
        <v>367</v>
      </c>
      <c r="F48" s="120">
        <f>SUMIFS(期初庫存!F:F,期初庫存!C:C,C48)+SUMIFS(採購入庫!H:H,採購入庫!D:D,C48)-SUMIFS(借出!H:H,借出!D:D,C48)-SUMIFS(每日用粉紀錄表!G:G,每日用粉紀錄表!C:C,C48)+SUMIFS(歸還!H:H,歸還!D:D,C48)+SUMIFS(每日用粉紀錄表!I:I,每日用粉紀錄表!C:C,C48)</f>
        <v>0</v>
      </c>
      <c r="G48" s="120">
        <f>SUMIFS(期初庫存!G:G,期初庫存!C:C,C48)+SUMIFS(採購入庫!G:G,採購入庫!D:D,C48)-SUMIFS(每日用粉紀錄表!F:F,每日用粉紀錄表!C:C,C48)-SUMIFS(借出!G:G,借出!D:D,C48)+SUMIFS(歸還!G:G,歸還!D:D,C48)</f>
        <v>0</v>
      </c>
      <c r="H48" s="122"/>
      <c r="I48" s="121" t="str">
        <f t="shared" si="1"/>
        <v>否</v>
      </c>
      <c r="J48" s="119">
        <f t="shared" si="3"/>
        <v>0</v>
      </c>
      <c r="K48" s="113"/>
      <c r="L48" s="114"/>
      <c r="M48" s="113"/>
    </row>
    <row r="49" spans="1:13" ht="13.5" customHeight="1" x14ac:dyDescent="0.15">
      <c r="A49" s="117"/>
      <c r="B49" s="118">
        <f t="shared" si="0"/>
        <v>46</v>
      </c>
      <c r="C49" s="119" t="s">
        <v>367</v>
      </c>
      <c r="D49" s="55" t="s">
        <v>368</v>
      </c>
      <c r="E49" s="119" t="s">
        <v>367</v>
      </c>
      <c r="F49" s="120">
        <f>SUMIFS(期初庫存!F:F,期初庫存!C:C,C49)+SUMIFS(採購入庫!H:H,採購入庫!D:D,C49)-SUMIFS(借出!H:H,借出!D:D,C49)-SUMIFS(每日用粉紀錄表!G:G,每日用粉紀錄表!C:C,C49)+SUMIFS(歸還!H:H,歸還!D:D,C49)+SUMIFS(每日用粉紀錄表!I:I,每日用粉紀錄表!C:C,C49)</f>
        <v>0</v>
      </c>
      <c r="G49" s="120">
        <f>SUMIFS(期初庫存!G:G,期初庫存!C:C,C49)+SUMIFS(採購入庫!G:G,採購入庫!D:D,C49)-SUMIFS(每日用粉紀錄表!F:F,每日用粉紀錄表!C:C,C49)-SUMIFS(借出!G:G,借出!D:D,C49)+SUMIFS(歸還!G:G,歸還!D:D,C49)</f>
        <v>0</v>
      </c>
      <c r="H49" s="122"/>
      <c r="I49" s="121" t="str">
        <f t="shared" si="1"/>
        <v>否</v>
      </c>
      <c r="J49" s="119">
        <f t="shared" si="3"/>
        <v>0</v>
      </c>
      <c r="K49" s="113"/>
      <c r="L49" s="114"/>
      <c r="M49" s="113"/>
    </row>
    <row r="50" spans="1:13" ht="13.5" customHeight="1" x14ac:dyDescent="0.15">
      <c r="A50" s="117"/>
      <c r="B50" s="118">
        <f t="shared" si="0"/>
        <v>47</v>
      </c>
      <c r="C50" s="119" t="s">
        <v>367</v>
      </c>
      <c r="D50" s="55" t="s">
        <v>368</v>
      </c>
      <c r="E50" s="119" t="s">
        <v>367</v>
      </c>
      <c r="F50" s="120">
        <f>SUMIFS(期初庫存!F:F,期初庫存!C:C,C50)+SUMIFS(採購入庫!H:H,採購入庫!D:D,C50)-SUMIFS(借出!H:H,借出!D:D,C50)-SUMIFS(每日用粉紀錄表!G:G,每日用粉紀錄表!C:C,C50)+SUMIFS(歸還!H:H,歸還!D:D,C50)+SUMIFS(每日用粉紀錄表!I:I,每日用粉紀錄表!C:C,C50)</f>
        <v>0</v>
      </c>
      <c r="G50" s="120">
        <f>SUMIFS(期初庫存!G:G,期初庫存!C:C,C50)+SUMIFS(採購入庫!G:G,採購入庫!D:D,C50)-SUMIFS(每日用粉紀錄表!F:F,每日用粉紀錄表!C:C,C50)-SUMIFS(借出!G:G,借出!D:D,C50)+SUMIFS(歸還!G:G,歸還!D:D,C50)</f>
        <v>0</v>
      </c>
      <c r="H50" s="122"/>
      <c r="I50" s="121" t="str">
        <f t="shared" si="1"/>
        <v>否</v>
      </c>
      <c r="J50" s="119">
        <f t="shared" si="3"/>
        <v>0</v>
      </c>
      <c r="K50" s="113"/>
      <c r="L50" s="114"/>
      <c r="M50" s="113"/>
    </row>
    <row r="51" spans="1:13" ht="13.5" customHeight="1" x14ac:dyDescent="0.15">
      <c r="A51" s="117"/>
      <c r="B51" s="118">
        <f t="shared" si="0"/>
        <v>48</v>
      </c>
      <c r="C51" s="119" t="s">
        <v>367</v>
      </c>
      <c r="D51" s="55" t="s">
        <v>368</v>
      </c>
      <c r="E51" s="119" t="s">
        <v>367</v>
      </c>
      <c r="F51" s="120">
        <f>SUMIFS(期初庫存!F:F,期初庫存!C:C,C51)+SUMIFS(採購入庫!H:H,採購入庫!D:D,C51)-SUMIFS(借出!H:H,借出!D:D,C51)-SUMIFS(每日用粉紀錄表!G:G,每日用粉紀錄表!C:C,C51)+SUMIFS(歸還!H:H,歸還!D:D,C51)+SUMIFS(每日用粉紀錄表!I:I,每日用粉紀錄表!C:C,C51)</f>
        <v>0</v>
      </c>
      <c r="G51" s="120">
        <f>SUMIFS(期初庫存!G:G,期初庫存!C:C,C51)+SUMIFS(採購入庫!G:G,採購入庫!D:D,C51)-SUMIFS(每日用粉紀錄表!F:F,每日用粉紀錄表!C:C,C51)-SUMIFS(借出!G:G,借出!D:D,C51)+SUMIFS(歸還!G:G,歸還!D:D,C51)</f>
        <v>0</v>
      </c>
      <c r="H51" s="122"/>
      <c r="I51" s="121" t="str">
        <f t="shared" si="1"/>
        <v>否</v>
      </c>
      <c r="J51" s="119">
        <f t="shared" si="3"/>
        <v>0</v>
      </c>
      <c r="K51" s="113"/>
      <c r="L51" s="114"/>
      <c r="M51" s="113"/>
    </row>
    <row r="52" spans="1:13" ht="13.5" customHeight="1" x14ac:dyDescent="0.15">
      <c r="A52" s="117"/>
      <c r="B52" s="118">
        <f t="shared" si="0"/>
        <v>49</v>
      </c>
      <c r="C52" s="119" t="s">
        <v>367</v>
      </c>
      <c r="D52" s="55" t="s">
        <v>368</v>
      </c>
      <c r="E52" s="119" t="s">
        <v>367</v>
      </c>
      <c r="F52" s="120">
        <f>SUMIFS(期初庫存!F:F,期初庫存!C:C,C52)+SUMIFS(採購入庫!H:H,採購入庫!D:D,C52)-SUMIFS(借出!H:H,借出!D:D,C52)-SUMIFS(每日用粉紀錄表!G:G,每日用粉紀錄表!C:C,C52)+SUMIFS(歸還!H:H,歸還!D:D,C52)+SUMIFS(每日用粉紀錄表!I:I,每日用粉紀錄表!C:C,C52)</f>
        <v>0</v>
      </c>
      <c r="G52" s="120">
        <f>SUMIFS(期初庫存!G:G,期初庫存!C:C,C52)+SUMIFS(採購入庫!G:G,採購入庫!D:D,C52)-SUMIFS(每日用粉紀錄表!F:F,每日用粉紀錄表!C:C,C52)-SUMIFS(借出!G:G,借出!D:D,C52)+SUMIFS(歸還!G:G,歸還!D:D,C52)</f>
        <v>0</v>
      </c>
      <c r="H52" s="122"/>
      <c r="I52" s="121" t="str">
        <f t="shared" si="1"/>
        <v>否</v>
      </c>
      <c r="J52" s="119">
        <f t="shared" si="3"/>
        <v>0</v>
      </c>
      <c r="K52" s="113"/>
      <c r="L52" s="114"/>
      <c r="M52" s="113"/>
    </row>
    <row r="53" spans="1:13" ht="13.5" customHeight="1" x14ac:dyDescent="0.15">
      <c r="A53" s="117"/>
      <c r="B53" s="118">
        <f t="shared" si="0"/>
        <v>50</v>
      </c>
      <c r="C53" s="119" t="s">
        <v>367</v>
      </c>
      <c r="D53" s="55" t="s">
        <v>368</v>
      </c>
      <c r="E53" s="119" t="s">
        <v>367</v>
      </c>
      <c r="F53" s="120">
        <f>SUMIFS(期初庫存!F:F,期初庫存!C:C,C53)+SUMIFS(採購入庫!H:H,採購入庫!D:D,C53)-SUMIFS(借出!H:H,借出!D:D,C53)-SUMIFS(每日用粉紀錄表!G:G,每日用粉紀錄表!C:C,C53)+SUMIFS(歸還!H:H,歸還!D:D,C53)+SUMIFS(每日用粉紀錄表!I:I,每日用粉紀錄表!C:C,C53)</f>
        <v>0</v>
      </c>
      <c r="G53" s="120">
        <f>SUMIFS(期初庫存!G:G,期初庫存!C:C,C53)+SUMIFS(採購入庫!G:G,採購入庫!D:D,C53)-SUMIFS(每日用粉紀錄表!F:F,每日用粉紀錄表!C:C,C53)-SUMIFS(借出!G:G,借出!D:D,C53)+SUMIFS(歸還!G:G,歸還!D:D,C53)</f>
        <v>0</v>
      </c>
      <c r="H53" s="122"/>
      <c r="I53" s="121" t="str">
        <f t="shared" si="1"/>
        <v>否</v>
      </c>
      <c r="J53" s="119">
        <f t="shared" si="3"/>
        <v>0</v>
      </c>
      <c r="K53" s="113"/>
      <c r="L53" s="114"/>
      <c r="M53" s="113"/>
    </row>
    <row r="54" spans="1:13" ht="13.5" customHeight="1" x14ac:dyDescent="0.15">
      <c r="A54" s="117"/>
      <c r="B54" s="118">
        <f t="shared" si="0"/>
        <v>51</v>
      </c>
      <c r="C54" s="119" t="s">
        <v>367</v>
      </c>
      <c r="D54" s="55" t="s">
        <v>368</v>
      </c>
      <c r="E54" s="119" t="s">
        <v>367</v>
      </c>
      <c r="F54" s="120">
        <f>SUMIFS(期初庫存!F:F,期初庫存!C:C,C54)+SUMIFS(採購入庫!H:H,採購入庫!D:D,C54)-SUMIFS(借出!H:H,借出!D:D,C54)-SUMIFS(每日用粉紀錄表!G:G,每日用粉紀錄表!C:C,C54)+SUMIFS(歸還!H:H,歸還!D:D,C54)+SUMIFS(每日用粉紀錄表!I:I,每日用粉紀錄表!C:C,C54)</f>
        <v>0</v>
      </c>
      <c r="G54" s="120">
        <f>SUMIFS(期初庫存!G:G,期初庫存!C:C,C54)+SUMIFS(採購入庫!G:G,採購入庫!D:D,C54)-SUMIFS(每日用粉紀錄表!F:F,每日用粉紀錄表!C:C,C54)-SUMIFS(借出!G:G,借出!D:D,C54)+SUMIFS(歸還!G:G,歸還!D:D,C54)</f>
        <v>0</v>
      </c>
      <c r="H54" s="122"/>
      <c r="I54" s="121" t="str">
        <f t="shared" si="1"/>
        <v>否</v>
      </c>
      <c r="J54" s="119">
        <f t="shared" si="3"/>
        <v>0</v>
      </c>
      <c r="K54" s="113"/>
      <c r="L54" s="114"/>
      <c r="M54" s="113"/>
    </row>
    <row r="55" spans="1:13" ht="13.5" customHeight="1" x14ac:dyDescent="0.15">
      <c r="A55" s="117"/>
      <c r="B55" s="118">
        <f t="shared" si="0"/>
        <v>52</v>
      </c>
      <c r="C55" s="119" t="s">
        <v>367</v>
      </c>
      <c r="D55" s="55" t="s">
        <v>368</v>
      </c>
      <c r="E55" s="119" t="s">
        <v>367</v>
      </c>
      <c r="F55" s="120">
        <f>SUMIFS(期初庫存!F:F,期初庫存!C:C,C55)+SUMIFS(採購入庫!H:H,採購入庫!D:D,C55)-SUMIFS(借出!H:H,借出!D:D,C55)-SUMIFS(每日用粉紀錄表!G:G,每日用粉紀錄表!C:C,C55)+SUMIFS(歸還!H:H,歸還!D:D,C55)+SUMIFS(每日用粉紀錄表!I:I,每日用粉紀錄表!C:C,C55)</f>
        <v>0</v>
      </c>
      <c r="G55" s="120">
        <f>SUMIFS(期初庫存!G:G,期初庫存!C:C,C55)+SUMIFS(採購入庫!G:G,採購入庫!D:D,C55)-SUMIFS(每日用粉紀錄表!F:F,每日用粉紀錄表!C:C,C55)-SUMIFS(借出!G:G,借出!D:D,C55)+SUMIFS(歸還!G:G,歸還!D:D,C55)</f>
        <v>0</v>
      </c>
      <c r="H55" s="122"/>
      <c r="I55" s="121" t="str">
        <f t="shared" si="1"/>
        <v>否</v>
      </c>
      <c r="J55" s="119">
        <f t="shared" si="3"/>
        <v>0</v>
      </c>
      <c r="K55" s="113"/>
      <c r="L55" s="114"/>
      <c r="M55" s="113"/>
    </row>
    <row r="56" spans="1:13" ht="13.5" customHeight="1" x14ac:dyDescent="0.15">
      <c r="A56" s="117"/>
      <c r="B56" s="118">
        <f t="shared" si="0"/>
        <v>53</v>
      </c>
      <c r="C56" s="119" t="s">
        <v>367</v>
      </c>
      <c r="D56" s="55" t="s">
        <v>367</v>
      </c>
      <c r="E56" s="119" t="s">
        <v>367</v>
      </c>
      <c r="F56" s="120">
        <f>SUMIFS(期初庫存!F:F,期初庫存!C:C,C56)+SUMIFS(採購入庫!H:H,採購入庫!D:D,C56)-SUMIFS(借出!H:H,借出!D:D,C56)-SUMIFS(每日用粉紀錄表!G:G,每日用粉紀錄表!C:C,C56)+SUMIFS(歸還!H:H,歸還!D:D,C56)+SUMIFS(每日用粉紀錄表!I:I,每日用粉紀錄表!C:C,C56)</f>
        <v>0</v>
      </c>
      <c r="G56" s="120">
        <f>SUMIFS(期初庫存!G:G,期初庫存!C:C,C56)+SUMIFS(採購入庫!G:G,採購入庫!D:D,C56)-SUMIFS(每日用粉紀錄表!F:F,每日用粉紀錄表!C:C,C56)-SUMIFS(借出!G:G,借出!D:D,C56)+SUMIFS(歸還!G:G,歸還!D:D,C56)</f>
        <v>0</v>
      </c>
      <c r="H56" s="122"/>
      <c r="I56" s="121" t="str">
        <f t="shared" si="1"/>
        <v>否</v>
      </c>
      <c r="J56" s="119">
        <f t="shared" si="3"/>
        <v>0</v>
      </c>
      <c r="K56" s="113"/>
      <c r="L56" s="114"/>
      <c r="M56" s="113"/>
    </row>
    <row r="57" spans="1:13" ht="13.5" customHeight="1" x14ac:dyDescent="0.15">
      <c r="A57" s="117"/>
      <c r="B57" s="118">
        <f t="shared" si="0"/>
        <v>54</v>
      </c>
      <c r="C57" s="119" t="s">
        <v>367</v>
      </c>
      <c r="D57" s="55" t="s">
        <v>367</v>
      </c>
      <c r="E57" s="119" t="s">
        <v>367</v>
      </c>
      <c r="F57" s="120">
        <f>SUMIFS(期初庫存!F:F,期初庫存!C:C,C57)+SUMIFS(採購入庫!H:H,採購入庫!D:D,C57)-SUMIFS(借出!H:H,借出!D:D,C57)-SUMIFS(每日用粉紀錄表!G:G,每日用粉紀錄表!C:C,C57)+SUMIFS(歸還!H:H,歸還!D:D,C57)+SUMIFS(每日用粉紀錄表!I:I,每日用粉紀錄表!C:C,C57)</f>
        <v>0</v>
      </c>
      <c r="G57" s="120">
        <f>SUMIFS(期初庫存!G:G,期初庫存!C:C,C57)+SUMIFS(採購入庫!G:G,採購入庫!D:D,C57)-SUMIFS(每日用粉紀錄表!F:F,每日用粉紀錄表!C:C,C57)-SUMIFS(借出!G:G,借出!D:D,C57)+SUMIFS(歸還!G:G,歸還!D:D,C57)</f>
        <v>0</v>
      </c>
      <c r="H57" s="122"/>
      <c r="I57" s="121" t="str">
        <f t="shared" si="1"/>
        <v>否</v>
      </c>
      <c r="J57" s="119">
        <f t="shared" si="3"/>
        <v>0</v>
      </c>
      <c r="K57" s="113"/>
      <c r="L57" s="114"/>
      <c r="M57" s="113"/>
    </row>
    <row r="58" spans="1:13" ht="13.5" customHeight="1" x14ac:dyDescent="0.15">
      <c r="A58" s="117"/>
      <c r="B58" s="118">
        <f t="shared" si="0"/>
        <v>55</v>
      </c>
      <c r="C58" s="119" t="s">
        <v>367</v>
      </c>
      <c r="D58" s="55" t="s">
        <v>367</v>
      </c>
      <c r="E58" s="119" t="s">
        <v>367</v>
      </c>
      <c r="F58" s="120">
        <f>SUMIFS(期初庫存!F:F,期初庫存!C:C,C58)+SUMIFS(採購入庫!H:H,採購入庫!D:D,C58)-SUMIFS(借出!H:H,借出!D:D,C58)-SUMIFS(每日用粉紀錄表!G:G,每日用粉紀錄表!C:C,C58)+SUMIFS(歸還!H:H,歸還!D:D,C58)+SUMIFS(每日用粉紀錄表!I:I,每日用粉紀錄表!C:C,C58)</f>
        <v>0</v>
      </c>
      <c r="G58" s="120">
        <f>SUMIFS(期初庫存!G:G,期初庫存!C:C,C58)+SUMIFS(採購入庫!G:G,採購入庫!D:D,C58)-SUMIFS(每日用粉紀錄表!F:F,每日用粉紀錄表!C:C,C58)-SUMIFS(借出!G:G,借出!D:D,C58)+SUMIFS(歸還!G:G,歸還!D:D,C58)</f>
        <v>0</v>
      </c>
      <c r="H58" s="122"/>
      <c r="I58" s="121" t="str">
        <f t="shared" si="1"/>
        <v>否</v>
      </c>
      <c r="J58" s="119">
        <f t="shared" si="3"/>
        <v>0</v>
      </c>
      <c r="K58" s="113"/>
      <c r="L58" s="114"/>
      <c r="M58" s="113"/>
    </row>
    <row r="59" spans="1:13" ht="13.5" customHeight="1" x14ac:dyDescent="0.15">
      <c r="A59" s="117"/>
      <c r="B59" s="118">
        <f t="shared" si="0"/>
        <v>56</v>
      </c>
      <c r="C59" s="119" t="s">
        <v>367</v>
      </c>
      <c r="D59" s="55" t="s">
        <v>367</v>
      </c>
      <c r="E59" s="119" t="s">
        <v>367</v>
      </c>
      <c r="F59" s="120">
        <f>SUMIFS(期初庫存!F:F,期初庫存!C:C,C59)+SUMIFS(採購入庫!H:H,採購入庫!D:D,C59)-SUMIFS(借出!H:H,借出!D:D,C59)-SUMIFS(每日用粉紀錄表!G:G,每日用粉紀錄表!C:C,C59)+SUMIFS(歸還!H:H,歸還!D:D,C59)+SUMIFS(每日用粉紀錄表!I:I,每日用粉紀錄表!C:C,C59)</f>
        <v>0</v>
      </c>
      <c r="G59" s="120">
        <f>SUMIFS(期初庫存!G:G,期初庫存!C:C,C59)+SUMIFS(採購入庫!G:G,採購入庫!D:D,C59)-SUMIFS(每日用粉紀錄表!F:F,每日用粉紀錄表!C:C,C59)-SUMIFS(借出!G:G,借出!D:D,C59)+SUMIFS(歸還!G:G,歸還!D:D,C59)</f>
        <v>0</v>
      </c>
      <c r="H59" s="122"/>
      <c r="I59" s="121" t="str">
        <f t="shared" si="1"/>
        <v>否</v>
      </c>
      <c r="J59" s="119">
        <f t="shared" si="3"/>
        <v>0</v>
      </c>
      <c r="K59" s="113"/>
      <c r="L59" s="114"/>
      <c r="M59" s="113"/>
    </row>
    <row r="60" spans="1:13" ht="13.5" customHeight="1" x14ac:dyDescent="0.15">
      <c r="A60" s="117"/>
      <c r="B60" s="118">
        <f t="shared" si="0"/>
        <v>57</v>
      </c>
      <c r="C60" s="119" t="s">
        <v>367</v>
      </c>
      <c r="D60" s="55" t="s">
        <v>367</v>
      </c>
      <c r="E60" s="119" t="s">
        <v>367</v>
      </c>
      <c r="F60" s="120">
        <f>SUMIFS(期初庫存!F:F,期初庫存!C:C,C60)+SUMIFS(採購入庫!H:H,採購入庫!D:D,C60)-SUMIFS(借出!H:H,借出!D:D,C60)-SUMIFS(每日用粉紀錄表!G:G,每日用粉紀錄表!C:C,C60)+SUMIFS(歸還!H:H,歸還!D:D,C60)+SUMIFS(每日用粉紀錄表!I:I,每日用粉紀錄表!C:C,C60)</f>
        <v>0</v>
      </c>
      <c r="G60" s="120">
        <f>SUMIFS(期初庫存!G:G,期初庫存!C:C,C60)+SUMIFS(採購入庫!G:G,採購入庫!D:D,C60)-SUMIFS(每日用粉紀錄表!F:F,每日用粉紀錄表!C:C,C60)-SUMIFS(借出!G:G,借出!D:D,C60)+SUMIFS(歸還!G:G,歸還!D:D,C60)</f>
        <v>0</v>
      </c>
      <c r="H60" s="122"/>
      <c r="I60" s="121" t="str">
        <f t="shared" si="1"/>
        <v>否</v>
      </c>
      <c r="J60" s="119">
        <f t="shared" si="3"/>
        <v>0</v>
      </c>
      <c r="K60" s="113"/>
      <c r="L60" s="114"/>
      <c r="M60" s="113"/>
    </row>
    <row r="61" spans="1:13" ht="13.5" customHeight="1" x14ac:dyDescent="0.15">
      <c r="A61" s="117"/>
      <c r="B61" s="118">
        <f t="shared" si="0"/>
        <v>58</v>
      </c>
      <c r="C61" s="119" t="s">
        <v>367</v>
      </c>
      <c r="D61" s="55" t="s">
        <v>367</v>
      </c>
      <c r="E61" s="119" t="s">
        <v>367</v>
      </c>
      <c r="F61" s="120">
        <f>SUMIFS(期初庫存!F:F,期初庫存!C:C,C61)+SUMIFS(採購入庫!H:H,採購入庫!D:D,C61)-SUMIFS(借出!H:H,借出!D:D,C61)-SUMIFS(每日用粉紀錄表!G:G,每日用粉紀錄表!C:C,C61)+SUMIFS(歸還!H:H,歸還!D:D,C61)+SUMIFS(每日用粉紀錄表!I:I,每日用粉紀錄表!C:C,C61)</f>
        <v>0</v>
      </c>
      <c r="G61" s="120">
        <f>SUMIFS(期初庫存!G:G,期初庫存!C:C,C61)+SUMIFS(採購入庫!G:G,採購入庫!D:D,C61)-SUMIFS(每日用粉紀錄表!F:F,每日用粉紀錄表!C:C,C61)-SUMIFS(借出!G:G,借出!D:D,C61)+SUMIFS(歸還!G:G,歸還!D:D,C61)</f>
        <v>0</v>
      </c>
      <c r="H61" s="122"/>
      <c r="I61" s="121" t="str">
        <f t="shared" si="1"/>
        <v>否</v>
      </c>
      <c r="J61" s="119">
        <f t="shared" si="3"/>
        <v>0</v>
      </c>
      <c r="K61" s="113"/>
      <c r="L61" s="114"/>
      <c r="M61" s="113"/>
    </row>
    <row r="62" spans="1:13" ht="13.5" customHeight="1" x14ac:dyDescent="0.15">
      <c r="A62" s="117"/>
      <c r="B62" s="118">
        <f t="shared" si="0"/>
        <v>59</v>
      </c>
      <c r="C62" s="119" t="s">
        <v>367</v>
      </c>
      <c r="D62" s="55" t="s">
        <v>367</v>
      </c>
      <c r="E62" s="119" t="s">
        <v>367</v>
      </c>
      <c r="F62" s="120">
        <f>SUMIFS(期初庫存!F:F,期初庫存!C:C,C62)+SUMIFS(採購入庫!H:H,採購入庫!D:D,C62)-SUMIFS(借出!H:H,借出!D:D,C62)-SUMIFS(每日用粉紀錄表!G:G,每日用粉紀錄表!C:C,C62)+SUMIFS(歸還!H:H,歸還!D:D,C62)+SUMIFS(每日用粉紀錄表!I:I,每日用粉紀錄表!C:C,C62)</f>
        <v>0</v>
      </c>
      <c r="G62" s="120">
        <f>SUMIFS(期初庫存!G:G,期初庫存!C:C,C62)+SUMIFS(採購入庫!G:G,採購入庫!D:D,C62)-SUMIFS(每日用粉紀錄表!F:F,每日用粉紀錄表!C:C,C62)-SUMIFS(借出!G:G,借出!D:D,C62)+SUMIFS(歸還!G:G,歸還!D:D,C62)</f>
        <v>0</v>
      </c>
      <c r="H62" s="122"/>
      <c r="I62" s="121" t="str">
        <f t="shared" si="1"/>
        <v>否</v>
      </c>
      <c r="J62" s="119">
        <f t="shared" si="3"/>
        <v>0</v>
      </c>
      <c r="K62" s="113"/>
      <c r="L62" s="114"/>
      <c r="M62" s="113"/>
    </row>
    <row r="63" spans="1:13" ht="13.5" customHeight="1" x14ac:dyDescent="0.15">
      <c r="A63" s="117"/>
      <c r="B63" s="118">
        <f t="shared" si="0"/>
        <v>60</v>
      </c>
      <c r="C63" s="119" t="s">
        <v>367</v>
      </c>
      <c r="D63" s="55" t="s">
        <v>367</v>
      </c>
      <c r="E63" s="119" t="s">
        <v>367</v>
      </c>
      <c r="F63" s="120">
        <f>SUMIFS(期初庫存!F:F,期初庫存!C:C,C63)+SUMIFS(採購入庫!H:H,採購入庫!D:D,C63)-SUMIFS(借出!H:H,借出!D:D,C63)-SUMIFS(每日用粉紀錄表!G:G,每日用粉紀錄表!C:C,C63)+SUMIFS(歸還!H:H,歸還!D:D,C63)+SUMIFS(每日用粉紀錄表!I:I,每日用粉紀錄表!C:C,C63)</f>
        <v>0</v>
      </c>
      <c r="G63" s="120">
        <f>SUMIFS(期初庫存!G:G,期初庫存!C:C,C63)+SUMIFS(採購入庫!G:G,採購入庫!D:D,C63)-SUMIFS(每日用粉紀錄表!F:F,每日用粉紀錄表!C:C,C63)-SUMIFS(借出!G:G,借出!D:D,C63)+SUMIFS(歸還!G:G,歸還!D:D,C63)</f>
        <v>0</v>
      </c>
      <c r="H63" s="122"/>
      <c r="I63" s="121" t="str">
        <f t="shared" si="1"/>
        <v>否</v>
      </c>
      <c r="J63" s="119">
        <f t="shared" si="3"/>
        <v>0</v>
      </c>
      <c r="K63" s="113"/>
      <c r="L63" s="114"/>
      <c r="M63" s="113"/>
    </row>
    <row r="64" spans="1:13" ht="13.5" customHeight="1" x14ac:dyDescent="0.15">
      <c r="A64" s="117"/>
      <c r="B64" s="118">
        <f t="shared" si="0"/>
        <v>61</v>
      </c>
      <c r="C64" s="119" t="s">
        <v>367</v>
      </c>
      <c r="D64" s="55" t="s">
        <v>367</v>
      </c>
      <c r="E64" s="119" t="s">
        <v>367</v>
      </c>
      <c r="F64" s="120">
        <f>SUMIFS(期初庫存!F:F,期初庫存!C:C,C64)+SUMIFS(採購入庫!H:H,採購入庫!D:D,C64)-SUMIFS(借出!H:H,借出!D:D,C64)-SUMIFS(每日用粉紀錄表!G:G,每日用粉紀錄表!C:C,C64)+SUMIFS(歸還!H:H,歸還!D:D,C64)+SUMIFS(每日用粉紀錄表!I:I,每日用粉紀錄表!C:C,C64)</f>
        <v>0</v>
      </c>
      <c r="G64" s="120">
        <f>SUMIFS(期初庫存!G:G,期初庫存!C:C,C64)+SUMIFS(採購入庫!G:G,採購入庫!D:D,C64)-SUMIFS(每日用粉紀錄表!F:F,每日用粉紀錄表!C:C,C64)-SUMIFS(借出!G:G,借出!D:D,C64)+SUMIFS(歸還!G:G,歸還!D:D,C64)</f>
        <v>0</v>
      </c>
      <c r="H64" s="122"/>
      <c r="I64" s="121" t="str">
        <f t="shared" si="1"/>
        <v>否</v>
      </c>
      <c r="J64" s="119">
        <f t="shared" si="3"/>
        <v>0</v>
      </c>
      <c r="K64" s="113"/>
      <c r="L64" s="114"/>
      <c r="M64" s="113"/>
    </row>
    <row r="65" spans="1:13" ht="13.5" customHeight="1" x14ac:dyDescent="0.15">
      <c r="A65" s="117"/>
      <c r="B65" s="118">
        <f t="shared" si="0"/>
        <v>62</v>
      </c>
      <c r="C65" s="119" t="s">
        <v>367</v>
      </c>
      <c r="D65" s="55" t="s">
        <v>367</v>
      </c>
      <c r="E65" s="119" t="s">
        <v>367</v>
      </c>
      <c r="F65" s="120">
        <f>SUMIFS(期初庫存!F:F,期初庫存!C:C,C65)+SUMIFS(採購入庫!H:H,採購入庫!D:D,C65)-SUMIFS(借出!H:H,借出!D:D,C65)-SUMIFS(每日用粉紀錄表!G:G,每日用粉紀錄表!C:C,C65)+SUMIFS(歸還!H:H,歸還!D:D,C65)+SUMIFS(每日用粉紀錄表!I:I,每日用粉紀錄表!C:C,C65)</f>
        <v>0</v>
      </c>
      <c r="G65" s="120">
        <f>SUMIFS(期初庫存!G:G,期初庫存!C:C,C65)+SUMIFS(採購入庫!G:G,採購入庫!D:D,C65)-SUMIFS(每日用粉紀錄表!F:F,每日用粉紀錄表!C:C,C65)-SUMIFS(借出!G:G,借出!D:D,C65)+SUMIFS(歸還!G:G,歸還!D:D,C65)</f>
        <v>0</v>
      </c>
      <c r="H65" s="122"/>
      <c r="I65" s="121" t="str">
        <f t="shared" si="1"/>
        <v>否</v>
      </c>
      <c r="J65" s="119">
        <f t="shared" si="3"/>
        <v>0</v>
      </c>
      <c r="K65" s="113"/>
      <c r="L65" s="114"/>
      <c r="M65" s="113"/>
    </row>
    <row r="66" spans="1:13" ht="13.5" customHeight="1" x14ac:dyDescent="0.15">
      <c r="A66" s="117"/>
      <c r="B66" s="118">
        <f t="shared" si="0"/>
        <v>63</v>
      </c>
      <c r="C66" s="119" t="s">
        <v>367</v>
      </c>
      <c r="D66" s="55" t="s">
        <v>367</v>
      </c>
      <c r="E66" s="119" t="s">
        <v>367</v>
      </c>
      <c r="F66" s="120">
        <f>SUMIFS(期初庫存!F:F,期初庫存!C:C,C66)+SUMIFS(採購入庫!H:H,採購入庫!D:D,C66)-SUMIFS(借出!H:H,借出!D:D,C66)-SUMIFS(每日用粉紀錄表!G:G,每日用粉紀錄表!C:C,C66)+SUMIFS(歸還!H:H,歸還!D:D,C66)+SUMIFS(每日用粉紀錄表!I:I,每日用粉紀錄表!C:C,C66)</f>
        <v>0</v>
      </c>
      <c r="G66" s="120">
        <f>SUMIFS(期初庫存!G:G,期初庫存!C:C,C66)+SUMIFS(採購入庫!G:G,採購入庫!D:D,C66)-SUMIFS(每日用粉紀錄表!F:F,每日用粉紀錄表!C:C,C66)-SUMIFS(借出!G:G,借出!D:D,C66)+SUMIFS(歸還!G:G,歸還!D:D,C66)</f>
        <v>0</v>
      </c>
      <c r="H66" s="122"/>
      <c r="I66" s="121" t="str">
        <f t="shared" si="1"/>
        <v>否</v>
      </c>
      <c r="J66" s="119">
        <f t="shared" si="3"/>
        <v>0</v>
      </c>
      <c r="K66" s="113"/>
      <c r="L66" s="114"/>
      <c r="M66" s="113"/>
    </row>
    <row r="67" spans="1:13" ht="13.5" customHeight="1" x14ac:dyDescent="0.15">
      <c r="A67" s="117"/>
      <c r="B67" s="118">
        <f t="shared" si="0"/>
        <v>64</v>
      </c>
      <c r="C67" s="119" t="s">
        <v>367</v>
      </c>
      <c r="D67" s="55" t="s">
        <v>367</v>
      </c>
      <c r="E67" s="119" t="s">
        <v>367</v>
      </c>
      <c r="F67" s="120">
        <f>SUMIFS(期初庫存!F:F,期初庫存!C:C,C67)+SUMIFS(採購入庫!H:H,採購入庫!D:D,C67)-SUMIFS(借出!H:H,借出!D:D,C67)-SUMIFS(每日用粉紀錄表!G:G,每日用粉紀錄表!C:C,C67)+SUMIFS(歸還!H:H,歸還!D:D,C67)+SUMIFS(每日用粉紀錄表!I:I,每日用粉紀錄表!C:C,C67)</f>
        <v>0</v>
      </c>
      <c r="G67" s="120">
        <f>SUMIFS(期初庫存!G:G,期初庫存!C:C,C67)+SUMIFS(採購入庫!G:G,採購入庫!D:D,C67)-SUMIFS(每日用粉紀錄表!F:F,每日用粉紀錄表!C:C,C67)-SUMIFS(借出!G:G,借出!D:D,C67)+SUMIFS(歸還!H:H,歸還!D:D,C67)</f>
        <v>0</v>
      </c>
      <c r="H67" s="122"/>
      <c r="I67" s="121" t="str">
        <f t="shared" si="1"/>
        <v>否</v>
      </c>
      <c r="J67" s="119">
        <f t="shared" si="3"/>
        <v>0</v>
      </c>
      <c r="K67" s="113"/>
      <c r="L67" s="114"/>
      <c r="M67" s="113"/>
    </row>
    <row r="68" spans="1:13" ht="13.5" customHeight="1" x14ac:dyDescent="0.15">
      <c r="A68" s="117"/>
      <c r="B68" s="118">
        <f t="shared" si="0"/>
        <v>65</v>
      </c>
      <c r="C68" s="119" t="s">
        <v>367</v>
      </c>
      <c r="D68" s="55" t="s">
        <v>367</v>
      </c>
      <c r="E68" s="119" t="s">
        <v>367</v>
      </c>
      <c r="F68" s="120">
        <f>SUMIFS(期初庫存!F:F,期初庫存!C:C,C68)+SUMIFS(採購入庫!H:H,採購入庫!D:D,C68)-SUMIFS(借出!H:H,借出!D:D,C68)-SUMIFS(每日用粉紀錄表!G:G,每日用粉紀錄表!C:C,C68)+SUMIFS(歸還!H:H,歸還!D:D,C68)+SUMIFS(每日用粉紀錄表!I:I,每日用粉紀錄表!C:C,C68)</f>
        <v>0</v>
      </c>
      <c r="G68" s="120">
        <f>SUMIFS(期初庫存!G:G,期初庫存!C:C,C68)+SUMIFS(採購入庫!G:G,採購入庫!D:D,C68)-SUMIFS(每日用粉紀錄表!F:F,每日用粉紀錄表!C:C,C68)-SUMIFS(借出!G:G,借出!D:D,C68)+SUMIFS(歸還!H:H,歸還!D:D,C68)</f>
        <v>0</v>
      </c>
      <c r="H68" s="122"/>
      <c r="I68" s="121" t="str">
        <f t="shared" si="1"/>
        <v>否</v>
      </c>
      <c r="J68" s="119">
        <f t="shared" si="3"/>
        <v>0</v>
      </c>
      <c r="K68" s="113"/>
      <c r="L68" s="114"/>
      <c r="M68" s="113"/>
    </row>
    <row r="69" spans="1:13" ht="13.5" customHeight="1" x14ac:dyDescent="0.15">
      <c r="A69" s="117"/>
      <c r="B69" s="118">
        <f t="shared" si="0"/>
        <v>66</v>
      </c>
      <c r="C69" s="119" t="s">
        <v>367</v>
      </c>
      <c r="D69" s="55" t="s">
        <v>367</v>
      </c>
      <c r="E69" s="119" t="s">
        <v>367</v>
      </c>
      <c r="F69" s="120">
        <f>SUMIFS(期初庫存!F:F,期初庫存!C:C,C69)+SUMIFS(採購入庫!H:H,採購入庫!D:D,C69)-SUMIFS(借出!H:H,借出!D:D,C69)-SUMIFS(每日用粉紀錄表!G:G,每日用粉紀錄表!C:C,C69)+SUMIFS(歸還!H:H,歸還!D:D,C69)+SUMIFS(每日用粉紀錄表!I:I,每日用粉紀錄表!C:C,C69)</f>
        <v>0</v>
      </c>
      <c r="G69" s="120">
        <f>SUMIFS(期初庫存!G:G,期初庫存!C:C,C69)+SUMIFS(採購入庫!G:G,採購入庫!D:D,C69)-SUMIFS(每日用粉紀錄表!F:F,每日用粉紀錄表!C:C,C69)-SUMIFS(借出!G:G,借出!D:D,C69)+SUMIFS(歸還!H:H,歸還!D:D,C69)</f>
        <v>0</v>
      </c>
      <c r="H69" s="122"/>
      <c r="I69" s="121" t="str">
        <f t="shared" si="1"/>
        <v>否</v>
      </c>
      <c r="J69" s="119">
        <f t="shared" si="3"/>
        <v>0</v>
      </c>
      <c r="K69" s="113"/>
      <c r="L69" s="114"/>
      <c r="M69" s="113"/>
    </row>
    <row r="70" spans="1:13" ht="13.5" customHeight="1" x14ac:dyDescent="0.15">
      <c r="A70" s="117"/>
      <c r="B70" s="118">
        <f t="shared" si="0"/>
        <v>67</v>
      </c>
      <c r="C70" s="119" t="s">
        <v>367</v>
      </c>
      <c r="D70" s="55" t="s">
        <v>367</v>
      </c>
      <c r="E70" s="119" t="s">
        <v>367</v>
      </c>
      <c r="F70" s="120">
        <f>SUMIFS(期初庫存!F:F,期初庫存!C:C,C70)+SUMIFS(採購入庫!H:H,採購入庫!D:D,C70)-SUMIFS(借出!H:H,借出!D:D,C70)-SUMIFS(每日用粉紀錄表!G:G,每日用粉紀錄表!C:C,C70)+SUMIFS(歸還!H:H,歸還!D:D,C70)+SUMIFS(每日用粉紀錄表!I:I,每日用粉紀錄表!C:C,C70)</f>
        <v>0</v>
      </c>
      <c r="G70" s="120">
        <f>SUMIFS(期初庫存!G:G,期初庫存!C:C,C70)+SUMIFS(採購入庫!G:G,採購入庫!D:D,C70)-SUMIFS(每日用粉紀錄表!F:F,每日用粉紀錄表!C:C,C70)-SUMIFS(借出!G:G,借出!D:D,C70)+SUMIFS(歸還!H:H,歸還!D:D,C70)</f>
        <v>0</v>
      </c>
      <c r="H70" s="122"/>
      <c r="I70" s="121" t="str">
        <f t="shared" si="1"/>
        <v>否</v>
      </c>
      <c r="J70" s="119">
        <f t="shared" si="3"/>
        <v>0</v>
      </c>
      <c r="K70" s="113"/>
      <c r="L70" s="114"/>
      <c r="M70" s="113"/>
    </row>
    <row r="71" spans="1:13" ht="13.5" customHeight="1" x14ac:dyDescent="0.15">
      <c r="A71" s="117"/>
      <c r="B71" s="118">
        <f t="shared" si="0"/>
        <v>68</v>
      </c>
      <c r="C71" s="119" t="s">
        <v>367</v>
      </c>
      <c r="D71" s="55" t="s">
        <v>367</v>
      </c>
      <c r="E71" s="119" t="s">
        <v>367</v>
      </c>
      <c r="F71" s="120">
        <f>SUMIFS(期初庫存!F:F,期初庫存!C:C,C71)+SUMIFS(採購入庫!H:H,採購入庫!D:D,C71)-SUMIFS(借出!H:H,借出!D:D,C71)-SUMIFS(每日用粉紀錄表!G:G,每日用粉紀錄表!C:C,C71)+SUMIFS(歸還!H:H,歸還!D:D,C71)+SUMIFS(每日用粉紀錄表!I:I,每日用粉紀錄表!C:C,C71)</f>
        <v>0</v>
      </c>
      <c r="G71" s="120">
        <f>SUMIFS(期初庫存!G:G,期初庫存!C:C,C71)+SUMIFS(採購入庫!G:G,採購入庫!D:D,C71)-SUMIFS(每日用粉紀錄表!F:F,每日用粉紀錄表!C:C,C71)-SUMIFS(借出!G:G,借出!D:D,C71)+SUMIFS(歸還!H:H,歸還!D:D,C71)</f>
        <v>0</v>
      </c>
      <c r="H71" s="122"/>
      <c r="I71" s="121" t="str">
        <f t="shared" si="1"/>
        <v>否</v>
      </c>
      <c r="J71" s="119">
        <f t="shared" si="3"/>
        <v>0</v>
      </c>
      <c r="K71" s="113"/>
      <c r="L71" s="114"/>
      <c r="M71" s="113"/>
    </row>
    <row r="72" spans="1:13" ht="13.5" customHeight="1" x14ac:dyDescent="0.15">
      <c r="A72" s="117"/>
      <c r="B72" s="118">
        <f t="shared" si="0"/>
        <v>69</v>
      </c>
      <c r="C72" s="119" t="s">
        <v>367</v>
      </c>
      <c r="D72" s="55" t="s">
        <v>367</v>
      </c>
      <c r="E72" s="119" t="s">
        <v>367</v>
      </c>
      <c r="F72" s="120">
        <f>SUMIFS(期初庫存!F:F,期初庫存!C:C,C72)+SUMIFS(採購入庫!H:H,採購入庫!D:D,C72)-SUMIFS(借出!H:H,借出!D:D,C72)-SUMIFS(每日用粉紀錄表!G:G,每日用粉紀錄表!C:C,C72)+SUMIFS(歸還!H:H,歸還!D:D,C72)+SUMIFS(每日用粉紀錄表!I:I,每日用粉紀錄表!C:C,C72)</f>
        <v>0</v>
      </c>
      <c r="G72" s="120">
        <f>SUMIFS(期初庫存!G:G,期初庫存!C:C,C72)+SUMIFS(採購入庫!G:G,採購入庫!D:D,C72)-SUMIFS(每日用粉紀錄表!F:F,每日用粉紀錄表!C:C,C72)-SUMIFS(借出!G:G,借出!D:D,C72)+SUMIFS(歸還!H:H,歸還!D:D,C72)</f>
        <v>0</v>
      </c>
      <c r="H72" s="122"/>
      <c r="I72" s="121" t="str">
        <f t="shared" si="1"/>
        <v>否</v>
      </c>
      <c r="J72" s="119">
        <f t="shared" si="3"/>
        <v>0</v>
      </c>
      <c r="K72" s="113"/>
      <c r="L72" s="114"/>
      <c r="M72" s="113"/>
    </row>
    <row r="73" spans="1:13" ht="13.5" customHeight="1" x14ac:dyDescent="0.15">
      <c r="A73" s="117"/>
      <c r="B73" s="118">
        <f t="shared" si="0"/>
        <v>70</v>
      </c>
      <c r="C73" s="119" t="s">
        <v>367</v>
      </c>
      <c r="D73" s="55" t="s">
        <v>367</v>
      </c>
      <c r="E73" s="119" t="s">
        <v>367</v>
      </c>
      <c r="F73" s="120">
        <f>SUMIFS(期初庫存!F:F,期初庫存!C:C,C73)+SUMIFS(採購入庫!H:H,採購入庫!D:D,C73)-SUMIFS(借出!H:H,借出!D:D,C73)-SUMIFS(每日用粉紀錄表!G:G,每日用粉紀錄表!C:C,C73)+SUMIFS(歸還!H:H,歸還!D:D,C73)+SUMIFS(每日用粉紀錄表!I:I,每日用粉紀錄表!C:C,C73)</f>
        <v>0</v>
      </c>
      <c r="G73" s="120">
        <f>SUMIFS(期初庫存!G:G,期初庫存!C:C,C73)+SUMIFS(採購入庫!G:G,採購入庫!D:D,C73)-SUMIFS(每日用粉紀錄表!F:F,每日用粉紀錄表!C:C,C73)-SUMIFS(借出!G:G,借出!D:D,C73)+SUMIFS(歸還!H:H,歸還!D:D,C73)</f>
        <v>0</v>
      </c>
      <c r="H73" s="122"/>
      <c r="I73" s="121" t="str">
        <f t="shared" si="1"/>
        <v>否</v>
      </c>
      <c r="J73" s="119">
        <f t="shared" si="3"/>
        <v>0</v>
      </c>
      <c r="K73" s="113"/>
      <c r="L73" s="114"/>
      <c r="M73" s="113"/>
    </row>
    <row r="74" spans="1:13" ht="13.5" customHeight="1" x14ac:dyDescent="0.15">
      <c r="A74" s="117"/>
      <c r="B74" s="118">
        <f t="shared" si="0"/>
        <v>71</v>
      </c>
      <c r="C74" s="119" t="s">
        <v>367</v>
      </c>
      <c r="D74" s="55" t="s">
        <v>367</v>
      </c>
      <c r="E74" s="119" t="s">
        <v>367</v>
      </c>
      <c r="F74" s="120">
        <f>SUMIFS(期初庫存!F:F,期初庫存!C:C,C74)+SUMIFS(採購入庫!H:H,採購入庫!D:D,C74)-SUMIFS(借出!H:H,借出!D:D,C74)-SUMIFS(每日用粉紀錄表!G:G,每日用粉紀錄表!C:C,C74)+SUMIFS(歸還!H:H,歸還!D:D,C74)+SUMIFS(每日用粉紀錄表!I:I,每日用粉紀錄表!C:C,C74)</f>
        <v>0</v>
      </c>
      <c r="G74" s="120">
        <f>SUMIFS(期初庫存!G:G,期初庫存!C:C,C74)+SUMIFS(採購入庫!G:G,採購入庫!D:D,C74)-SUMIFS(每日用粉紀錄表!F:F,每日用粉紀錄表!C:C,C74)-SUMIFS(借出!G:G,借出!D:D,C74)+SUMIFS(歸還!H:H,歸還!D:D,C74)</f>
        <v>0</v>
      </c>
      <c r="H74" s="122"/>
      <c r="I74" s="121" t="str">
        <f t="shared" si="1"/>
        <v>否</v>
      </c>
      <c r="J74" s="119">
        <f t="shared" si="3"/>
        <v>0</v>
      </c>
      <c r="K74" s="113"/>
      <c r="L74" s="114"/>
      <c r="M74" s="113"/>
    </row>
    <row r="75" spans="1:13" ht="13.5" customHeight="1" x14ac:dyDescent="0.15">
      <c r="A75" s="117"/>
      <c r="B75" s="118">
        <f t="shared" si="0"/>
        <v>72</v>
      </c>
      <c r="C75" s="119" t="s">
        <v>367</v>
      </c>
      <c r="D75" s="55" t="s">
        <v>367</v>
      </c>
      <c r="E75" s="119" t="s">
        <v>367</v>
      </c>
      <c r="F75" s="120">
        <f>SUMIFS(期初庫存!F:F,期初庫存!C:C,C75)+SUMIFS(採購入庫!H:H,採購入庫!D:D,C75)-SUMIFS(借出!H:H,借出!D:D,C75)-SUMIFS(每日用粉紀錄表!G:G,每日用粉紀錄表!C:C,C75)+SUMIFS(歸還!H:H,歸還!D:D,C75)+SUMIFS(每日用粉紀錄表!I:I,每日用粉紀錄表!C:C,C75)</f>
        <v>0</v>
      </c>
      <c r="G75" s="120">
        <f>SUMIFS(期初庫存!G:G,期初庫存!C:C,C75)+SUMIFS(採購入庫!G:G,採購入庫!D:D,C75)-SUMIFS(每日用粉紀錄表!F:F,每日用粉紀錄表!C:C,C75)-SUMIFS(借出!G:G,借出!D:D,C75)+SUMIFS(歸還!H:H,歸還!D:D,C75)</f>
        <v>0</v>
      </c>
      <c r="H75" s="122"/>
      <c r="I75" s="121" t="str">
        <f t="shared" si="1"/>
        <v>否</v>
      </c>
      <c r="J75" s="119">
        <f t="shared" si="3"/>
        <v>0</v>
      </c>
      <c r="K75" s="113"/>
      <c r="L75" s="114"/>
      <c r="M75" s="113"/>
    </row>
    <row r="76" spans="1:13" ht="13.5" customHeight="1" x14ac:dyDescent="0.15">
      <c r="A76" s="117"/>
      <c r="B76" s="118">
        <f t="shared" si="0"/>
        <v>73</v>
      </c>
      <c r="C76" s="119" t="s">
        <v>367</v>
      </c>
      <c r="D76" s="55" t="s">
        <v>367</v>
      </c>
      <c r="E76" s="119" t="s">
        <v>367</v>
      </c>
      <c r="F76" s="120">
        <f>SUMIFS(期初庫存!F:F,期初庫存!C:C,C76)+SUMIFS(採購入庫!H:H,採購入庫!D:D,C76)-SUMIFS(借出!H:H,借出!D:D,C76)-SUMIFS(每日用粉紀錄表!G:G,每日用粉紀錄表!C:C,C76)+SUMIFS(歸還!H:H,歸還!D:D,C76)+SUMIFS(每日用粉紀錄表!I:I,每日用粉紀錄表!C:C,C76)</f>
        <v>0</v>
      </c>
      <c r="G76" s="120">
        <f>SUMIFS(期初庫存!G:G,期初庫存!C:C,C76)+SUMIFS(採購入庫!G:G,採購入庫!D:D,C76)-SUMIFS(每日用粉紀錄表!F:F,每日用粉紀錄表!C:C,C76)-SUMIFS(借出!G:G,借出!D:D,C76)+SUMIFS(歸還!H:H,歸還!D:D,C76)</f>
        <v>0</v>
      </c>
      <c r="H76" s="122"/>
      <c r="I76" s="121" t="str">
        <f t="shared" si="1"/>
        <v>否</v>
      </c>
      <c r="J76" s="119">
        <f t="shared" si="3"/>
        <v>0</v>
      </c>
      <c r="K76" s="113"/>
      <c r="L76" s="114"/>
      <c r="M76" s="113"/>
    </row>
    <row r="77" spans="1:13" ht="13.5" customHeight="1" x14ac:dyDescent="0.15">
      <c r="A77" s="117"/>
      <c r="B77" s="118">
        <f t="shared" si="0"/>
        <v>74</v>
      </c>
      <c r="C77" s="119" t="s">
        <v>367</v>
      </c>
      <c r="D77" s="55" t="s">
        <v>367</v>
      </c>
      <c r="E77" s="119" t="s">
        <v>367</v>
      </c>
      <c r="F77" s="120">
        <f>SUMIFS(期初庫存!F:F,期初庫存!C:C,C77)+SUMIFS(採購入庫!H:H,採購入庫!D:D,C77)-SUMIFS(借出!H:H,借出!D:D,C77)-SUMIFS(每日用粉紀錄表!G:G,每日用粉紀錄表!C:C,C77)+SUMIFS(歸還!H:H,歸還!D:D,C77)+SUMIFS(每日用粉紀錄表!I:I,每日用粉紀錄表!C:C,C77)</f>
        <v>0</v>
      </c>
      <c r="G77" s="120">
        <f>SUMIFS(期初庫存!G:G,期初庫存!C:C,C77)+SUMIFS(採購入庫!G:G,採購入庫!D:D,C77)-SUMIFS(每日用粉紀錄表!F:F,每日用粉紀錄表!C:C,C77)-SUMIFS(借出!G:G,借出!D:D,C77)+SUMIFS(歸還!H:H,歸還!D:D,C77)</f>
        <v>0</v>
      </c>
      <c r="H77" s="122"/>
      <c r="I77" s="121" t="str">
        <f t="shared" si="1"/>
        <v>否</v>
      </c>
      <c r="J77" s="119">
        <f t="shared" si="3"/>
        <v>0</v>
      </c>
      <c r="K77" s="113"/>
      <c r="L77" s="114"/>
      <c r="M77" s="113"/>
    </row>
    <row r="78" spans="1:13" ht="13.5" customHeight="1" x14ac:dyDescent="0.15">
      <c r="A78" s="117"/>
      <c r="B78" s="118">
        <f t="shared" si="0"/>
        <v>75</v>
      </c>
      <c r="C78" s="119" t="s">
        <v>367</v>
      </c>
      <c r="D78" s="55" t="s">
        <v>367</v>
      </c>
      <c r="E78" s="119" t="s">
        <v>367</v>
      </c>
      <c r="F78" s="120">
        <f>SUMIFS(期初庫存!F:F,期初庫存!C:C,C78)+SUMIFS(採購入庫!H:H,採購入庫!D:D,C78)-SUMIFS(借出!H:H,借出!D:D,C78)-SUMIFS(每日用粉紀錄表!G:G,每日用粉紀錄表!C:C,C78)+SUMIFS(歸還!H:H,歸還!D:D,C78)+SUMIFS(每日用粉紀錄表!I:I,每日用粉紀錄表!C:C,C78)</f>
        <v>0</v>
      </c>
      <c r="G78" s="120">
        <f>SUMIFS(期初庫存!G:G,期初庫存!C:C,C78)+SUMIFS(採購入庫!G:G,採購入庫!D:D,C78)-SUMIFS(每日用粉紀錄表!F:F,每日用粉紀錄表!C:C,C78)-SUMIFS(借出!G:G,借出!D:D,C78)+SUMIFS(歸還!H:H,歸還!D:D,C78)</f>
        <v>0</v>
      </c>
      <c r="H78" s="122"/>
      <c r="I78" s="121" t="str">
        <f t="shared" si="1"/>
        <v>否</v>
      </c>
      <c r="J78" s="119">
        <f t="shared" si="3"/>
        <v>0</v>
      </c>
      <c r="K78" s="113"/>
      <c r="L78" s="114"/>
      <c r="M78" s="113"/>
    </row>
    <row r="79" spans="1:13" ht="13.5" customHeight="1" x14ac:dyDescent="0.15">
      <c r="A79" s="117"/>
      <c r="B79" s="118">
        <f t="shared" si="0"/>
        <v>76</v>
      </c>
      <c r="C79" s="119" t="s">
        <v>367</v>
      </c>
      <c r="D79" s="55" t="s">
        <v>367</v>
      </c>
      <c r="E79" s="119" t="s">
        <v>367</v>
      </c>
      <c r="F79" s="120">
        <f>SUMIFS(期初庫存!F:F,期初庫存!C:C,C79)+SUMIFS(採購入庫!H:H,採購入庫!D:D,C79)-SUMIFS(借出!H:H,借出!D:D,C79)-SUMIFS(每日用粉紀錄表!G:G,每日用粉紀錄表!C:C,C79)+SUMIFS(歸還!H:H,歸還!D:D,C79)+SUMIFS(每日用粉紀錄表!I:I,每日用粉紀錄表!C:C,C79)</f>
        <v>0</v>
      </c>
      <c r="G79" s="120">
        <f>SUMIFS(期初庫存!G:G,期初庫存!C:C,C79)+SUMIFS(採購入庫!G:G,採購入庫!D:D,C79)-SUMIFS(每日用粉紀錄表!F:F,每日用粉紀錄表!C:C,C79)-SUMIFS(借出!G:G,借出!D:D,C79)+SUMIFS(歸還!H:H,歸還!D:D,C79)</f>
        <v>0</v>
      </c>
      <c r="H79" s="122"/>
      <c r="I79" s="121" t="str">
        <f t="shared" si="1"/>
        <v>否</v>
      </c>
      <c r="J79" s="119">
        <f t="shared" si="3"/>
        <v>0</v>
      </c>
      <c r="K79" s="113"/>
      <c r="L79" s="114"/>
      <c r="M79" s="113"/>
    </row>
    <row r="80" spans="1:13" ht="13.5" customHeight="1" x14ac:dyDescent="0.15">
      <c r="A80" s="117"/>
      <c r="B80" s="118">
        <f t="shared" si="0"/>
        <v>77</v>
      </c>
      <c r="C80" s="119" t="s">
        <v>367</v>
      </c>
      <c r="D80" s="55" t="s">
        <v>367</v>
      </c>
      <c r="E80" s="119" t="s">
        <v>367</v>
      </c>
      <c r="F80" s="120">
        <f>SUMIFS(期初庫存!F:F,期初庫存!C:C,C80)+SUMIFS(採購入庫!H:H,採購入庫!D:D,C80)-SUMIFS(借出!H:H,借出!D:D,C80)-SUMIFS(每日用粉紀錄表!G:G,每日用粉紀錄表!C:C,C80)+SUMIFS(歸還!H:H,歸還!D:D,C80)+SUMIFS(每日用粉紀錄表!I:I,每日用粉紀錄表!C:C,C80)</f>
        <v>0</v>
      </c>
      <c r="G80" s="120">
        <f>SUMIFS(期初庫存!G:G,期初庫存!C:C,C80)+SUMIFS(採購入庫!G:G,採購入庫!D:D,C80)-SUMIFS(每日用粉紀錄表!F:F,每日用粉紀錄表!C:C,C80)-SUMIFS(借出!G:G,借出!D:D,C80)+SUMIFS(歸還!H:H,歸還!D:D,C80)</f>
        <v>0</v>
      </c>
      <c r="H80" s="122"/>
      <c r="I80" s="121" t="str">
        <f t="shared" si="1"/>
        <v>否</v>
      </c>
      <c r="J80" s="119">
        <f t="shared" si="3"/>
        <v>0</v>
      </c>
      <c r="K80" s="113"/>
      <c r="L80" s="114"/>
      <c r="M80" s="113"/>
    </row>
    <row r="81" spans="1:13" ht="13.5" customHeight="1" x14ac:dyDescent="0.15">
      <c r="A81" s="117"/>
      <c r="B81" s="118">
        <f t="shared" si="0"/>
        <v>78</v>
      </c>
      <c r="C81" s="119" t="s">
        <v>367</v>
      </c>
      <c r="D81" s="55" t="s">
        <v>367</v>
      </c>
      <c r="E81" s="119" t="s">
        <v>367</v>
      </c>
      <c r="F81" s="120">
        <f>SUMIFS(期初庫存!F:F,期初庫存!C:C,C81)+SUMIFS(採購入庫!H:H,採購入庫!D:D,C81)-SUMIFS(借出!H:H,借出!D:D,C81)-SUMIFS(每日用粉紀錄表!G:G,每日用粉紀錄表!C:C,C81)+SUMIFS(歸還!H:H,歸還!D:D,C81)+SUMIFS(每日用粉紀錄表!I:I,每日用粉紀錄表!C:C,C81)</f>
        <v>0</v>
      </c>
      <c r="G81" s="120">
        <f>SUMIFS(期初庫存!G:G,期初庫存!C:C,C81)+SUMIFS(採購入庫!G:G,採購入庫!D:D,C81)-SUMIFS(每日用粉紀錄表!F:F,每日用粉紀錄表!C:C,C81)-SUMIFS(借出!G:G,借出!D:D,C81)+SUMIFS(歸還!H:H,歸還!D:D,C81)</f>
        <v>0</v>
      </c>
      <c r="H81" s="122"/>
      <c r="I81" s="121" t="str">
        <f t="shared" si="1"/>
        <v>否</v>
      </c>
      <c r="J81" s="119">
        <f t="shared" si="3"/>
        <v>0</v>
      </c>
      <c r="K81" s="113"/>
      <c r="L81" s="114"/>
      <c r="M81" s="113"/>
    </row>
    <row r="82" spans="1:13" ht="13.5" customHeight="1" x14ac:dyDescent="0.15">
      <c r="A82" s="117"/>
      <c r="B82" s="118">
        <f t="shared" si="0"/>
        <v>79</v>
      </c>
      <c r="C82" s="119" t="s">
        <v>367</v>
      </c>
      <c r="D82" s="55" t="s">
        <v>367</v>
      </c>
      <c r="E82" s="119" t="s">
        <v>367</v>
      </c>
      <c r="F82" s="120">
        <f>SUMIFS(期初庫存!F:F,期初庫存!C:C,C82)+SUMIFS(採購入庫!H:H,採購入庫!D:D,C82)-SUMIFS(借出!H:H,借出!D:D,C82)-SUMIFS(每日用粉紀錄表!G:G,每日用粉紀錄表!C:C,C82)+SUMIFS(歸還!H:H,歸還!D:D,C82)+SUMIFS(每日用粉紀錄表!I:I,每日用粉紀錄表!C:C,C82)</f>
        <v>0</v>
      </c>
      <c r="G82" s="120">
        <f>SUMIFS(期初庫存!G:G,期初庫存!C:C,C82)+SUMIFS(採購入庫!G:G,採購入庫!D:D,C82)-SUMIFS(每日用粉紀錄表!F:F,每日用粉紀錄表!C:C,C82)-SUMIFS(借出!G:G,借出!D:D,C82)+SUMIFS(歸還!H:H,歸還!D:D,C82)</f>
        <v>0</v>
      </c>
      <c r="H82" s="122"/>
      <c r="I82" s="121" t="str">
        <f t="shared" si="1"/>
        <v>否</v>
      </c>
      <c r="J82" s="119">
        <f t="shared" si="3"/>
        <v>0</v>
      </c>
      <c r="K82" s="113"/>
      <c r="L82" s="114"/>
      <c r="M82" s="113"/>
    </row>
    <row r="83" spans="1:13" ht="13.5" customHeight="1" x14ac:dyDescent="0.15">
      <c r="A83" s="117"/>
      <c r="B83" s="118">
        <f t="shared" si="0"/>
        <v>80</v>
      </c>
      <c r="C83" s="119" t="s">
        <v>367</v>
      </c>
      <c r="D83" s="55" t="s">
        <v>367</v>
      </c>
      <c r="E83" s="119" t="s">
        <v>367</v>
      </c>
      <c r="F83" s="120">
        <f>SUMIFS(期初庫存!F:F,期初庫存!C:C,C83)+SUMIFS(採購入庫!H:H,採購入庫!D:D,C83)-SUMIFS(借出!H:H,借出!D:D,C83)-SUMIFS(每日用粉紀錄表!G:G,每日用粉紀錄表!C:C,C83)+SUMIFS(歸還!H:H,歸還!D:D,C83)+SUMIFS(每日用粉紀錄表!I:I,每日用粉紀錄表!C:C,C83)</f>
        <v>0</v>
      </c>
      <c r="G83" s="120">
        <f>SUMIFS(期初庫存!G:G,期初庫存!C:C,C83)+SUMIFS(採購入庫!G:G,採購入庫!D:D,C83)-SUMIFS(每日用粉紀錄表!F:F,每日用粉紀錄表!C:C,C83)-SUMIFS(借出!G:G,借出!D:D,C83)+SUMIFS(歸還!H:H,歸還!D:D,C83)</f>
        <v>0</v>
      </c>
      <c r="H83" s="122"/>
      <c r="I83" s="121" t="str">
        <f t="shared" si="1"/>
        <v>否</v>
      </c>
      <c r="J83" s="119">
        <f t="shared" si="3"/>
        <v>0</v>
      </c>
      <c r="K83" s="113"/>
      <c r="L83" s="114"/>
      <c r="M83" s="113"/>
    </row>
    <row r="84" spans="1:13" ht="13.5" customHeight="1" x14ac:dyDescent="0.15">
      <c r="A84" s="117"/>
      <c r="B84" s="118">
        <f t="shared" si="0"/>
        <v>81</v>
      </c>
      <c r="C84" s="119" t="s">
        <v>367</v>
      </c>
      <c r="D84" s="55" t="s">
        <v>367</v>
      </c>
      <c r="E84" s="119" t="s">
        <v>367</v>
      </c>
      <c r="F84" s="120">
        <f>SUMIFS(期初庫存!F:F,期初庫存!C:C,C84)+SUMIFS(採購入庫!H:H,採購入庫!D:D,C84)-SUMIFS(借出!H:H,借出!D:D,C84)-SUMIFS(每日用粉紀錄表!G:G,每日用粉紀錄表!C:C,C84)+SUMIFS(歸還!H:H,歸還!D:D,C84)+SUMIFS(每日用粉紀錄表!I:I,每日用粉紀錄表!C:C,C84)</f>
        <v>0</v>
      </c>
      <c r="G84" s="120">
        <f>SUMIFS(期初庫存!G:G,期初庫存!C:C,C84)+SUMIFS(採購入庫!G:G,採購入庫!D:D,C84)-SUMIFS(每日用粉紀錄表!F:F,每日用粉紀錄表!C:C,C84)-SUMIFS(借出!G:G,借出!D:D,C84)+SUMIFS(歸還!H:H,歸還!D:D,C84)</f>
        <v>0</v>
      </c>
      <c r="H84" s="122"/>
      <c r="I84" s="121" t="str">
        <f t="shared" si="1"/>
        <v>否</v>
      </c>
      <c r="J84" s="119">
        <f t="shared" si="3"/>
        <v>0</v>
      </c>
      <c r="K84" s="113"/>
      <c r="L84" s="114"/>
      <c r="M84" s="113"/>
    </row>
    <row r="85" spans="1:13" ht="13.5" customHeight="1" x14ac:dyDescent="0.15">
      <c r="A85" s="117"/>
      <c r="B85" s="118">
        <f t="shared" si="0"/>
        <v>82</v>
      </c>
      <c r="C85" s="119" t="s">
        <v>367</v>
      </c>
      <c r="D85" s="55" t="s">
        <v>367</v>
      </c>
      <c r="E85" s="119" t="s">
        <v>367</v>
      </c>
      <c r="F85" s="120">
        <f>SUMIFS(期初庫存!F:F,期初庫存!C:C,C85)+SUMIFS(採購入庫!H:H,採購入庫!D:D,C85)-SUMIFS(借出!H:H,借出!D:D,C85)-SUMIFS(每日用粉紀錄表!G:G,每日用粉紀錄表!C:C,C85)+SUMIFS(歸還!H:H,歸還!D:D,C85)+SUMIFS(每日用粉紀錄表!I:I,每日用粉紀錄表!C:C,C85)</f>
        <v>0</v>
      </c>
      <c r="G85" s="120">
        <f>SUMIFS(期初庫存!G:G,期初庫存!C:C,C85)+SUMIFS(採購入庫!G:G,採購入庫!D:D,C85)-SUMIFS(每日用粉紀錄表!F:F,每日用粉紀錄表!C:C,C85)-SUMIFS(借出!G:G,借出!D:D,C85)+SUMIFS(歸還!H:H,歸還!D:D,C85)</f>
        <v>0</v>
      </c>
      <c r="H85" s="122"/>
      <c r="I85" s="121" t="str">
        <f t="shared" si="1"/>
        <v>否</v>
      </c>
      <c r="J85" s="119">
        <f t="shared" si="3"/>
        <v>0</v>
      </c>
      <c r="K85" s="113"/>
      <c r="L85" s="114"/>
      <c r="M85" s="113"/>
    </row>
    <row r="86" spans="1:13" ht="13.5" customHeight="1" x14ac:dyDescent="0.15">
      <c r="A86" s="117"/>
      <c r="B86" s="118">
        <f t="shared" si="0"/>
        <v>83</v>
      </c>
      <c r="C86" s="119" t="s">
        <v>367</v>
      </c>
      <c r="D86" s="55" t="s">
        <v>367</v>
      </c>
      <c r="E86" s="119" t="s">
        <v>367</v>
      </c>
      <c r="F86" s="120">
        <f>SUMIFS(期初庫存!F:F,期初庫存!C:C,C86)+SUMIFS(採購入庫!H:H,採購入庫!D:D,C86)-SUMIFS(借出!H:H,借出!D:D,C86)-SUMIFS(每日用粉紀錄表!G:G,每日用粉紀錄表!C:C,C86)+SUMIFS(歸還!H:H,歸還!D:D,C86)+SUMIFS(每日用粉紀錄表!I:I,每日用粉紀錄表!C:C,C86)</f>
        <v>0</v>
      </c>
      <c r="G86" s="120">
        <f>SUMIFS(期初庫存!G:G,期初庫存!C:C,C86)+SUMIFS(採購入庫!G:G,採購入庫!D:D,C86)-SUMIFS(每日用粉紀錄表!F:F,每日用粉紀錄表!C:C,C86)-SUMIFS(借出!G:G,借出!D:D,C86)+SUMIFS(歸還!H:H,歸還!D:D,C86)</f>
        <v>0</v>
      </c>
      <c r="H86" s="122"/>
      <c r="I86" s="121" t="str">
        <f t="shared" si="1"/>
        <v>否</v>
      </c>
      <c r="J86" s="119">
        <f t="shared" si="3"/>
        <v>0</v>
      </c>
      <c r="K86" s="113"/>
      <c r="L86" s="114"/>
      <c r="M86" s="113"/>
    </row>
    <row r="87" spans="1:13" ht="13.5" customHeight="1" x14ac:dyDescent="0.15">
      <c r="A87" s="117"/>
      <c r="B87" s="118">
        <v>84</v>
      </c>
      <c r="C87" s="119" t="s">
        <v>367</v>
      </c>
      <c r="D87" s="55" t="s">
        <v>367</v>
      </c>
      <c r="E87" s="119" t="s">
        <v>367</v>
      </c>
      <c r="F87" s="120">
        <f>SUMIFS(期初庫存!F:F,期初庫存!C:C,C87)+SUMIFS(採購入庫!H:H,採購入庫!D:D,C87)-SUMIFS(借出!H:H,借出!D:D,C87)-SUMIFS(每日用粉紀錄表!G:G,每日用粉紀錄表!C:C,C87)+SUMIFS(歸還!H:H,歸還!D:D,C87)+SUMIFS(每日用粉紀錄表!I:I,每日用粉紀錄表!C:C,C87)</f>
        <v>0</v>
      </c>
      <c r="G87" s="120">
        <f>SUMIFS(期初庫存!G:G,期初庫存!C:C,C87)+SUMIFS(採購入庫!G:G,採購入庫!D:D,C87)-SUMIFS(每日用粉紀錄表!F:F,每日用粉紀錄表!C:C,C87)-SUMIFS(借出!G:G,借出!D:D,C87)+SUMIFS(歸還!H:H,歸還!D:D,C87)</f>
        <v>0</v>
      </c>
      <c r="H87" s="122"/>
      <c r="I87" s="121" t="str">
        <f t="shared" si="1"/>
        <v>否</v>
      </c>
      <c r="J87" s="119">
        <f t="shared" si="3"/>
        <v>0</v>
      </c>
      <c r="K87" s="113"/>
      <c r="L87" s="114"/>
      <c r="M87" s="113"/>
    </row>
    <row r="88" spans="1:13" ht="13.5" customHeight="1" x14ac:dyDescent="0.15">
      <c r="A88" s="117"/>
      <c r="B88" s="118">
        <v>85</v>
      </c>
      <c r="C88" s="119" t="s">
        <v>367</v>
      </c>
      <c r="D88" s="55" t="s">
        <v>367</v>
      </c>
      <c r="E88" s="119" t="s">
        <v>367</v>
      </c>
      <c r="F88" s="120">
        <f>SUMIFS(期初庫存!F:F,期初庫存!C:C,C88)+SUMIFS(採購入庫!H:H,採購入庫!D:D,C88)-SUMIFS(借出!H:H,借出!D:D,C88)-SUMIFS(每日用粉紀錄表!G:G,每日用粉紀錄表!C:C,C88)+SUMIFS(歸還!H:H,歸還!D:D,C88)+SUMIFS(每日用粉紀錄表!I:I,每日用粉紀錄表!C:C,C88)</f>
        <v>0</v>
      </c>
      <c r="G88" s="120">
        <f>SUMIFS(期初庫存!G:G,期初庫存!C:C,C88)+SUMIFS(採購入庫!G:G,採購入庫!D:D,C88)-SUMIFS(每日用粉紀錄表!F:F,每日用粉紀錄表!C:C,C88)-SUMIFS(借出!G:G,借出!D:D,C88)+SUMIFS(歸還!H:H,歸還!D:D,C88)</f>
        <v>0</v>
      </c>
      <c r="H88" s="122"/>
      <c r="I88" s="121" t="str">
        <f t="shared" si="1"/>
        <v>否</v>
      </c>
      <c r="J88" s="119">
        <f t="shared" si="3"/>
        <v>0</v>
      </c>
      <c r="K88" s="113"/>
      <c r="L88" s="114"/>
      <c r="M88" s="113"/>
    </row>
    <row r="89" spans="1:13" ht="13.5" customHeight="1" x14ac:dyDescent="0.15">
      <c r="A89" s="117"/>
      <c r="B89" s="118">
        <v>86</v>
      </c>
      <c r="C89" s="119" t="s">
        <v>367</v>
      </c>
      <c r="D89" s="55" t="s">
        <v>367</v>
      </c>
      <c r="E89" s="119" t="s">
        <v>367</v>
      </c>
      <c r="F89" s="120">
        <f>SUMIFS(期初庫存!F:F,期初庫存!C:C,C89)+SUMIFS(採購入庫!H:H,採購入庫!D:D,C89)-SUMIFS(借出!H:H,借出!D:D,C89)-SUMIFS(每日用粉紀錄表!G:G,每日用粉紀錄表!C:C,C89)+SUMIFS(歸還!H:H,歸還!D:D,C89)+SUMIFS(每日用粉紀錄表!I:I,每日用粉紀錄表!C:C,C89)</f>
        <v>0</v>
      </c>
      <c r="G89" s="120">
        <f>SUMIFS(期初庫存!G:G,期初庫存!C:C,C89)+SUMIFS(採購入庫!G:G,採購入庫!D:D,C89)-SUMIFS(每日用粉紀錄表!F:F,每日用粉紀錄表!C:C,C89)-SUMIFS(借出!G:G,借出!D:D,C89)+SUMIFS(歸還!H:H,歸還!D:D,C89)</f>
        <v>0</v>
      </c>
      <c r="H89" s="122"/>
      <c r="I89" s="121" t="str">
        <f t="shared" si="1"/>
        <v>否</v>
      </c>
      <c r="J89" s="119">
        <f t="shared" si="3"/>
        <v>0</v>
      </c>
      <c r="K89" s="113"/>
      <c r="L89" s="114"/>
      <c r="M89" s="113"/>
    </row>
    <row r="90" spans="1:13" ht="13.5" customHeight="1" x14ac:dyDescent="0.15">
      <c r="A90" s="117"/>
      <c r="B90" s="118">
        <v>87</v>
      </c>
      <c r="C90" s="119" t="s">
        <v>367</v>
      </c>
      <c r="D90" s="55" t="s">
        <v>367</v>
      </c>
      <c r="E90" s="119" t="s">
        <v>367</v>
      </c>
      <c r="F90" s="120">
        <f>SUMIFS(期初庫存!F:F,期初庫存!C:C,C90)+SUMIFS(採購入庫!H:H,採購入庫!D:D,C90)-SUMIFS(借出!H:H,借出!D:D,C90)-SUMIFS(每日用粉紀錄表!G:G,每日用粉紀錄表!C:C,C90)+SUMIFS(歸還!H:H,歸還!D:D,C90)+SUMIFS(每日用粉紀錄表!I:I,每日用粉紀錄表!C:C,C90)</f>
        <v>0</v>
      </c>
      <c r="G90" s="120">
        <f>SUMIFS(期初庫存!G:G,期初庫存!C:C,C90)+SUMIFS(採購入庫!G:G,採購入庫!D:D,C90)-SUMIFS(每日用粉紀錄表!F:F,每日用粉紀錄表!C:C,C90)-SUMIFS(借出!G:G,借出!D:D,C90)+SUMIFS(歸還!H:H,歸還!D:D,C90)</f>
        <v>0</v>
      </c>
      <c r="H90" s="122"/>
      <c r="I90" s="121" t="str">
        <f t="shared" si="1"/>
        <v>否</v>
      </c>
      <c r="J90" s="119">
        <f t="shared" si="3"/>
        <v>0</v>
      </c>
      <c r="K90" s="113"/>
      <c r="L90" s="114"/>
      <c r="M90" s="113"/>
    </row>
    <row r="91" spans="1:13" ht="13.5" customHeight="1" x14ac:dyDescent="0.15">
      <c r="A91" s="117"/>
      <c r="B91" s="118">
        <v>88</v>
      </c>
      <c r="C91" s="119" t="s">
        <v>367</v>
      </c>
      <c r="D91" s="55" t="s">
        <v>367</v>
      </c>
      <c r="E91" s="119" t="s">
        <v>367</v>
      </c>
      <c r="F91" s="120">
        <f>SUMIFS(期初庫存!F:F,期初庫存!C:C,C91)+SUMIFS(採購入庫!H:H,採購入庫!D:D,C91)-SUMIFS(借出!H:H,借出!D:D,C91)-SUMIFS(每日用粉紀錄表!G:G,每日用粉紀錄表!C:C,C91)+SUMIFS(歸還!H:H,歸還!D:D,C91)+SUMIFS(每日用粉紀錄表!I:I,每日用粉紀錄表!C:C,C91)</f>
        <v>0</v>
      </c>
      <c r="G91" s="120">
        <f>SUMIFS(期初庫存!G:G,期初庫存!C:C,C91)+SUMIFS(採購入庫!G:G,採購入庫!D:D,C91)-SUMIFS(每日用粉紀錄表!F:F,每日用粉紀錄表!C:C,C91)-SUMIFS(借出!G:G,借出!D:D,C91)+SUMIFS(歸還!H:H,歸還!D:D,C91)</f>
        <v>0</v>
      </c>
      <c r="H91" s="122"/>
      <c r="I91" s="121" t="str">
        <f t="shared" si="1"/>
        <v>否</v>
      </c>
      <c r="J91" s="119">
        <f t="shared" si="3"/>
        <v>0</v>
      </c>
      <c r="K91" s="113"/>
      <c r="L91" s="114"/>
      <c r="M91" s="113"/>
    </row>
    <row r="92" spans="1:13" ht="13.5" customHeight="1" x14ac:dyDescent="0.15">
      <c r="A92" s="117"/>
      <c r="B92" s="118">
        <v>89</v>
      </c>
      <c r="C92" s="119" t="s">
        <v>367</v>
      </c>
      <c r="D92" s="55" t="s">
        <v>367</v>
      </c>
      <c r="E92" s="119" t="s">
        <v>367</v>
      </c>
      <c r="F92" s="120">
        <f>SUMIFS(期初庫存!F:F,期初庫存!C:C,C92)+SUMIFS(採購入庫!H:H,採購入庫!D:D,C92)-SUMIFS(借出!H:H,借出!D:D,C92)-SUMIFS(每日用粉紀錄表!G:G,每日用粉紀錄表!C:C,C92)+SUMIFS(歸還!H:H,歸還!D:D,C92)+SUMIFS(每日用粉紀錄表!I:I,每日用粉紀錄表!C:C,C92)</f>
        <v>0</v>
      </c>
      <c r="G92" s="120">
        <f>SUMIFS(期初庫存!G:G,期初庫存!C:C,C92)+SUMIFS(採購入庫!G:G,採購入庫!D:D,C92)-SUMIFS(每日用粉紀錄表!F:F,每日用粉紀錄表!C:C,C92)-SUMIFS(借出!G:G,借出!D:D,C92)+SUMIFS(歸還!H:H,歸還!D:D,C92)</f>
        <v>0</v>
      </c>
      <c r="H92" s="122"/>
      <c r="I92" s="121" t="str">
        <f t="shared" si="1"/>
        <v>否</v>
      </c>
      <c r="J92" s="119">
        <f t="shared" si="3"/>
        <v>0</v>
      </c>
      <c r="K92" s="113"/>
      <c r="L92" s="114"/>
      <c r="M92" s="113"/>
    </row>
    <row r="93" spans="1:13" ht="13.5" customHeight="1" x14ac:dyDescent="0.15">
      <c r="A93" s="117"/>
      <c r="B93" s="118">
        <v>90</v>
      </c>
      <c r="C93" s="119" t="s">
        <v>367</v>
      </c>
      <c r="D93" s="55" t="s">
        <v>367</v>
      </c>
      <c r="E93" s="119" t="s">
        <v>367</v>
      </c>
      <c r="F93" s="120">
        <f>SUMIFS(期初庫存!F:F,期初庫存!C:C,C93)+SUMIFS(採購入庫!H:H,採購入庫!D:D,C93)-SUMIFS(借出!H:H,借出!D:D,C93)-SUMIFS(每日用粉紀錄表!G:G,每日用粉紀錄表!C:C,C93)+SUMIFS(歸還!H:H,歸還!D:D,C93)+SUMIFS(每日用粉紀錄表!I:I,每日用粉紀錄表!C:C,C93)</f>
        <v>0</v>
      </c>
      <c r="G93" s="120">
        <f>SUMIFS(期初庫存!G:G,期初庫存!C:C,C93)+SUMIFS(採購入庫!G:G,採購入庫!D:D,C93)-SUMIFS(每日用粉紀錄表!F:F,每日用粉紀錄表!C:C,C93)-SUMIFS(借出!G:G,借出!D:D,C93)+SUMIFS(歸還!H:H,歸還!D:D,C93)</f>
        <v>0</v>
      </c>
      <c r="H93" s="122"/>
      <c r="I93" s="121" t="str">
        <f t="shared" si="1"/>
        <v>否</v>
      </c>
      <c r="J93" s="119">
        <f t="shared" si="3"/>
        <v>0</v>
      </c>
      <c r="K93" s="113"/>
      <c r="L93" s="114"/>
      <c r="M93" s="113"/>
    </row>
    <row r="94" spans="1:13" ht="13.5" customHeight="1" x14ac:dyDescent="0.15">
      <c r="A94" s="117"/>
      <c r="B94" s="118">
        <v>91</v>
      </c>
      <c r="C94" s="119" t="s">
        <v>367</v>
      </c>
      <c r="D94" s="55" t="s">
        <v>367</v>
      </c>
      <c r="E94" s="119" t="s">
        <v>367</v>
      </c>
      <c r="F94" s="120">
        <f>SUMIFS(期初庫存!F:F,期初庫存!C:C,C94)+SUMIFS(採購入庫!H:H,採購入庫!D:D,C94)-SUMIFS(借出!H:H,借出!D:D,C94)-SUMIFS(每日用粉紀錄表!G:G,每日用粉紀錄表!C:C,C94)+SUMIFS(歸還!H:H,歸還!D:D,C94)+SUMIFS(每日用粉紀錄表!I:I,每日用粉紀錄表!C:C,C94)</f>
        <v>0</v>
      </c>
      <c r="G94" s="120">
        <f>SUMIFS(期初庫存!G:G,期初庫存!C:C,C94)+SUMIFS(採購入庫!G:G,採購入庫!D:D,C94)-SUMIFS(每日用粉紀錄表!F:F,每日用粉紀錄表!C:C,C94)-SUMIFS(借出!G:G,借出!D:D,C94)+SUMIFS(歸還!H:H,歸還!D:D,C94)</f>
        <v>0</v>
      </c>
      <c r="H94" s="122"/>
      <c r="I94" s="121" t="str">
        <f t="shared" si="1"/>
        <v>否</v>
      </c>
      <c r="J94" s="119">
        <f t="shared" si="3"/>
        <v>0</v>
      </c>
      <c r="K94" s="113"/>
      <c r="L94" s="114"/>
      <c r="M94" s="113"/>
    </row>
    <row r="95" spans="1:13" ht="13.5" customHeight="1" x14ac:dyDescent="0.15">
      <c r="A95" s="117"/>
      <c r="B95" s="118">
        <v>92</v>
      </c>
      <c r="C95" s="119" t="s">
        <v>367</v>
      </c>
      <c r="D95" s="55" t="s">
        <v>367</v>
      </c>
      <c r="E95" s="119" t="s">
        <v>367</v>
      </c>
      <c r="F95" s="120">
        <f>SUMIFS(期初庫存!F:F,期初庫存!C:C,C95)+SUMIFS(採購入庫!H:H,採購入庫!D:D,C95)-SUMIFS(借出!H:H,借出!D:D,C95)-SUMIFS(每日用粉紀錄表!G:G,每日用粉紀錄表!C:C,C95)+SUMIFS(歸還!H:H,歸還!D:D,C95)+SUMIFS(每日用粉紀錄表!I:I,每日用粉紀錄表!C:C,C95)</f>
        <v>0</v>
      </c>
      <c r="G95" s="120">
        <f>SUMIFS(期初庫存!G:G,期初庫存!C:C,C95)+SUMIFS(採購入庫!G:G,採購入庫!D:D,C95)-SUMIFS(每日用粉紀錄表!F:F,每日用粉紀錄表!C:C,C95)-SUMIFS(借出!G:G,借出!D:D,C95)+SUMIFS(歸還!H:H,歸還!D:D,C95)</f>
        <v>0</v>
      </c>
      <c r="H95" s="122"/>
      <c r="I95" s="121" t="str">
        <f t="shared" si="1"/>
        <v>否</v>
      </c>
      <c r="J95" s="119">
        <f t="shared" si="3"/>
        <v>0</v>
      </c>
      <c r="K95" s="113"/>
      <c r="L95" s="114"/>
      <c r="M95" s="113"/>
    </row>
    <row r="96" spans="1:13" ht="13.5" customHeight="1" x14ac:dyDescent="0.15">
      <c r="A96" s="117"/>
      <c r="B96" s="118">
        <v>93</v>
      </c>
      <c r="C96" s="119" t="s">
        <v>367</v>
      </c>
      <c r="D96" s="55" t="s">
        <v>367</v>
      </c>
      <c r="E96" s="119" t="s">
        <v>367</v>
      </c>
      <c r="F96" s="120">
        <f>SUMIFS(期初庫存!F:F,期初庫存!C:C,C96)+SUMIFS(採購入庫!H:H,採購入庫!D:D,C96)-SUMIFS(借出!H:H,借出!D:D,C96)-SUMIFS(每日用粉紀錄表!G:G,每日用粉紀錄表!C:C,C96)+SUMIFS(歸還!H:H,歸還!D:D,C96)+SUMIFS(每日用粉紀錄表!I:I,每日用粉紀錄表!C:C,C96)</f>
        <v>0</v>
      </c>
      <c r="G96" s="120">
        <f>SUMIFS(期初庫存!G:G,期初庫存!C:C,C96)+SUMIFS(採購入庫!G:G,採購入庫!D:D,C96)-SUMIFS(每日用粉紀錄表!F:F,每日用粉紀錄表!C:C,C96)-SUMIFS(借出!G:G,借出!D:D,C96)+SUMIFS(歸還!H:H,歸還!D:D,C96)</f>
        <v>0</v>
      </c>
      <c r="H96" s="122"/>
      <c r="I96" s="121" t="str">
        <f t="shared" si="1"/>
        <v>否</v>
      </c>
      <c r="J96" s="119">
        <f t="shared" si="3"/>
        <v>0</v>
      </c>
      <c r="K96" s="113"/>
      <c r="L96" s="114"/>
      <c r="M96" s="113"/>
    </row>
    <row r="97" spans="1:13" ht="13.5" customHeight="1" x14ac:dyDescent="0.15">
      <c r="A97" s="117"/>
      <c r="B97" s="118">
        <v>94</v>
      </c>
      <c r="C97" s="119" t="s">
        <v>367</v>
      </c>
      <c r="D97" s="55" t="s">
        <v>367</v>
      </c>
      <c r="E97" s="119" t="s">
        <v>367</v>
      </c>
      <c r="F97" s="120">
        <f>SUMIFS(期初庫存!F:F,期初庫存!C:C,C97)+SUMIFS(採購入庫!H:H,採購入庫!D:D,C97)-SUMIFS(借出!H:H,借出!D:D,C97)-SUMIFS(每日用粉紀錄表!G:G,每日用粉紀錄表!C:C,C97)+SUMIFS(歸還!H:H,歸還!D:D,C97)+SUMIFS(每日用粉紀錄表!I:I,每日用粉紀錄表!C:C,C97)</f>
        <v>0</v>
      </c>
      <c r="G97" s="120">
        <f>SUMIFS(期初庫存!G:G,期初庫存!C:C,C97)+SUMIFS(採購入庫!G:G,採購入庫!D:D,C97)-SUMIFS(每日用粉紀錄表!F:F,每日用粉紀錄表!C:C,C97)-SUMIFS(借出!G:G,借出!D:D,C97)+SUMIFS(歸還!H:H,歸還!D:D,C97)</f>
        <v>0</v>
      </c>
      <c r="H97" s="122"/>
      <c r="I97" s="121" t="str">
        <f t="shared" si="1"/>
        <v>否</v>
      </c>
      <c r="J97" s="119">
        <f t="shared" si="3"/>
        <v>0</v>
      </c>
      <c r="K97" s="113"/>
      <c r="L97" s="114"/>
      <c r="M97" s="113"/>
    </row>
    <row r="98" spans="1:13" ht="13.5" customHeight="1" x14ac:dyDescent="0.15">
      <c r="A98" s="117"/>
      <c r="B98" s="118">
        <v>95</v>
      </c>
      <c r="C98" s="119" t="s">
        <v>367</v>
      </c>
      <c r="D98" s="55" t="s">
        <v>367</v>
      </c>
      <c r="E98" s="119" t="s">
        <v>367</v>
      </c>
      <c r="F98" s="120">
        <f>SUMIFS(期初庫存!F:F,期初庫存!C:C,C98)+SUMIFS(採購入庫!H:H,採購入庫!D:D,C98)-SUMIFS(借出!H:H,借出!D:D,C98)-SUMIFS(每日用粉紀錄表!G:G,每日用粉紀錄表!C:C,C98)+SUMIFS(歸還!H:H,歸還!D:D,C98)+SUMIFS(每日用粉紀錄表!I:I,每日用粉紀錄表!C:C,C98)</f>
        <v>0</v>
      </c>
      <c r="G98" s="120">
        <f>SUMIFS(期初庫存!G:G,期初庫存!C:C,C98)+SUMIFS(採購入庫!G:G,採購入庫!D:D,C98)-SUMIFS(每日用粉紀錄表!F:F,每日用粉紀錄表!C:C,C98)-SUMIFS(借出!G:G,借出!D:D,C98)+SUMIFS(歸還!H:H,歸還!D:D,C98)</f>
        <v>0</v>
      </c>
      <c r="H98" s="122"/>
      <c r="I98" s="121" t="str">
        <f t="shared" si="1"/>
        <v>否</v>
      </c>
      <c r="J98" s="119">
        <f t="shared" si="3"/>
        <v>0</v>
      </c>
      <c r="K98" s="113"/>
      <c r="L98" s="114"/>
      <c r="M98" s="113"/>
    </row>
    <row r="99" spans="1:13" ht="13.5" customHeight="1" x14ac:dyDescent="0.15">
      <c r="A99" s="117"/>
      <c r="B99" s="118">
        <v>96</v>
      </c>
      <c r="C99" s="119" t="s">
        <v>367</v>
      </c>
      <c r="D99" s="55" t="s">
        <v>367</v>
      </c>
      <c r="E99" s="119" t="s">
        <v>367</v>
      </c>
      <c r="F99" s="120">
        <f>SUMIFS(期初庫存!F:F,期初庫存!C:C,C99)+SUMIFS(採購入庫!H:H,採購入庫!D:D,C99)-SUMIFS(借出!H:H,借出!D:D,C99)-SUMIFS(每日用粉紀錄表!G:G,每日用粉紀錄表!C:C,C99)+SUMIFS(歸還!H:H,歸還!D:D,C99)+SUMIFS(每日用粉紀錄表!I:I,每日用粉紀錄表!C:C,C99)</f>
        <v>0</v>
      </c>
      <c r="G99" s="120">
        <f>SUMIFS(期初庫存!G:G,期初庫存!C:C,C99)+SUMIFS(採購入庫!G:G,採購入庫!D:D,C99)-SUMIFS(每日用粉紀錄表!F:F,每日用粉紀錄表!C:C,C99)-SUMIFS(借出!G:G,借出!D:D,C99)+SUMIFS(歸還!H:H,歸還!D:D,C99)</f>
        <v>0</v>
      </c>
      <c r="H99" s="122"/>
      <c r="I99" s="121" t="str">
        <f t="shared" si="1"/>
        <v>否</v>
      </c>
      <c r="J99" s="119">
        <f t="shared" si="3"/>
        <v>0</v>
      </c>
      <c r="K99" s="113"/>
      <c r="L99" s="114"/>
      <c r="M99" s="113"/>
    </row>
    <row r="100" spans="1:13" ht="13.5" customHeight="1" x14ac:dyDescent="0.15">
      <c r="A100" s="117"/>
      <c r="B100" s="118">
        <v>97</v>
      </c>
      <c r="C100" s="119" t="s">
        <v>367</v>
      </c>
      <c r="D100" s="55" t="s">
        <v>367</v>
      </c>
      <c r="E100" s="119" t="s">
        <v>367</v>
      </c>
      <c r="F100" s="120">
        <f>SUMIFS(期初庫存!F:F,期初庫存!C:C,C100)+SUMIFS(採購入庫!H:H,採購入庫!D:D,C100)-SUMIFS(借出!H:H,借出!D:D,C100)-SUMIFS(每日用粉紀錄表!G:G,每日用粉紀錄表!C:C,C100)+SUMIFS(歸還!H:H,歸還!D:D,C100)+SUMIFS(每日用粉紀錄表!I:I,每日用粉紀錄表!C:C,C100)</f>
        <v>0</v>
      </c>
      <c r="G100" s="120">
        <f>SUMIFS(期初庫存!G:G,期初庫存!C:C,C100)+SUMIFS(採購入庫!G:G,採購入庫!D:D,C100)-SUMIFS(每日用粉紀錄表!F:F,每日用粉紀錄表!C:C,C100)-SUMIFS(借出!G:G,借出!D:D,C100)+SUMIFS(歸還!H:H,歸還!D:D,C100)</f>
        <v>0</v>
      </c>
      <c r="H100" s="122"/>
      <c r="I100" s="121" t="str">
        <f t="shared" si="1"/>
        <v>否</v>
      </c>
      <c r="J100" s="119">
        <f t="shared" si="3"/>
        <v>0</v>
      </c>
      <c r="K100" s="113"/>
      <c r="L100" s="114"/>
      <c r="M100" s="113"/>
    </row>
    <row r="101" spans="1:13" ht="13.5" customHeight="1" x14ac:dyDescent="0.15">
      <c r="A101" s="117"/>
      <c r="B101" s="118">
        <v>98</v>
      </c>
      <c r="C101" s="119" t="s">
        <v>367</v>
      </c>
      <c r="D101" s="55" t="s">
        <v>367</v>
      </c>
      <c r="E101" s="119" t="s">
        <v>367</v>
      </c>
      <c r="F101" s="120">
        <f>SUMIFS(期初庫存!F:F,期初庫存!C:C,C101)+SUMIFS(採購入庫!H:H,採購入庫!D:D,C101)-SUMIFS(借出!H:H,借出!D:D,C101)-SUMIFS(每日用粉紀錄表!G:G,每日用粉紀錄表!C:C,C101)+SUMIFS(歸還!H:H,歸還!D:D,C101)+SUMIFS(每日用粉紀錄表!I:I,每日用粉紀錄表!C:C,C101)</f>
        <v>0</v>
      </c>
      <c r="G101" s="120">
        <f>SUMIFS(期初庫存!G:G,期初庫存!C:C,C101)+SUMIFS(採購入庫!G:G,採購入庫!D:D,C101)-SUMIFS(每日用粉紀錄表!F:F,每日用粉紀錄表!C:C,C101)-SUMIFS(借出!G:G,借出!D:D,C101)+SUMIFS(歸還!H:H,歸還!D:D,C101)</f>
        <v>0</v>
      </c>
      <c r="H101" s="122"/>
      <c r="I101" s="121" t="str">
        <f t="shared" si="1"/>
        <v>否</v>
      </c>
      <c r="J101" s="119">
        <f t="shared" si="3"/>
        <v>0</v>
      </c>
      <c r="K101" s="113"/>
      <c r="L101" s="114"/>
      <c r="M101" s="113"/>
    </row>
    <row r="102" spans="1:13" ht="13.5" customHeight="1" x14ac:dyDescent="0.15">
      <c r="A102" s="117"/>
      <c r="B102" s="118">
        <v>99</v>
      </c>
      <c r="C102" s="119" t="s">
        <v>367</v>
      </c>
      <c r="D102" s="55" t="s">
        <v>367</v>
      </c>
      <c r="E102" s="119" t="s">
        <v>367</v>
      </c>
      <c r="F102" s="120">
        <f>SUMIFS(期初庫存!F:F,期初庫存!C:C,C102)+SUMIFS(採購入庫!H:H,採購入庫!D:D,C102)-SUMIFS(借出!H:H,借出!D:D,C102)-SUMIFS(每日用粉紀錄表!G:G,每日用粉紀錄表!C:C,C102)+SUMIFS(歸還!H:H,歸還!D:D,C102)+SUMIFS(每日用粉紀錄表!I:I,每日用粉紀錄表!C:C,C102)</f>
        <v>0</v>
      </c>
      <c r="G102" s="120">
        <f>SUMIFS(期初庫存!G:G,期初庫存!C:C,C102)+SUMIFS(採購入庫!G:G,採購入庫!D:D,C102)-SUMIFS(每日用粉紀錄表!F:F,每日用粉紀錄表!C:C,C102)-SUMIFS(借出!G:G,借出!D:D,C102)+SUMIFS(歸還!H:H,歸還!D:D,C102)</f>
        <v>0</v>
      </c>
      <c r="H102" s="122"/>
      <c r="I102" s="121" t="str">
        <f t="shared" si="1"/>
        <v>否</v>
      </c>
      <c r="J102" s="119">
        <f t="shared" si="3"/>
        <v>0</v>
      </c>
      <c r="K102" s="113"/>
      <c r="L102" s="114"/>
      <c r="M102" s="113"/>
    </row>
    <row r="103" spans="1:13" ht="13.5" customHeight="1" x14ac:dyDescent="0.15">
      <c r="A103" s="117"/>
      <c r="B103" s="118">
        <v>100</v>
      </c>
      <c r="C103" s="119" t="s">
        <v>367</v>
      </c>
      <c r="D103" s="55" t="s">
        <v>367</v>
      </c>
      <c r="E103" s="119" t="s">
        <v>367</v>
      </c>
      <c r="F103" s="120">
        <f>SUMIFS(期初庫存!F:F,期初庫存!C:C,C103)+SUMIFS(採購入庫!H:H,採購入庫!D:D,C103)-SUMIFS(借出!H:H,借出!D:D,C103)-SUMIFS(每日用粉紀錄表!G:G,每日用粉紀錄表!C:C,C103)+SUMIFS(歸還!H:H,歸還!D:D,C103)+SUMIFS(每日用粉紀錄表!I:I,每日用粉紀錄表!C:C,C103)</f>
        <v>0</v>
      </c>
      <c r="G103" s="120">
        <f>SUMIFS(期初庫存!G:G,期初庫存!C:C,C103)+SUMIFS(採購入庫!G:G,採購入庫!D:D,C103)-SUMIFS(每日用粉紀錄表!F:F,每日用粉紀錄表!C:C,C103)-SUMIFS(借出!G:G,借出!D:D,C103)+SUMIFS(歸還!H:H,歸還!D:D,C103)</f>
        <v>0</v>
      </c>
      <c r="H103" s="122"/>
      <c r="I103" s="121" t="str">
        <f t="shared" si="1"/>
        <v>否</v>
      </c>
      <c r="J103" s="119">
        <f t="shared" si="3"/>
        <v>0</v>
      </c>
      <c r="K103" s="113"/>
      <c r="L103" s="114"/>
      <c r="M103" s="113"/>
    </row>
    <row r="104" spans="1:13" ht="13.5" customHeight="1" x14ac:dyDescent="0.15">
      <c r="A104" s="123"/>
      <c r="B104" s="124">
        <v>101</v>
      </c>
      <c r="C104" s="125" t="s">
        <v>367</v>
      </c>
      <c r="D104" s="126" t="s">
        <v>367</v>
      </c>
      <c r="E104" s="125" t="s">
        <v>367</v>
      </c>
      <c r="F104" s="125" t="s">
        <v>367</v>
      </c>
      <c r="G104" s="125">
        <v>0</v>
      </c>
      <c r="H104" s="127"/>
      <c r="I104" s="128" t="str">
        <f t="shared" ref="I104:I138" si="4">IF(H104&gt;G104,"采购","否")</f>
        <v>否</v>
      </c>
      <c r="J104" s="129"/>
      <c r="K104" s="129"/>
      <c r="L104" s="130"/>
      <c r="M104" s="129"/>
    </row>
    <row r="105" spans="1:13" ht="13.5" customHeight="1" x14ac:dyDescent="0.15">
      <c r="A105" s="123"/>
      <c r="B105" s="131">
        <v>102</v>
      </c>
      <c r="C105" s="125" t="s">
        <v>367</v>
      </c>
      <c r="D105" s="126" t="s">
        <v>367</v>
      </c>
      <c r="E105" s="125" t="s">
        <v>367</v>
      </c>
      <c r="F105" s="125" t="s">
        <v>367</v>
      </c>
      <c r="G105" s="125">
        <v>0</v>
      </c>
      <c r="H105" s="127"/>
      <c r="I105" s="128" t="str">
        <f t="shared" si="4"/>
        <v>否</v>
      </c>
      <c r="J105" s="129"/>
      <c r="K105" s="129"/>
      <c r="L105" s="130"/>
      <c r="M105" s="129"/>
    </row>
    <row r="106" spans="1:13" ht="13.5" customHeight="1" x14ac:dyDescent="0.15">
      <c r="A106" s="123"/>
      <c r="B106" s="131">
        <v>103</v>
      </c>
      <c r="C106" s="125" t="s">
        <v>367</v>
      </c>
      <c r="D106" s="126" t="s">
        <v>367</v>
      </c>
      <c r="E106" s="125" t="s">
        <v>367</v>
      </c>
      <c r="F106" s="125" t="s">
        <v>367</v>
      </c>
      <c r="G106" s="125">
        <v>0</v>
      </c>
      <c r="H106" s="127"/>
      <c r="I106" s="128" t="str">
        <f t="shared" si="4"/>
        <v>否</v>
      </c>
      <c r="J106" s="129"/>
      <c r="K106" s="129"/>
      <c r="L106" s="130"/>
      <c r="M106" s="129"/>
    </row>
    <row r="107" spans="1:13" ht="13.5" customHeight="1" x14ac:dyDescent="0.15">
      <c r="A107" s="123"/>
      <c r="B107" s="131">
        <v>104</v>
      </c>
      <c r="C107" s="125" t="s">
        <v>367</v>
      </c>
      <c r="D107" s="126" t="s">
        <v>367</v>
      </c>
      <c r="E107" s="125" t="s">
        <v>367</v>
      </c>
      <c r="F107" s="125" t="s">
        <v>367</v>
      </c>
      <c r="G107" s="125">
        <v>0</v>
      </c>
      <c r="H107" s="127"/>
      <c r="I107" s="128" t="str">
        <f t="shared" si="4"/>
        <v>否</v>
      </c>
      <c r="J107" s="129"/>
      <c r="K107" s="129"/>
      <c r="L107" s="130"/>
      <c r="M107" s="129"/>
    </row>
    <row r="108" spans="1:13" ht="13.5" customHeight="1" x14ac:dyDescent="0.15">
      <c r="A108" s="123"/>
      <c r="B108" s="131">
        <v>105</v>
      </c>
      <c r="C108" s="125" t="s">
        <v>367</v>
      </c>
      <c r="D108" s="126" t="s">
        <v>367</v>
      </c>
      <c r="E108" s="125" t="s">
        <v>367</v>
      </c>
      <c r="F108" s="125" t="s">
        <v>367</v>
      </c>
      <c r="G108" s="125">
        <v>0</v>
      </c>
      <c r="H108" s="127"/>
      <c r="I108" s="128" t="str">
        <f t="shared" si="4"/>
        <v>否</v>
      </c>
      <c r="J108" s="129"/>
      <c r="K108" s="129"/>
      <c r="L108" s="130"/>
      <c r="M108" s="129"/>
    </row>
    <row r="109" spans="1:13" ht="13.5" customHeight="1" x14ac:dyDescent="0.15">
      <c r="A109" s="123"/>
      <c r="B109" s="131">
        <v>106</v>
      </c>
      <c r="C109" s="125" t="s">
        <v>367</v>
      </c>
      <c r="D109" s="126" t="s">
        <v>367</v>
      </c>
      <c r="E109" s="125" t="s">
        <v>367</v>
      </c>
      <c r="F109" s="125" t="s">
        <v>367</v>
      </c>
      <c r="G109" s="125">
        <v>0</v>
      </c>
      <c r="H109" s="127"/>
      <c r="I109" s="128" t="str">
        <f t="shared" si="4"/>
        <v>否</v>
      </c>
      <c r="J109" s="129"/>
      <c r="K109" s="129"/>
      <c r="L109" s="130"/>
      <c r="M109" s="129"/>
    </row>
    <row r="110" spans="1:13" ht="13.5" customHeight="1" x14ac:dyDescent="0.15">
      <c r="A110" s="123"/>
      <c r="B110" s="131">
        <v>107</v>
      </c>
      <c r="C110" s="125" t="s">
        <v>367</v>
      </c>
      <c r="D110" s="126" t="s">
        <v>367</v>
      </c>
      <c r="E110" s="125" t="s">
        <v>367</v>
      </c>
      <c r="F110" s="125" t="s">
        <v>367</v>
      </c>
      <c r="G110" s="125">
        <v>0</v>
      </c>
      <c r="H110" s="127"/>
      <c r="I110" s="128" t="str">
        <f t="shared" si="4"/>
        <v>否</v>
      </c>
      <c r="J110" s="129"/>
      <c r="K110" s="129"/>
      <c r="L110" s="130"/>
      <c r="M110" s="129"/>
    </row>
    <row r="111" spans="1:13" ht="13.5" customHeight="1" x14ac:dyDescent="0.15">
      <c r="A111" s="123"/>
      <c r="B111" s="131">
        <v>108</v>
      </c>
      <c r="C111" s="125" t="s">
        <v>367</v>
      </c>
      <c r="D111" s="126" t="s">
        <v>367</v>
      </c>
      <c r="E111" s="125" t="s">
        <v>367</v>
      </c>
      <c r="F111" s="125" t="s">
        <v>367</v>
      </c>
      <c r="G111" s="125">
        <v>0</v>
      </c>
      <c r="H111" s="127"/>
      <c r="I111" s="128" t="str">
        <f t="shared" si="4"/>
        <v>否</v>
      </c>
      <c r="J111" s="129"/>
      <c r="K111" s="129"/>
      <c r="L111" s="130"/>
      <c r="M111" s="129"/>
    </row>
    <row r="112" spans="1:13" ht="13.5" customHeight="1" x14ac:dyDescent="0.15">
      <c r="A112" s="123"/>
      <c r="B112" s="131">
        <v>109</v>
      </c>
      <c r="C112" s="125" t="s">
        <v>367</v>
      </c>
      <c r="D112" s="126" t="s">
        <v>367</v>
      </c>
      <c r="E112" s="125" t="s">
        <v>367</v>
      </c>
      <c r="F112" s="125" t="s">
        <v>367</v>
      </c>
      <c r="G112" s="125">
        <v>0</v>
      </c>
      <c r="H112" s="127"/>
      <c r="I112" s="128" t="str">
        <f t="shared" si="4"/>
        <v>否</v>
      </c>
      <c r="J112" s="129"/>
      <c r="K112" s="129"/>
      <c r="L112" s="130"/>
      <c r="M112" s="129"/>
    </row>
    <row r="113" spans="1:13" ht="13.5" customHeight="1" x14ac:dyDescent="0.15">
      <c r="A113" s="123"/>
      <c r="B113" s="131">
        <v>110</v>
      </c>
      <c r="C113" s="125" t="s">
        <v>367</v>
      </c>
      <c r="D113" s="126" t="s">
        <v>367</v>
      </c>
      <c r="E113" s="125" t="s">
        <v>367</v>
      </c>
      <c r="F113" s="125" t="s">
        <v>367</v>
      </c>
      <c r="G113" s="125">
        <v>0</v>
      </c>
      <c r="H113" s="127"/>
      <c r="I113" s="128" t="str">
        <f t="shared" si="4"/>
        <v>否</v>
      </c>
      <c r="J113" s="129"/>
      <c r="K113" s="129"/>
      <c r="L113" s="130"/>
      <c r="M113" s="129"/>
    </row>
    <row r="114" spans="1:13" ht="13.5" customHeight="1" x14ac:dyDescent="0.15">
      <c r="A114" s="123"/>
      <c r="B114" s="131">
        <v>111</v>
      </c>
      <c r="C114" s="125" t="s">
        <v>367</v>
      </c>
      <c r="D114" s="126" t="s">
        <v>367</v>
      </c>
      <c r="E114" s="125" t="s">
        <v>367</v>
      </c>
      <c r="F114" s="125" t="s">
        <v>367</v>
      </c>
      <c r="G114" s="125">
        <v>0</v>
      </c>
      <c r="H114" s="127"/>
      <c r="I114" s="128" t="str">
        <f t="shared" si="4"/>
        <v>否</v>
      </c>
      <c r="J114" s="129"/>
      <c r="K114" s="129"/>
      <c r="L114" s="130"/>
      <c r="M114" s="129"/>
    </row>
    <row r="115" spans="1:13" ht="13.5" customHeight="1" x14ac:dyDescent="0.15">
      <c r="A115" s="123"/>
      <c r="B115" s="131">
        <v>112</v>
      </c>
      <c r="C115" s="125" t="s">
        <v>367</v>
      </c>
      <c r="D115" s="126" t="s">
        <v>367</v>
      </c>
      <c r="E115" s="125" t="s">
        <v>367</v>
      </c>
      <c r="F115" s="125" t="s">
        <v>367</v>
      </c>
      <c r="G115" s="125">
        <v>0</v>
      </c>
      <c r="H115" s="127"/>
      <c r="I115" s="128" t="str">
        <f t="shared" si="4"/>
        <v>否</v>
      </c>
      <c r="J115" s="129"/>
      <c r="K115" s="129"/>
      <c r="L115" s="130"/>
      <c r="M115" s="129"/>
    </row>
    <row r="116" spans="1:13" ht="13.5" customHeight="1" x14ac:dyDescent="0.15">
      <c r="A116" s="123"/>
      <c r="B116" s="131">
        <v>113</v>
      </c>
      <c r="C116" s="125" t="s">
        <v>367</v>
      </c>
      <c r="D116" s="126" t="s">
        <v>367</v>
      </c>
      <c r="E116" s="125" t="s">
        <v>367</v>
      </c>
      <c r="F116" s="125" t="s">
        <v>367</v>
      </c>
      <c r="G116" s="125">
        <v>0</v>
      </c>
      <c r="H116" s="127"/>
      <c r="I116" s="128" t="str">
        <f t="shared" si="4"/>
        <v>否</v>
      </c>
      <c r="J116" s="129"/>
      <c r="K116" s="129"/>
      <c r="L116" s="130"/>
      <c r="M116" s="129"/>
    </row>
    <row r="117" spans="1:13" ht="13.5" customHeight="1" x14ac:dyDescent="0.15">
      <c r="A117" s="123"/>
      <c r="B117" s="131">
        <v>114</v>
      </c>
      <c r="C117" s="125" t="s">
        <v>367</v>
      </c>
      <c r="D117" s="126" t="s">
        <v>367</v>
      </c>
      <c r="E117" s="125" t="s">
        <v>367</v>
      </c>
      <c r="F117" s="125" t="s">
        <v>367</v>
      </c>
      <c r="G117" s="125">
        <v>0</v>
      </c>
      <c r="H117" s="127"/>
      <c r="I117" s="128" t="str">
        <f t="shared" si="4"/>
        <v>否</v>
      </c>
      <c r="J117" s="129"/>
      <c r="K117" s="129"/>
      <c r="L117" s="130"/>
      <c r="M117" s="129"/>
    </row>
    <row r="118" spans="1:13" ht="13.5" customHeight="1" x14ac:dyDescent="0.15">
      <c r="A118" s="123"/>
      <c r="B118" s="131">
        <v>115</v>
      </c>
      <c r="C118" s="125" t="s">
        <v>367</v>
      </c>
      <c r="D118" s="126" t="s">
        <v>367</v>
      </c>
      <c r="E118" s="125" t="s">
        <v>367</v>
      </c>
      <c r="F118" s="125" t="s">
        <v>367</v>
      </c>
      <c r="G118" s="125">
        <v>0</v>
      </c>
      <c r="H118" s="127"/>
      <c r="I118" s="128" t="str">
        <f t="shared" si="4"/>
        <v>否</v>
      </c>
      <c r="J118" s="129"/>
      <c r="K118" s="129"/>
      <c r="L118" s="130"/>
      <c r="M118" s="129"/>
    </row>
    <row r="119" spans="1:13" ht="13.5" customHeight="1" x14ac:dyDescent="0.15">
      <c r="A119" s="123"/>
      <c r="B119" s="131">
        <v>116</v>
      </c>
      <c r="C119" s="125" t="s">
        <v>367</v>
      </c>
      <c r="D119" s="126" t="s">
        <v>367</v>
      </c>
      <c r="E119" s="125" t="s">
        <v>367</v>
      </c>
      <c r="F119" s="125" t="s">
        <v>367</v>
      </c>
      <c r="G119" s="125">
        <v>0</v>
      </c>
      <c r="H119" s="127"/>
      <c r="I119" s="128" t="str">
        <f t="shared" si="4"/>
        <v>否</v>
      </c>
      <c r="J119" s="129"/>
      <c r="K119" s="129"/>
      <c r="L119" s="130"/>
      <c r="M119" s="129"/>
    </row>
    <row r="120" spans="1:13" ht="13.5" customHeight="1" x14ac:dyDescent="0.15">
      <c r="A120" s="123"/>
      <c r="B120" s="131">
        <v>117</v>
      </c>
      <c r="C120" s="125" t="s">
        <v>367</v>
      </c>
      <c r="D120" s="126" t="s">
        <v>367</v>
      </c>
      <c r="E120" s="125" t="s">
        <v>367</v>
      </c>
      <c r="F120" s="125" t="s">
        <v>367</v>
      </c>
      <c r="G120" s="125">
        <v>0</v>
      </c>
      <c r="H120" s="127"/>
      <c r="I120" s="128" t="str">
        <f t="shared" si="4"/>
        <v>否</v>
      </c>
      <c r="J120" s="129"/>
      <c r="K120" s="129"/>
      <c r="L120" s="130"/>
      <c r="M120" s="129"/>
    </row>
    <row r="121" spans="1:13" ht="13.5" customHeight="1" x14ac:dyDescent="0.15">
      <c r="A121" s="123"/>
      <c r="B121" s="131">
        <v>118</v>
      </c>
      <c r="C121" s="125" t="s">
        <v>367</v>
      </c>
      <c r="D121" s="126" t="s">
        <v>367</v>
      </c>
      <c r="E121" s="125" t="s">
        <v>367</v>
      </c>
      <c r="F121" s="125" t="s">
        <v>367</v>
      </c>
      <c r="G121" s="125">
        <v>0</v>
      </c>
      <c r="H121" s="127"/>
      <c r="I121" s="128" t="str">
        <f t="shared" si="4"/>
        <v>否</v>
      </c>
      <c r="J121" s="129"/>
      <c r="K121" s="129"/>
      <c r="L121" s="130"/>
      <c r="M121" s="129"/>
    </row>
    <row r="122" spans="1:13" ht="13.5" customHeight="1" x14ac:dyDescent="0.15">
      <c r="A122" s="123"/>
      <c r="B122" s="131">
        <v>119</v>
      </c>
      <c r="C122" s="125" t="s">
        <v>367</v>
      </c>
      <c r="D122" s="126" t="s">
        <v>367</v>
      </c>
      <c r="E122" s="125" t="s">
        <v>367</v>
      </c>
      <c r="F122" s="125" t="s">
        <v>367</v>
      </c>
      <c r="G122" s="125">
        <v>0</v>
      </c>
      <c r="H122" s="127"/>
      <c r="I122" s="128" t="str">
        <f t="shared" si="4"/>
        <v>否</v>
      </c>
      <c r="J122" s="129"/>
      <c r="K122" s="129"/>
      <c r="L122" s="130"/>
      <c r="M122" s="129"/>
    </row>
    <row r="123" spans="1:13" ht="13.5" customHeight="1" x14ac:dyDescent="0.15">
      <c r="A123" s="123"/>
      <c r="B123" s="131">
        <v>120</v>
      </c>
      <c r="C123" s="125" t="s">
        <v>367</v>
      </c>
      <c r="D123" s="126" t="s">
        <v>367</v>
      </c>
      <c r="E123" s="125" t="s">
        <v>367</v>
      </c>
      <c r="F123" s="125" t="s">
        <v>367</v>
      </c>
      <c r="G123" s="125">
        <v>0</v>
      </c>
      <c r="H123" s="127"/>
      <c r="I123" s="128" t="str">
        <f t="shared" si="4"/>
        <v>否</v>
      </c>
      <c r="J123" s="129"/>
      <c r="K123" s="129"/>
      <c r="L123" s="130"/>
      <c r="M123" s="129"/>
    </row>
    <row r="124" spans="1:13" ht="13.5" customHeight="1" x14ac:dyDescent="0.15">
      <c r="A124" s="123"/>
      <c r="B124" s="131">
        <v>121</v>
      </c>
      <c r="C124" s="125" t="s">
        <v>367</v>
      </c>
      <c r="D124" s="126" t="s">
        <v>367</v>
      </c>
      <c r="E124" s="125" t="s">
        <v>367</v>
      </c>
      <c r="F124" s="125" t="s">
        <v>367</v>
      </c>
      <c r="G124" s="125">
        <v>0</v>
      </c>
      <c r="H124" s="127"/>
      <c r="I124" s="128" t="str">
        <f t="shared" si="4"/>
        <v>否</v>
      </c>
      <c r="J124" s="129"/>
      <c r="K124" s="129"/>
      <c r="L124" s="130"/>
      <c r="M124" s="129"/>
    </row>
    <row r="125" spans="1:13" ht="13.5" customHeight="1" x14ac:dyDescent="0.15">
      <c r="A125" s="123"/>
      <c r="B125" s="131">
        <v>122</v>
      </c>
      <c r="C125" s="125" t="s">
        <v>367</v>
      </c>
      <c r="D125" s="126" t="s">
        <v>367</v>
      </c>
      <c r="E125" s="125" t="s">
        <v>367</v>
      </c>
      <c r="F125" s="125" t="s">
        <v>367</v>
      </c>
      <c r="G125" s="125">
        <v>0</v>
      </c>
      <c r="H125" s="127"/>
      <c r="I125" s="128" t="str">
        <f t="shared" si="4"/>
        <v>否</v>
      </c>
      <c r="J125" s="129"/>
      <c r="K125" s="129"/>
      <c r="L125" s="130"/>
      <c r="M125" s="129"/>
    </row>
    <row r="126" spans="1:13" ht="13.5" customHeight="1" x14ac:dyDescent="0.15">
      <c r="A126" s="123"/>
      <c r="B126" s="131">
        <v>123</v>
      </c>
      <c r="C126" s="125" t="s">
        <v>367</v>
      </c>
      <c r="D126" s="126" t="s">
        <v>367</v>
      </c>
      <c r="E126" s="125" t="s">
        <v>367</v>
      </c>
      <c r="F126" s="125" t="s">
        <v>367</v>
      </c>
      <c r="G126" s="125">
        <v>0</v>
      </c>
      <c r="H126" s="127"/>
      <c r="I126" s="128" t="str">
        <f t="shared" si="4"/>
        <v>否</v>
      </c>
      <c r="J126" s="129"/>
      <c r="K126" s="129"/>
      <c r="L126" s="130"/>
      <c r="M126" s="129"/>
    </row>
    <row r="127" spans="1:13" ht="13.5" customHeight="1" x14ac:dyDescent="0.15">
      <c r="A127" s="123"/>
      <c r="B127" s="131">
        <v>124</v>
      </c>
      <c r="C127" s="125" t="s">
        <v>367</v>
      </c>
      <c r="D127" s="126" t="s">
        <v>367</v>
      </c>
      <c r="E127" s="125" t="s">
        <v>367</v>
      </c>
      <c r="F127" s="125" t="s">
        <v>367</v>
      </c>
      <c r="G127" s="125">
        <v>0</v>
      </c>
      <c r="H127" s="127"/>
      <c r="I127" s="128" t="str">
        <f t="shared" si="4"/>
        <v>否</v>
      </c>
      <c r="J127" s="129"/>
      <c r="K127" s="129"/>
      <c r="L127" s="130"/>
      <c r="M127" s="129"/>
    </row>
    <row r="128" spans="1:13" ht="13.5" customHeight="1" x14ac:dyDescent="0.15">
      <c r="A128" s="123"/>
      <c r="B128" s="131">
        <v>125</v>
      </c>
      <c r="C128" s="125" t="s">
        <v>367</v>
      </c>
      <c r="D128" s="126" t="s">
        <v>367</v>
      </c>
      <c r="E128" s="125" t="s">
        <v>367</v>
      </c>
      <c r="F128" s="125" t="s">
        <v>367</v>
      </c>
      <c r="G128" s="125">
        <v>0</v>
      </c>
      <c r="H128" s="127"/>
      <c r="I128" s="128" t="str">
        <f t="shared" si="4"/>
        <v>否</v>
      </c>
      <c r="J128" s="129"/>
      <c r="K128" s="129"/>
      <c r="L128" s="130"/>
      <c r="M128" s="129"/>
    </row>
    <row r="129" spans="1:13" ht="13.5" customHeight="1" x14ac:dyDescent="0.15">
      <c r="A129" s="123"/>
      <c r="B129" s="131">
        <v>126</v>
      </c>
      <c r="C129" s="125" t="s">
        <v>367</v>
      </c>
      <c r="D129" s="126" t="s">
        <v>367</v>
      </c>
      <c r="E129" s="125" t="s">
        <v>367</v>
      </c>
      <c r="F129" s="125" t="s">
        <v>367</v>
      </c>
      <c r="G129" s="125">
        <v>0</v>
      </c>
      <c r="H129" s="127"/>
      <c r="I129" s="128" t="str">
        <f t="shared" si="4"/>
        <v>否</v>
      </c>
      <c r="J129" s="129"/>
      <c r="K129" s="129"/>
      <c r="L129" s="130"/>
      <c r="M129" s="129"/>
    </row>
    <row r="130" spans="1:13" ht="13.5" customHeight="1" x14ac:dyDescent="0.15">
      <c r="A130" s="123"/>
      <c r="B130" s="131">
        <v>127</v>
      </c>
      <c r="C130" s="125" t="s">
        <v>367</v>
      </c>
      <c r="D130" s="126" t="s">
        <v>367</v>
      </c>
      <c r="E130" s="125" t="s">
        <v>367</v>
      </c>
      <c r="F130" s="125" t="s">
        <v>367</v>
      </c>
      <c r="G130" s="125">
        <v>0</v>
      </c>
      <c r="H130" s="127"/>
      <c r="I130" s="128" t="str">
        <f t="shared" si="4"/>
        <v>否</v>
      </c>
      <c r="J130" s="129"/>
      <c r="K130" s="129"/>
      <c r="L130" s="130"/>
      <c r="M130" s="129"/>
    </row>
    <row r="131" spans="1:13" ht="13.5" customHeight="1" x14ac:dyDescent="0.15">
      <c r="A131" s="123"/>
      <c r="B131" s="131">
        <v>128</v>
      </c>
      <c r="C131" s="125" t="s">
        <v>367</v>
      </c>
      <c r="D131" s="126" t="s">
        <v>367</v>
      </c>
      <c r="E131" s="125" t="s">
        <v>367</v>
      </c>
      <c r="F131" s="125" t="s">
        <v>367</v>
      </c>
      <c r="G131" s="125">
        <v>0</v>
      </c>
      <c r="H131" s="127"/>
      <c r="I131" s="128" t="str">
        <f t="shared" si="4"/>
        <v>否</v>
      </c>
      <c r="J131" s="129"/>
      <c r="K131" s="129"/>
      <c r="L131" s="130"/>
      <c r="M131" s="129"/>
    </row>
    <row r="132" spans="1:13" ht="13.5" customHeight="1" x14ac:dyDescent="0.15">
      <c r="A132" s="123"/>
      <c r="B132" s="131">
        <v>129</v>
      </c>
      <c r="C132" s="125" t="s">
        <v>367</v>
      </c>
      <c r="D132" s="126" t="s">
        <v>367</v>
      </c>
      <c r="E132" s="125" t="s">
        <v>367</v>
      </c>
      <c r="F132" s="125" t="s">
        <v>367</v>
      </c>
      <c r="G132" s="125">
        <v>0</v>
      </c>
      <c r="H132" s="127"/>
      <c r="I132" s="128" t="str">
        <f t="shared" si="4"/>
        <v>否</v>
      </c>
      <c r="J132" s="129"/>
      <c r="K132" s="129"/>
      <c r="L132" s="130"/>
      <c r="M132" s="129"/>
    </row>
    <row r="133" spans="1:13" ht="13.5" customHeight="1" x14ac:dyDescent="0.15">
      <c r="A133" s="123"/>
      <c r="B133" s="131">
        <v>130</v>
      </c>
      <c r="C133" s="125" t="s">
        <v>367</v>
      </c>
      <c r="D133" s="126" t="s">
        <v>367</v>
      </c>
      <c r="E133" s="125" t="s">
        <v>367</v>
      </c>
      <c r="F133" s="125" t="s">
        <v>367</v>
      </c>
      <c r="G133" s="125">
        <v>0</v>
      </c>
      <c r="H133" s="127"/>
      <c r="I133" s="128" t="str">
        <f t="shared" si="4"/>
        <v>否</v>
      </c>
      <c r="J133" s="129"/>
      <c r="K133" s="129"/>
      <c r="L133" s="130"/>
      <c r="M133" s="129"/>
    </row>
    <row r="134" spans="1:13" ht="13.5" customHeight="1" x14ac:dyDescent="0.15">
      <c r="A134" s="123"/>
      <c r="B134" s="131">
        <v>131</v>
      </c>
      <c r="C134" s="125" t="s">
        <v>367</v>
      </c>
      <c r="D134" s="126" t="s">
        <v>367</v>
      </c>
      <c r="E134" s="125" t="s">
        <v>367</v>
      </c>
      <c r="F134" s="125" t="s">
        <v>367</v>
      </c>
      <c r="G134" s="125">
        <v>0</v>
      </c>
      <c r="H134" s="127"/>
      <c r="I134" s="128" t="str">
        <f t="shared" si="4"/>
        <v>否</v>
      </c>
      <c r="J134" s="129"/>
      <c r="K134" s="129"/>
      <c r="L134" s="130"/>
      <c r="M134" s="129"/>
    </row>
    <row r="135" spans="1:13" ht="13.5" customHeight="1" x14ac:dyDescent="0.15">
      <c r="A135" s="123"/>
      <c r="B135" s="131">
        <v>132</v>
      </c>
      <c r="C135" s="125" t="s">
        <v>367</v>
      </c>
      <c r="D135" s="126" t="s">
        <v>367</v>
      </c>
      <c r="E135" s="125" t="s">
        <v>367</v>
      </c>
      <c r="F135" s="125" t="s">
        <v>367</v>
      </c>
      <c r="G135" s="125">
        <v>0</v>
      </c>
      <c r="H135" s="127"/>
      <c r="I135" s="128" t="str">
        <f t="shared" si="4"/>
        <v>否</v>
      </c>
      <c r="J135" s="129"/>
      <c r="K135" s="129"/>
      <c r="L135" s="130"/>
      <c r="M135" s="129"/>
    </row>
    <row r="136" spans="1:13" ht="13.5" customHeight="1" x14ac:dyDescent="0.15">
      <c r="A136" s="123"/>
      <c r="B136" s="131">
        <v>133</v>
      </c>
      <c r="C136" s="125" t="s">
        <v>367</v>
      </c>
      <c r="D136" s="126" t="s">
        <v>367</v>
      </c>
      <c r="E136" s="125" t="s">
        <v>367</v>
      </c>
      <c r="F136" s="125" t="s">
        <v>367</v>
      </c>
      <c r="G136" s="125">
        <v>0</v>
      </c>
      <c r="H136" s="127"/>
      <c r="I136" s="128" t="str">
        <f t="shared" si="4"/>
        <v>否</v>
      </c>
      <c r="J136" s="129"/>
      <c r="K136" s="129"/>
      <c r="L136" s="130"/>
      <c r="M136" s="129"/>
    </row>
    <row r="137" spans="1:13" ht="13.5" customHeight="1" x14ac:dyDescent="0.15">
      <c r="A137" s="123"/>
      <c r="B137" s="131">
        <v>134</v>
      </c>
      <c r="C137" s="125" t="s">
        <v>367</v>
      </c>
      <c r="D137" s="126" t="s">
        <v>367</v>
      </c>
      <c r="E137" s="125" t="s">
        <v>367</v>
      </c>
      <c r="F137" s="125" t="s">
        <v>367</v>
      </c>
      <c r="G137" s="125">
        <v>0</v>
      </c>
      <c r="H137" s="127"/>
      <c r="I137" s="128" t="str">
        <f t="shared" si="4"/>
        <v>否</v>
      </c>
      <c r="J137" s="129"/>
      <c r="K137" s="129"/>
      <c r="L137" s="130"/>
      <c r="M137" s="129"/>
    </row>
    <row r="138" spans="1:13" ht="13.5" customHeight="1" x14ac:dyDescent="0.15">
      <c r="A138" s="123"/>
      <c r="B138" s="131">
        <v>135</v>
      </c>
      <c r="C138" s="125" t="s">
        <v>367</v>
      </c>
      <c r="D138" s="126" t="s">
        <v>367</v>
      </c>
      <c r="E138" s="125" t="s">
        <v>367</v>
      </c>
      <c r="F138" s="125" t="s">
        <v>367</v>
      </c>
      <c r="G138" s="125">
        <v>0</v>
      </c>
      <c r="H138" s="127"/>
      <c r="I138" s="128" t="str">
        <f t="shared" si="4"/>
        <v>否</v>
      </c>
      <c r="J138" s="129"/>
      <c r="K138" s="129"/>
      <c r="L138" s="130"/>
      <c r="M138" s="129"/>
    </row>
    <row r="139" spans="1:13" ht="13.5" customHeight="1" x14ac:dyDescent="0.15">
      <c r="A139" s="123"/>
      <c r="B139" s="131">
        <v>136</v>
      </c>
      <c r="C139" s="125" t="s">
        <v>367</v>
      </c>
      <c r="D139" s="126" t="s">
        <v>367</v>
      </c>
      <c r="E139" s="125" t="s">
        <v>367</v>
      </c>
      <c r="F139" s="125" t="s">
        <v>367</v>
      </c>
      <c r="G139" s="125">
        <v>0</v>
      </c>
      <c r="H139" s="127"/>
      <c r="I139" s="128" t="s">
        <v>369</v>
      </c>
      <c r="J139" s="129"/>
      <c r="K139" s="129"/>
      <c r="L139" s="130"/>
      <c r="M139" s="129"/>
    </row>
    <row r="140" spans="1:13" ht="13.5" customHeight="1" x14ac:dyDescent="0.15">
      <c r="A140" s="123"/>
      <c r="B140" s="131">
        <v>137</v>
      </c>
      <c r="C140" s="125" t="s">
        <v>367</v>
      </c>
      <c r="D140" s="126" t="s">
        <v>367</v>
      </c>
      <c r="E140" s="125" t="s">
        <v>367</v>
      </c>
      <c r="F140" s="125" t="s">
        <v>367</v>
      </c>
      <c r="G140" s="125">
        <v>0</v>
      </c>
      <c r="H140" s="127"/>
      <c r="I140" s="128" t="s">
        <v>369</v>
      </c>
      <c r="J140" s="129"/>
      <c r="K140" s="129"/>
      <c r="L140" s="130"/>
      <c r="M140" s="129"/>
    </row>
    <row r="141" spans="1:13" ht="13.5" customHeight="1" x14ac:dyDescent="0.15">
      <c r="A141" s="123"/>
      <c r="B141" s="131">
        <v>138</v>
      </c>
      <c r="C141" s="125" t="s">
        <v>367</v>
      </c>
      <c r="D141" s="126" t="s">
        <v>367</v>
      </c>
      <c r="E141" s="125" t="s">
        <v>367</v>
      </c>
      <c r="F141" s="125" t="s">
        <v>367</v>
      </c>
      <c r="G141" s="125">
        <v>0</v>
      </c>
      <c r="H141" s="127"/>
      <c r="I141" s="128" t="s">
        <v>369</v>
      </c>
      <c r="J141" s="129"/>
      <c r="K141" s="129"/>
      <c r="L141" s="130"/>
      <c r="M141" s="129"/>
    </row>
    <row r="142" spans="1:13" ht="13.5" customHeight="1" x14ac:dyDescent="0.15">
      <c r="A142" s="123"/>
      <c r="B142" s="131">
        <v>139</v>
      </c>
      <c r="C142" s="125" t="s">
        <v>367</v>
      </c>
      <c r="D142" s="126" t="s">
        <v>367</v>
      </c>
      <c r="E142" s="125" t="s">
        <v>367</v>
      </c>
      <c r="F142" s="125" t="s">
        <v>367</v>
      </c>
      <c r="G142" s="125">
        <v>0</v>
      </c>
      <c r="H142" s="127"/>
      <c r="I142" s="128" t="s">
        <v>369</v>
      </c>
      <c r="J142" s="129"/>
      <c r="K142" s="129"/>
      <c r="L142" s="130"/>
      <c r="M142" s="129"/>
    </row>
    <row r="143" spans="1:13" ht="13.5" customHeight="1" x14ac:dyDescent="0.15">
      <c r="A143" s="123"/>
      <c r="B143" s="131">
        <v>140</v>
      </c>
      <c r="C143" s="125" t="s">
        <v>367</v>
      </c>
      <c r="D143" s="126" t="s">
        <v>367</v>
      </c>
      <c r="E143" s="125" t="s">
        <v>367</v>
      </c>
      <c r="F143" s="125" t="s">
        <v>367</v>
      </c>
      <c r="G143" s="125">
        <v>0</v>
      </c>
      <c r="H143" s="127"/>
      <c r="I143" s="128" t="s">
        <v>369</v>
      </c>
      <c r="J143" s="129"/>
      <c r="K143" s="129"/>
      <c r="L143" s="130"/>
      <c r="M143" s="129"/>
    </row>
    <row r="144" spans="1:13" ht="13.5" customHeight="1" x14ac:dyDescent="0.15">
      <c r="A144" s="123"/>
      <c r="B144" s="131">
        <v>141</v>
      </c>
      <c r="C144" s="125" t="s">
        <v>367</v>
      </c>
      <c r="D144" s="126" t="s">
        <v>367</v>
      </c>
      <c r="E144" s="125" t="s">
        <v>367</v>
      </c>
      <c r="F144" s="125" t="s">
        <v>367</v>
      </c>
      <c r="G144" s="125">
        <v>0</v>
      </c>
      <c r="H144" s="127"/>
      <c r="I144" s="128" t="s">
        <v>369</v>
      </c>
      <c r="J144" s="129"/>
      <c r="K144" s="129"/>
      <c r="L144" s="130"/>
      <c r="M144" s="129"/>
    </row>
    <row r="145" spans="1:13" ht="13.5" customHeight="1" x14ac:dyDescent="0.15">
      <c r="A145" s="123"/>
      <c r="B145" s="131">
        <v>142</v>
      </c>
      <c r="C145" s="125" t="s">
        <v>367</v>
      </c>
      <c r="D145" s="126" t="s">
        <v>367</v>
      </c>
      <c r="E145" s="125" t="s">
        <v>367</v>
      </c>
      <c r="F145" s="125" t="s">
        <v>367</v>
      </c>
      <c r="G145" s="125">
        <v>0</v>
      </c>
      <c r="H145" s="127"/>
      <c r="I145" s="128" t="s">
        <v>369</v>
      </c>
      <c r="J145" s="129"/>
      <c r="K145" s="129"/>
      <c r="L145" s="130"/>
      <c r="M145" s="129"/>
    </row>
    <row r="146" spans="1:13" ht="13.5" customHeight="1" x14ac:dyDescent="0.15">
      <c r="A146" s="123"/>
      <c r="B146" s="131">
        <v>143</v>
      </c>
      <c r="C146" s="125" t="s">
        <v>367</v>
      </c>
      <c r="D146" s="126" t="s">
        <v>367</v>
      </c>
      <c r="E146" s="125" t="s">
        <v>367</v>
      </c>
      <c r="F146" s="125" t="s">
        <v>367</v>
      </c>
      <c r="G146" s="125">
        <v>0</v>
      </c>
      <c r="H146" s="127"/>
      <c r="I146" s="128" t="s">
        <v>369</v>
      </c>
      <c r="J146" s="129"/>
      <c r="K146" s="129"/>
      <c r="L146" s="130"/>
      <c r="M146" s="129"/>
    </row>
    <row r="147" spans="1:13" ht="13.5" customHeight="1" x14ac:dyDescent="0.15">
      <c r="A147" s="123"/>
      <c r="B147" s="131">
        <v>144</v>
      </c>
      <c r="C147" s="125" t="s">
        <v>367</v>
      </c>
      <c r="D147" s="126" t="s">
        <v>367</v>
      </c>
      <c r="E147" s="125" t="s">
        <v>367</v>
      </c>
      <c r="F147" s="125" t="s">
        <v>367</v>
      </c>
      <c r="G147" s="125">
        <v>0</v>
      </c>
      <c r="H147" s="127"/>
      <c r="I147" s="128" t="s">
        <v>369</v>
      </c>
      <c r="J147" s="129"/>
      <c r="K147" s="129"/>
      <c r="L147" s="130"/>
      <c r="M147" s="129"/>
    </row>
    <row r="148" spans="1:13" ht="13.5" customHeight="1" x14ac:dyDescent="0.15">
      <c r="A148" s="123"/>
      <c r="B148" s="131">
        <v>145</v>
      </c>
      <c r="C148" s="125" t="s">
        <v>367</v>
      </c>
      <c r="D148" s="126" t="s">
        <v>367</v>
      </c>
      <c r="E148" s="125" t="s">
        <v>367</v>
      </c>
      <c r="F148" s="125" t="s">
        <v>367</v>
      </c>
      <c r="G148" s="125">
        <v>0</v>
      </c>
      <c r="H148" s="127"/>
      <c r="I148" s="128" t="s">
        <v>369</v>
      </c>
      <c r="J148" s="129"/>
      <c r="K148" s="129"/>
      <c r="L148" s="130"/>
      <c r="M148" s="129"/>
    </row>
    <row r="149" spans="1:13" ht="13.5" customHeight="1" x14ac:dyDescent="0.15">
      <c r="A149" s="123"/>
      <c r="B149" s="131">
        <v>146</v>
      </c>
      <c r="C149" s="125" t="s">
        <v>367</v>
      </c>
      <c r="D149" s="126" t="s">
        <v>367</v>
      </c>
      <c r="E149" s="125" t="s">
        <v>367</v>
      </c>
      <c r="F149" s="125" t="s">
        <v>367</v>
      </c>
      <c r="G149" s="125">
        <v>0</v>
      </c>
      <c r="H149" s="127"/>
      <c r="I149" s="128" t="s">
        <v>369</v>
      </c>
      <c r="J149" s="129"/>
      <c r="K149" s="129"/>
      <c r="L149" s="130"/>
      <c r="M149" s="129"/>
    </row>
    <row r="150" spans="1:13" ht="13.5" customHeight="1" x14ac:dyDescent="0.15">
      <c r="A150" s="123"/>
      <c r="B150" s="131">
        <v>146</v>
      </c>
      <c r="C150" s="125" t="s">
        <v>367</v>
      </c>
      <c r="D150" s="126" t="s">
        <v>367</v>
      </c>
      <c r="E150" s="125" t="s">
        <v>367</v>
      </c>
      <c r="F150" s="125" t="s">
        <v>367</v>
      </c>
      <c r="G150" s="125">
        <v>0</v>
      </c>
      <c r="H150" s="127"/>
      <c r="I150" s="128" t="s">
        <v>369</v>
      </c>
      <c r="J150" s="129"/>
      <c r="K150" s="129"/>
      <c r="L150" s="130"/>
      <c r="M150" s="129"/>
    </row>
    <row r="151" spans="1:13" ht="13.5" customHeight="1" x14ac:dyDescent="0.15">
      <c r="A151" s="123"/>
      <c r="B151" s="132">
        <v>146</v>
      </c>
      <c r="C151" s="125" t="s">
        <v>367</v>
      </c>
      <c r="D151" s="126" t="s">
        <v>367</v>
      </c>
      <c r="E151" s="125" t="s">
        <v>367</v>
      </c>
      <c r="F151" s="125" t="s">
        <v>367</v>
      </c>
      <c r="G151" s="125">
        <v>0</v>
      </c>
      <c r="H151" s="127"/>
      <c r="I151" s="128" t="s">
        <v>369</v>
      </c>
      <c r="J151" s="129"/>
      <c r="K151" s="129"/>
      <c r="L151" s="130"/>
      <c r="M151" s="129"/>
    </row>
    <row r="152" spans="1:13" ht="13.5" customHeight="1" x14ac:dyDescent="0.15">
      <c r="A152" s="123"/>
      <c r="B152" s="132">
        <v>147</v>
      </c>
      <c r="C152" s="125" t="s">
        <v>367</v>
      </c>
      <c r="D152" s="126" t="s">
        <v>367</v>
      </c>
      <c r="E152" s="125" t="s">
        <v>367</v>
      </c>
      <c r="F152" s="125" t="s">
        <v>367</v>
      </c>
      <c r="G152" s="125">
        <v>0</v>
      </c>
      <c r="H152" s="127"/>
      <c r="I152" s="128" t="s">
        <v>369</v>
      </c>
      <c r="J152" s="129"/>
      <c r="K152" s="129"/>
      <c r="L152" s="130"/>
      <c r="M152" s="129"/>
    </row>
    <row r="153" spans="1:13" ht="13.5" customHeight="1" x14ac:dyDescent="0.15">
      <c r="A153" s="123"/>
      <c r="B153" s="132">
        <v>148</v>
      </c>
      <c r="C153" s="125" t="s">
        <v>367</v>
      </c>
      <c r="D153" s="126" t="s">
        <v>367</v>
      </c>
      <c r="E153" s="125" t="s">
        <v>367</v>
      </c>
      <c r="F153" s="125" t="s">
        <v>367</v>
      </c>
      <c r="G153" s="125">
        <v>0</v>
      </c>
      <c r="H153" s="127"/>
      <c r="I153" s="128" t="s">
        <v>369</v>
      </c>
      <c r="J153" s="129"/>
      <c r="K153" s="129"/>
      <c r="L153" s="130"/>
      <c r="M153" s="129"/>
    </row>
    <row r="154" spans="1:13" ht="13.5" customHeight="1" x14ac:dyDescent="0.15">
      <c r="A154" s="123"/>
      <c r="B154" s="132">
        <v>149</v>
      </c>
      <c r="C154" s="125" t="s">
        <v>367</v>
      </c>
      <c r="D154" s="126" t="s">
        <v>367</v>
      </c>
      <c r="E154" s="125" t="s">
        <v>367</v>
      </c>
      <c r="F154" s="125" t="s">
        <v>367</v>
      </c>
      <c r="G154" s="125">
        <v>0</v>
      </c>
      <c r="H154" s="127"/>
      <c r="I154" s="128" t="s">
        <v>369</v>
      </c>
      <c r="J154" s="129"/>
      <c r="K154" s="129"/>
      <c r="L154" s="130"/>
      <c r="M154" s="129"/>
    </row>
    <row r="155" spans="1:13" ht="13.5" customHeight="1" x14ac:dyDescent="0.15">
      <c r="A155" s="123"/>
      <c r="B155" s="132">
        <v>150</v>
      </c>
      <c r="C155" s="125" t="s">
        <v>367</v>
      </c>
      <c r="D155" s="126" t="s">
        <v>367</v>
      </c>
      <c r="E155" s="125" t="s">
        <v>367</v>
      </c>
      <c r="F155" s="125" t="s">
        <v>367</v>
      </c>
      <c r="G155" s="125">
        <v>0</v>
      </c>
      <c r="H155" s="127"/>
      <c r="I155" s="128" t="s">
        <v>369</v>
      </c>
      <c r="J155" s="129"/>
      <c r="K155" s="129"/>
      <c r="L155" s="130"/>
      <c r="M155" s="129"/>
    </row>
    <row r="156" spans="1:13" ht="13.5" customHeight="1" x14ac:dyDescent="0.15">
      <c r="A156" s="123"/>
      <c r="B156" s="132">
        <v>151</v>
      </c>
      <c r="C156" s="125" t="s">
        <v>367</v>
      </c>
      <c r="D156" s="126" t="s">
        <v>367</v>
      </c>
      <c r="E156" s="125" t="s">
        <v>367</v>
      </c>
      <c r="F156" s="125" t="s">
        <v>367</v>
      </c>
      <c r="G156" s="125">
        <v>0</v>
      </c>
      <c r="H156" s="127"/>
      <c r="I156" s="128" t="s">
        <v>369</v>
      </c>
      <c r="J156" s="129"/>
      <c r="K156" s="129"/>
      <c r="L156" s="130"/>
      <c r="M156" s="129"/>
    </row>
    <row r="157" spans="1:13" ht="13.5" customHeight="1" x14ac:dyDescent="0.15">
      <c r="A157" s="123"/>
      <c r="B157" s="132">
        <v>152</v>
      </c>
      <c r="C157" s="125" t="s">
        <v>367</v>
      </c>
      <c r="D157" s="126" t="s">
        <v>367</v>
      </c>
      <c r="E157" s="125" t="s">
        <v>367</v>
      </c>
      <c r="F157" s="125" t="s">
        <v>367</v>
      </c>
      <c r="G157" s="125">
        <v>0</v>
      </c>
      <c r="H157" s="127"/>
      <c r="I157" s="128" t="s">
        <v>369</v>
      </c>
      <c r="J157" s="129"/>
      <c r="K157" s="129"/>
      <c r="L157" s="130"/>
      <c r="M157" s="129"/>
    </row>
    <row r="158" spans="1:13" ht="13.5" customHeight="1" x14ac:dyDescent="0.15">
      <c r="A158" s="123"/>
      <c r="B158" s="132">
        <v>153</v>
      </c>
      <c r="C158" s="125" t="s">
        <v>367</v>
      </c>
      <c r="D158" s="126" t="s">
        <v>367</v>
      </c>
      <c r="E158" s="125" t="s">
        <v>367</v>
      </c>
      <c r="F158" s="125" t="s">
        <v>367</v>
      </c>
      <c r="G158" s="125">
        <v>0</v>
      </c>
      <c r="H158" s="127"/>
      <c r="I158" s="128" t="s">
        <v>369</v>
      </c>
      <c r="J158" s="129"/>
      <c r="K158" s="129"/>
      <c r="L158" s="130"/>
      <c r="M158" s="129"/>
    </row>
    <row r="159" spans="1:13" ht="13.5" customHeight="1" x14ac:dyDescent="0.15">
      <c r="A159" s="123"/>
      <c r="B159" s="132">
        <v>154</v>
      </c>
      <c r="C159" s="125" t="s">
        <v>367</v>
      </c>
      <c r="D159" s="126" t="s">
        <v>367</v>
      </c>
      <c r="E159" s="125" t="s">
        <v>367</v>
      </c>
      <c r="F159" s="125" t="s">
        <v>367</v>
      </c>
      <c r="G159" s="125">
        <v>0</v>
      </c>
      <c r="H159" s="127"/>
      <c r="I159" s="128" t="s">
        <v>369</v>
      </c>
      <c r="J159" s="129"/>
      <c r="K159" s="129"/>
      <c r="L159" s="130"/>
      <c r="M159" s="129"/>
    </row>
    <row r="160" spans="1:13" ht="13.5" customHeight="1" x14ac:dyDescent="0.15">
      <c r="A160" s="123"/>
      <c r="B160" s="132">
        <v>155</v>
      </c>
      <c r="C160" s="125" t="s">
        <v>367</v>
      </c>
      <c r="D160" s="126" t="s">
        <v>367</v>
      </c>
      <c r="E160" s="125" t="s">
        <v>367</v>
      </c>
      <c r="F160" s="125" t="s">
        <v>367</v>
      </c>
      <c r="G160" s="125">
        <v>0</v>
      </c>
      <c r="H160" s="127"/>
      <c r="I160" s="128" t="s">
        <v>369</v>
      </c>
      <c r="J160" s="129"/>
      <c r="K160" s="129"/>
      <c r="L160" s="130"/>
      <c r="M160" s="129"/>
    </row>
    <row r="161" spans="1:13" ht="13.5" customHeight="1" x14ac:dyDescent="0.15">
      <c r="A161" s="123"/>
      <c r="B161" s="132">
        <v>156</v>
      </c>
      <c r="C161" s="125" t="s">
        <v>367</v>
      </c>
      <c r="D161" s="126" t="s">
        <v>367</v>
      </c>
      <c r="E161" s="125" t="s">
        <v>367</v>
      </c>
      <c r="F161" s="125" t="s">
        <v>367</v>
      </c>
      <c r="G161" s="125">
        <v>0</v>
      </c>
      <c r="H161" s="127"/>
      <c r="I161" s="128" t="s">
        <v>369</v>
      </c>
      <c r="J161" s="129"/>
      <c r="K161" s="129"/>
      <c r="L161" s="130"/>
      <c r="M161" s="129"/>
    </row>
    <row r="162" spans="1:13" ht="13.5" customHeight="1" x14ac:dyDescent="0.15">
      <c r="A162" s="123"/>
      <c r="B162" s="132">
        <v>157</v>
      </c>
      <c r="C162" s="125" t="s">
        <v>367</v>
      </c>
      <c r="D162" s="126" t="s">
        <v>367</v>
      </c>
      <c r="E162" s="125" t="s">
        <v>367</v>
      </c>
      <c r="F162" s="125" t="s">
        <v>367</v>
      </c>
      <c r="G162" s="125">
        <v>0</v>
      </c>
      <c r="H162" s="127"/>
      <c r="I162" s="128" t="s">
        <v>369</v>
      </c>
      <c r="J162" s="129"/>
      <c r="K162" s="129"/>
      <c r="L162" s="130"/>
      <c r="M162" s="129"/>
    </row>
    <row r="163" spans="1:13" ht="13.5" customHeight="1" x14ac:dyDescent="0.15">
      <c r="A163" s="123"/>
      <c r="B163" s="132">
        <v>158</v>
      </c>
      <c r="C163" s="125" t="s">
        <v>367</v>
      </c>
      <c r="D163" s="126" t="s">
        <v>367</v>
      </c>
      <c r="E163" s="125" t="s">
        <v>367</v>
      </c>
      <c r="F163" s="125" t="s">
        <v>367</v>
      </c>
      <c r="G163" s="125">
        <v>0</v>
      </c>
      <c r="H163" s="127"/>
      <c r="I163" s="128" t="s">
        <v>369</v>
      </c>
      <c r="J163" s="129"/>
      <c r="K163" s="129"/>
      <c r="L163" s="130"/>
      <c r="M163" s="129"/>
    </row>
    <row r="164" spans="1:13" ht="13.5" customHeight="1" x14ac:dyDescent="0.15">
      <c r="A164" s="123"/>
      <c r="B164" s="132">
        <v>159</v>
      </c>
      <c r="C164" s="125" t="s">
        <v>367</v>
      </c>
      <c r="D164" s="126" t="s">
        <v>367</v>
      </c>
      <c r="E164" s="125" t="s">
        <v>367</v>
      </c>
      <c r="F164" s="125" t="s">
        <v>367</v>
      </c>
      <c r="G164" s="125">
        <v>0</v>
      </c>
      <c r="H164" s="127"/>
      <c r="I164" s="128" t="s">
        <v>369</v>
      </c>
      <c r="J164" s="129"/>
      <c r="K164" s="129"/>
      <c r="L164" s="130"/>
      <c r="M164" s="129"/>
    </row>
    <row r="165" spans="1:13" ht="13.5" customHeight="1" x14ac:dyDescent="0.15">
      <c r="A165" s="123"/>
      <c r="B165" s="132">
        <v>160</v>
      </c>
      <c r="C165" s="125" t="s">
        <v>367</v>
      </c>
      <c r="D165" s="126" t="s">
        <v>367</v>
      </c>
      <c r="E165" s="125" t="s">
        <v>367</v>
      </c>
      <c r="F165" s="125" t="s">
        <v>367</v>
      </c>
      <c r="G165" s="125">
        <v>0</v>
      </c>
      <c r="H165" s="127"/>
      <c r="I165" s="128" t="s">
        <v>369</v>
      </c>
      <c r="J165" s="129"/>
      <c r="K165" s="129"/>
      <c r="L165" s="130"/>
      <c r="M165" s="129"/>
    </row>
    <row r="166" spans="1:13" ht="13.5" customHeight="1" x14ac:dyDescent="0.15">
      <c r="A166" s="123"/>
      <c r="B166" s="132">
        <v>161</v>
      </c>
      <c r="C166" s="125" t="s">
        <v>367</v>
      </c>
      <c r="D166" s="126" t="s">
        <v>367</v>
      </c>
      <c r="E166" s="125" t="s">
        <v>367</v>
      </c>
      <c r="F166" s="125" t="s">
        <v>367</v>
      </c>
      <c r="G166" s="125">
        <v>0</v>
      </c>
      <c r="H166" s="127"/>
      <c r="I166" s="128" t="s">
        <v>369</v>
      </c>
      <c r="J166" s="129"/>
      <c r="K166" s="129"/>
      <c r="L166" s="130"/>
      <c r="M166" s="129"/>
    </row>
    <row r="167" spans="1:13" ht="13.5" customHeight="1" x14ac:dyDescent="0.15">
      <c r="A167" s="123"/>
      <c r="B167" s="132">
        <v>162</v>
      </c>
      <c r="C167" s="125" t="s">
        <v>367</v>
      </c>
      <c r="D167" s="126" t="s">
        <v>367</v>
      </c>
      <c r="E167" s="125" t="s">
        <v>367</v>
      </c>
      <c r="F167" s="125" t="s">
        <v>367</v>
      </c>
      <c r="G167" s="125">
        <v>0</v>
      </c>
      <c r="H167" s="127"/>
      <c r="I167" s="128" t="s">
        <v>369</v>
      </c>
      <c r="J167" s="129"/>
      <c r="K167" s="129"/>
      <c r="L167" s="130"/>
      <c r="M167" s="129"/>
    </row>
    <row r="168" spans="1:13" ht="13.5" customHeight="1" x14ac:dyDescent="0.15">
      <c r="A168" s="123"/>
      <c r="B168" s="132">
        <v>163</v>
      </c>
      <c r="C168" s="125" t="s">
        <v>367</v>
      </c>
      <c r="D168" s="126" t="s">
        <v>367</v>
      </c>
      <c r="E168" s="125" t="s">
        <v>367</v>
      </c>
      <c r="F168" s="125" t="s">
        <v>367</v>
      </c>
      <c r="G168" s="125">
        <v>0</v>
      </c>
      <c r="H168" s="127"/>
      <c r="I168" s="128" t="s">
        <v>369</v>
      </c>
      <c r="J168" s="129"/>
      <c r="K168" s="129"/>
      <c r="L168" s="130"/>
      <c r="M168" s="129"/>
    </row>
    <row r="169" spans="1:13" ht="13.5" customHeight="1" x14ac:dyDescent="0.15">
      <c r="A169" s="123"/>
      <c r="B169" s="132">
        <v>164</v>
      </c>
      <c r="C169" s="125" t="s">
        <v>367</v>
      </c>
      <c r="D169" s="126" t="s">
        <v>367</v>
      </c>
      <c r="E169" s="125" t="s">
        <v>367</v>
      </c>
      <c r="F169" s="125" t="s">
        <v>367</v>
      </c>
      <c r="G169" s="125">
        <v>0</v>
      </c>
      <c r="H169" s="127"/>
      <c r="I169" s="128" t="s">
        <v>369</v>
      </c>
      <c r="J169" s="129"/>
      <c r="K169" s="129"/>
      <c r="L169" s="130"/>
      <c r="M169" s="129"/>
    </row>
    <row r="170" spans="1:13" ht="13.5" customHeight="1" x14ac:dyDescent="0.15">
      <c r="A170" s="123"/>
      <c r="B170" s="132">
        <v>165</v>
      </c>
      <c r="C170" s="125" t="s">
        <v>367</v>
      </c>
      <c r="D170" s="126" t="s">
        <v>367</v>
      </c>
      <c r="E170" s="125" t="s">
        <v>367</v>
      </c>
      <c r="F170" s="125" t="s">
        <v>367</v>
      </c>
      <c r="G170" s="125">
        <v>0</v>
      </c>
      <c r="H170" s="127"/>
      <c r="I170" s="128" t="s">
        <v>369</v>
      </c>
      <c r="J170" s="129"/>
      <c r="K170" s="129"/>
      <c r="L170" s="130"/>
      <c r="M170" s="129"/>
    </row>
    <row r="171" spans="1:13" ht="13.5" customHeight="1" x14ac:dyDescent="0.15">
      <c r="A171" s="123"/>
      <c r="B171" s="132">
        <v>166</v>
      </c>
      <c r="C171" s="125" t="s">
        <v>367</v>
      </c>
      <c r="D171" s="126" t="s">
        <v>367</v>
      </c>
      <c r="E171" s="125" t="s">
        <v>367</v>
      </c>
      <c r="F171" s="125" t="s">
        <v>367</v>
      </c>
      <c r="G171" s="125">
        <v>0</v>
      </c>
      <c r="H171" s="127"/>
      <c r="I171" s="128" t="s">
        <v>369</v>
      </c>
      <c r="J171" s="129"/>
      <c r="K171" s="129"/>
      <c r="L171" s="130"/>
      <c r="M171" s="129"/>
    </row>
    <row r="172" spans="1:13" ht="13.5" customHeight="1" x14ac:dyDescent="0.15">
      <c r="A172" s="123"/>
      <c r="B172" s="132">
        <v>167</v>
      </c>
      <c r="C172" s="125" t="s">
        <v>367</v>
      </c>
      <c r="D172" s="126" t="s">
        <v>367</v>
      </c>
      <c r="E172" s="125" t="s">
        <v>367</v>
      </c>
      <c r="F172" s="125" t="s">
        <v>367</v>
      </c>
      <c r="G172" s="125">
        <v>0</v>
      </c>
      <c r="H172" s="127"/>
      <c r="I172" s="128" t="s">
        <v>369</v>
      </c>
      <c r="J172" s="129"/>
      <c r="K172" s="129"/>
      <c r="L172" s="130"/>
      <c r="M172" s="129"/>
    </row>
    <row r="173" spans="1:13" ht="13.5" customHeight="1" x14ac:dyDescent="0.15">
      <c r="A173" s="123"/>
      <c r="B173" s="132">
        <v>168</v>
      </c>
      <c r="C173" s="125" t="s">
        <v>367</v>
      </c>
      <c r="D173" s="126" t="s">
        <v>367</v>
      </c>
      <c r="E173" s="125" t="s">
        <v>367</v>
      </c>
      <c r="F173" s="125" t="s">
        <v>367</v>
      </c>
      <c r="G173" s="125">
        <v>0</v>
      </c>
      <c r="H173" s="127"/>
      <c r="I173" s="128" t="s">
        <v>369</v>
      </c>
      <c r="J173" s="129"/>
      <c r="K173" s="129"/>
      <c r="L173" s="130"/>
      <c r="M173" s="129"/>
    </row>
    <row r="174" spans="1:13" ht="13.5" customHeight="1" x14ac:dyDescent="0.15">
      <c r="A174" s="123"/>
      <c r="B174" s="132">
        <v>169</v>
      </c>
      <c r="C174" s="125" t="s">
        <v>367</v>
      </c>
      <c r="D174" s="126" t="s">
        <v>367</v>
      </c>
      <c r="E174" s="125" t="s">
        <v>367</v>
      </c>
      <c r="F174" s="125" t="s">
        <v>367</v>
      </c>
      <c r="G174" s="125">
        <v>0</v>
      </c>
      <c r="H174" s="127"/>
      <c r="I174" s="128" t="s">
        <v>369</v>
      </c>
      <c r="J174" s="129"/>
      <c r="K174" s="129"/>
      <c r="L174" s="130"/>
      <c r="M174" s="129"/>
    </row>
    <row r="175" spans="1:13" ht="13.5" customHeight="1" x14ac:dyDescent="0.15">
      <c r="A175" s="123"/>
      <c r="B175" s="132">
        <v>170</v>
      </c>
      <c r="C175" s="125" t="s">
        <v>367</v>
      </c>
      <c r="D175" s="126" t="s">
        <v>367</v>
      </c>
      <c r="E175" s="125" t="s">
        <v>367</v>
      </c>
      <c r="F175" s="125" t="s">
        <v>367</v>
      </c>
      <c r="G175" s="125">
        <v>0</v>
      </c>
      <c r="H175" s="127"/>
      <c r="I175" s="128" t="s">
        <v>369</v>
      </c>
      <c r="J175" s="129"/>
      <c r="K175" s="129"/>
      <c r="L175" s="130"/>
      <c r="M175" s="129"/>
    </row>
    <row r="176" spans="1:13" ht="13.5" customHeight="1" x14ac:dyDescent="0.15">
      <c r="A176" s="123"/>
      <c r="B176" s="132">
        <v>171</v>
      </c>
      <c r="C176" s="125" t="s">
        <v>367</v>
      </c>
      <c r="D176" s="126" t="s">
        <v>367</v>
      </c>
      <c r="E176" s="125" t="s">
        <v>367</v>
      </c>
      <c r="F176" s="125" t="s">
        <v>367</v>
      </c>
      <c r="G176" s="125">
        <v>0</v>
      </c>
      <c r="H176" s="127"/>
      <c r="I176" s="128" t="s">
        <v>369</v>
      </c>
      <c r="J176" s="129"/>
      <c r="K176" s="129"/>
      <c r="L176" s="130"/>
      <c r="M176" s="129"/>
    </row>
    <row r="177" spans="1:13" ht="13.5" customHeight="1" x14ac:dyDescent="0.15">
      <c r="A177" s="123"/>
      <c r="B177" s="132">
        <v>172</v>
      </c>
      <c r="C177" s="125" t="s">
        <v>367</v>
      </c>
      <c r="D177" s="126" t="s">
        <v>367</v>
      </c>
      <c r="E177" s="125" t="s">
        <v>367</v>
      </c>
      <c r="F177" s="125" t="s">
        <v>367</v>
      </c>
      <c r="G177" s="125">
        <v>0</v>
      </c>
      <c r="H177" s="127"/>
      <c r="I177" s="128" t="s">
        <v>369</v>
      </c>
      <c r="J177" s="129"/>
      <c r="K177" s="129"/>
      <c r="L177" s="130"/>
      <c r="M177" s="129"/>
    </row>
    <row r="178" spans="1:13" ht="13.5" customHeight="1" x14ac:dyDescent="0.15">
      <c r="A178" s="123"/>
      <c r="B178" s="132">
        <v>173</v>
      </c>
      <c r="C178" s="125" t="s">
        <v>367</v>
      </c>
      <c r="D178" s="126" t="s">
        <v>367</v>
      </c>
      <c r="E178" s="125" t="s">
        <v>367</v>
      </c>
      <c r="F178" s="125" t="s">
        <v>367</v>
      </c>
      <c r="G178" s="125">
        <v>0</v>
      </c>
      <c r="H178" s="127"/>
      <c r="I178" s="128" t="s">
        <v>369</v>
      </c>
      <c r="J178" s="129"/>
      <c r="K178" s="129"/>
      <c r="L178" s="130"/>
      <c r="M178" s="129"/>
    </row>
    <row r="179" spans="1:13" ht="13.5" customHeight="1" x14ac:dyDescent="0.15">
      <c r="A179" s="123"/>
      <c r="B179" s="132">
        <v>174</v>
      </c>
      <c r="C179" s="125" t="s">
        <v>367</v>
      </c>
      <c r="D179" s="126" t="s">
        <v>367</v>
      </c>
      <c r="E179" s="125" t="s">
        <v>367</v>
      </c>
      <c r="F179" s="125" t="s">
        <v>367</v>
      </c>
      <c r="G179" s="125">
        <v>0</v>
      </c>
      <c r="H179" s="127"/>
      <c r="I179" s="128" t="s">
        <v>369</v>
      </c>
      <c r="J179" s="129"/>
      <c r="K179" s="129"/>
      <c r="L179" s="130"/>
      <c r="M179" s="129"/>
    </row>
    <row r="180" spans="1:13" ht="13.5" customHeight="1" x14ac:dyDescent="0.15">
      <c r="A180" s="123"/>
      <c r="B180" s="132">
        <v>175</v>
      </c>
      <c r="C180" s="125" t="s">
        <v>367</v>
      </c>
      <c r="D180" s="126" t="s">
        <v>367</v>
      </c>
      <c r="E180" s="125" t="s">
        <v>367</v>
      </c>
      <c r="F180" s="125" t="s">
        <v>367</v>
      </c>
      <c r="G180" s="125">
        <v>0</v>
      </c>
      <c r="H180" s="127"/>
      <c r="I180" s="128" t="s">
        <v>369</v>
      </c>
      <c r="J180" s="129"/>
      <c r="K180" s="129"/>
      <c r="L180" s="130"/>
      <c r="M180" s="129"/>
    </row>
    <row r="181" spans="1:13" ht="13.5" customHeight="1" x14ac:dyDescent="0.15">
      <c r="A181" s="123"/>
      <c r="B181" s="132">
        <v>176</v>
      </c>
      <c r="C181" s="125" t="s">
        <v>367</v>
      </c>
      <c r="D181" s="126" t="s">
        <v>367</v>
      </c>
      <c r="E181" s="125" t="s">
        <v>367</v>
      </c>
      <c r="F181" s="125" t="s">
        <v>367</v>
      </c>
      <c r="G181" s="125">
        <v>0</v>
      </c>
      <c r="H181" s="127"/>
      <c r="I181" s="128" t="s">
        <v>369</v>
      </c>
      <c r="J181" s="129"/>
      <c r="K181" s="129"/>
      <c r="L181" s="130"/>
      <c r="M181" s="129"/>
    </row>
    <row r="182" spans="1:13" ht="13.5" customHeight="1" x14ac:dyDescent="0.15">
      <c r="A182" s="123"/>
      <c r="B182" s="132">
        <v>177</v>
      </c>
      <c r="C182" s="125" t="s">
        <v>367</v>
      </c>
      <c r="D182" s="126" t="s">
        <v>367</v>
      </c>
      <c r="E182" s="125" t="s">
        <v>367</v>
      </c>
      <c r="F182" s="125" t="s">
        <v>367</v>
      </c>
      <c r="G182" s="125">
        <v>0</v>
      </c>
      <c r="H182" s="127"/>
      <c r="I182" s="128" t="s">
        <v>369</v>
      </c>
      <c r="J182" s="129"/>
      <c r="K182" s="129"/>
      <c r="L182" s="130"/>
      <c r="M182" s="129"/>
    </row>
    <row r="183" spans="1:13" ht="13.5" customHeight="1" x14ac:dyDescent="0.15">
      <c r="A183" s="123"/>
      <c r="B183" s="132">
        <v>178</v>
      </c>
      <c r="C183" s="125" t="s">
        <v>367</v>
      </c>
      <c r="D183" s="126" t="s">
        <v>367</v>
      </c>
      <c r="E183" s="125" t="s">
        <v>367</v>
      </c>
      <c r="F183" s="125" t="s">
        <v>367</v>
      </c>
      <c r="G183" s="125">
        <v>0</v>
      </c>
      <c r="H183" s="127"/>
      <c r="I183" s="128" t="s">
        <v>369</v>
      </c>
      <c r="J183" s="129"/>
      <c r="K183" s="129"/>
      <c r="L183" s="130"/>
      <c r="M183" s="129"/>
    </row>
    <row r="184" spans="1:13" ht="13.5" customHeight="1" x14ac:dyDescent="0.15">
      <c r="A184" s="123"/>
      <c r="B184" s="132">
        <v>179</v>
      </c>
      <c r="C184" s="125" t="s">
        <v>367</v>
      </c>
      <c r="D184" s="126" t="s">
        <v>367</v>
      </c>
      <c r="E184" s="125" t="s">
        <v>367</v>
      </c>
      <c r="F184" s="125" t="s">
        <v>367</v>
      </c>
      <c r="G184" s="125">
        <v>0</v>
      </c>
      <c r="H184" s="127"/>
      <c r="I184" s="128" t="s">
        <v>369</v>
      </c>
      <c r="J184" s="129"/>
      <c r="K184" s="129"/>
      <c r="L184" s="130"/>
      <c r="M184" s="129"/>
    </row>
    <row r="185" spans="1:13" ht="13.5" customHeight="1" x14ac:dyDescent="0.15">
      <c r="A185" s="123"/>
      <c r="B185" s="132">
        <v>180</v>
      </c>
      <c r="C185" s="125" t="s">
        <v>367</v>
      </c>
      <c r="D185" s="126" t="s">
        <v>367</v>
      </c>
      <c r="E185" s="125" t="s">
        <v>367</v>
      </c>
      <c r="F185" s="125" t="s">
        <v>367</v>
      </c>
      <c r="G185" s="125">
        <v>0</v>
      </c>
      <c r="H185" s="127"/>
      <c r="I185" s="128" t="s">
        <v>369</v>
      </c>
      <c r="J185" s="129"/>
      <c r="K185" s="129"/>
      <c r="L185" s="130"/>
      <c r="M185" s="129"/>
    </row>
    <row r="186" spans="1:13" ht="13.5" customHeight="1" x14ac:dyDescent="0.15">
      <c r="A186" s="123"/>
      <c r="B186" s="132">
        <v>181</v>
      </c>
      <c r="C186" s="125" t="s">
        <v>367</v>
      </c>
      <c r="D186" s="126" t="s">
        <v>367</v>
      </c>
      <c r="E186" s="125" t="s">
        <v>367</v>
      </c>
      <c r="F186" s="125" t="s">
        <v>367</v>
      </c>
      <c r="G186" s="125">
        <v>0</v>
      </c>
      <c r="H186" s="127"/>
      <c r="I186" s="128" t="s">
        <v>369</v>
      </c>
      <c r="J186" s="129"/>
      <c r="K186" s="129"/>
      <c r="L186" s="130"/>
      <c r="M186" s="129"/>
    </row>
    <row r="187" spans="1:13" ht="13.5" customHeight="1" x14ac:dyDescent="0.15">
      <c r="A187" s="123"/>
      <c r="B187" s="132">
        <v>182</v>
      </c>
      <c r="C187" s="125" t="s">
        <v>367</v>
      </c>
      <c r="D187" s="126" t="s">
        <v>367</v>
      </c>
      <c r="E187" s="125" t="s">
        <v>367</v>
      </c>
      <c r="F187" s="125" t="s">
        <v>367</v>
      </c>
      <c r="G187" s="125">
        <v>0</v>
      </c>
      <c r="H187" s="127"/>
      <c r="I187" s="128" t="s">
        <v>369</v>
      </c>
      <c r="J187" s="129"/>
      <c r="K187" s="129"/>
      <c r="L187" s="130"/>
      <c r="M187" s="129"/>
    </row>
    <row r="188" spans="1:13" ht="13.5" customHeight="1" x14ac:dyDescent="0.15">
      <c r="A188" s="123"/>
      <c r="B188" s="132">
        <v>183</v>
      </c>
      <c r="C188" s="125" t="s">
        <v>367</v>
      </c>
      <c r="D188" s="126" t="s">
        <v>367</v>
      </c>
      <c r="E188" s="125" t="s">
        <v>367</v>
      </c>
      <c r="F188" s="125" t="s">
        <v>367</v>
      </c>
      <c r="G188" s="125">
        <v>0</v>
      </c>
      <c r="H188" s="127"/>
      <c r="I188" s="128" t="s">
        <v>369</v>
      </c>
      <c r="J188" s="129"/>
      <c r="K188" s="129"/>
      <c r="L188" s="130"/>
      <c r="M188" s="129"/>
    </row>
    <row r="189" spans="1:13" ht="13.5" customHeight="1" x14ac:dyDescent="0.15">
      <c r="A189" s="123"/>
      <c r="B189" s="132">
        <v>184</v>
      </c>
      <c r="C189" s="125" t="s">
        <v>367</v>
      </c>
      <c r="D189" s="126" t="s">
        <v>367</v>
      </c>
      <c r="E189" s="125" t="s">
        <v>367</v>
      </c>
      <c r="F189" s="125" t="s">
        <v>367</v>
      </c>
      <c r="G189" s="125">
        <v>0</v>
      </c>
      <c r="H189" s="127"/>
      <c r="I189" s="128" t="s">
        <v>369</v>
      </c>
      <c r="J189" s="129"/>
      <c r="K189" s="129"/>
      <c r="L189" s="130"/>
      <c r="M189" s="129"/>
    </row>
    <row r="190" spans="1:13" ht="13.5" customHeight="1" x14ac:dyDescent="0.15">
      <c r="A190" s="123"/>
      <c r="B190" s="132">
        <v>185</v>
      </c>
      <c r="C190" s="125" t="s">
        <v>367</v>
      </c>
      <c r="D190" s="126" t="s">
        <v>367</v>
      </c>
      <c r="E190" s="125" t="s">
        <v>367</v>
      </c>
      <c r="F190" s="125" t="s">
        <v>367</v>
      </c>
      <c r="G190" s="125">
        <v>0</v>
      </c>
      <c r="H190" s="127"/>
      <c r="I190" s="128" t="s">
        <v>369</v>
      </c>
      <c r="J190" s="129"/>
      <c r="K190" s="129"/>
      <c r="L190" s="130"/>
      <c r="M190" s="129"/>
    </row>
    <row r="191" spans="1:13" ht="13.5" customHeight="1" x14ac:dyDescent="0.15">
      <c r="A191" s="123"/>
      <c r="B191" s="132">
        <v>186</v>
      </c>
      <c r="C191" s="125" t="s">
        <v>367</v>
      </c>
      <c r="D191" s="126" t="s">
        <v>367</v>
      </c>
      <c r="E191" s="125" t="s">
        <v>367</v>
      </c>
      <c r="F191" s="125" t="s">
        <v>367</v>
      </c>
      <c r="G191" s="125">
        <v>0</v>
      </c>
      <c r="H191" s="127"/>
      <c r="I191" s="128" t="s">
        <v>369</v>
      </c>
      <c r="J191" s="129"/>
      <c r="K191" s="129"/>
      <c r="L191" s="130"/>
      <c r="M191" s="129"/>
    </row>
    <row r="192" spans="1:13" ht="13.5" customHeight="1" x14ac:dyDescent="0.15">
      <c r="A192" s="123"/>
      <c r="B192" s="132">
        <v>187</v>
      </c>
      <c r="C192" s="125" t="s">
        <v>367</v>
      </c>
      <c r="D192" s="126" t="s">
        <v>367</v>
      </c>
      <c r="E192" s="125" t="s">
        <v>367</v>
      </c>
      <c r="F192" s="125" t="s">
        <v>367</v>
      </c>
      <c r="G192" s="125">
        <v>0</v>
      </c>
      <c r="H192" s="127"/>
      <c r="I192" s="128" t="s">
        <v>369</v>
      </c>
      <c r="J192" s="129"/>
      <c r="K192" s="129"/>
      <c r="L192" s="130"/>
      <c r="M192" s="129"/>
    </row>
    <row r="193" spans="1:13" ht="13.5" customHeight="1" x14ac:dyDescent="0.15">
      <c r="A193" s="123"/>
      <c r="B193" s="132">
        <v>188</v>
      </c>
      <c r="C193" s="125" t="s">
        <v>367</v>
      </c>
      <c r="D193" s="126" t="s">
        <v>367</v>
      </c>
      <c r="E193" s="125" t="s">
        <v>367</v>
      </c>
      <c r="F193" s="125" t="s">
        <v>367</v>
      </c>
      <c r="G193" s="125">
        <v>0</v>
      </c>
      <c r="H193" s="127"/>
      <c r="I193" s="128" t="s">
        <v>369</v>
      </c>
      <c r="J193" s="129"/>
      <c r="K193" s="129"/>
      <c r="L193" s="130"/>
      <c r="M193" s="129"/>
    </row>
    <row r="194" spans="1:13" ht="13.5" customHeight="1" x14ac:dyDescent="0.15">
      <c r="A194" s="123"/>
      <c r="B194" s="132">
        <v>189</v>
      </c>
      <c r="C194" s="125" t="s">
        <v>367</v>
      </c>
      <c r="D194" s="126" t="s">
        <v>367</v>
      </c>
      <c r="E194" s="125" t="s">
        <v>367</v>
      </c>
      <c r="F194" s="125" t="s">
        <v>367</v>
      </c>
      <c r="G194" s="125">
        <v>0</v>
      </c>
      <c r="H194" s="127"/>
      <c r="I194" s="128" t="s">
        <v>369</v>
      </c>
      <c r="J194" s="129"/>
      <c r="K194" s="129"/>
      <c r="L194" s="130"/>
      <c r="M194" s="129"/>
    </row>
    <row r="195" spans="1:13" ht="13.5" customHeight="1" x14ac:dyDescent="0.15">
      <c r="A195" s="123"/>
      <c r="B195" s="132">
        <v>190</v>
      </c>
      <c r="C195" s="125" t="s">
        <v>367</v>
      </c>
      <c r="D195" s="126" t="s">
        <v>367</v>
      </c>
      <c r="E195" s="125" t="s">
        <v>367</v>
      </c>
      <c r="F195" s="125" t="s">
        <v>367</v>
      </c>
      <c r="G195" s="125">
        <v>0</v>
      </c>
      <c r="H195" s="127"/>
      <c r="I195" s="128" t="s">
        <v>369</v>
      </c>
      <c r="J195" s="129"/>
      <c r="K195" s="129"/>
      <c r="L195" s="130"/>
      <c r="M195" s="129"/>
    </row>
    <row r="196" spans="1:13" ht="13.5" customHeight="1" x14ac:dyDescent="0.15">
      <c r="A196" s="123"/>
      <c r="B196" s="132">
        <v>191</v>
      </c>
      <c r="C196" s="125" t="s">
        <v>367</v>
      </c>
      <c r="D196" s="126" t="s">
        <v>367</v>
      </c>
      <c r="E196" s="125" t="s">
        <v>367</v>
      </c>
      <c r="F196" s="125" t="s">
        <v>367</v>
      </c>
      <c r="G196" s="125">
        <v>0</v>
      </c>
      <c r="H196" s="127"/>
      <c r="I196" s="128" t="s">
        <v>369</v>
      </c>
      <c r="J196" s="129"/>
      <c r="K196" s="129"/>
      <c r="L196" s="130"/>
      <c r="M196" s="129"/>
    </row>
    <row r="197" spans="1:13" ht="13.5" customHeight="1" x14ac:dyDescent="0.15">
      <c r="A197" s="123"/>
      <c r="B197" s="132">
        <v>192</v>
      </c>
      <c r="C197" s="125" t="s">
        <v>367</v>
      </c>
      <c r="D197" s="126" t="s">
        <v>367</v>
      </c>
      <c r="E197" s="125" t="s">
        <v>367</v>
      </c>
      <c r="F197" s="125" t="s">
        <v>367</v>
      </c>
      <c r="G197" s="125">
        <v>0</v>
      </c>
      <c r="H197" s="127"/>
      <c r="I197" s="128" t="s">
        <v>369</v>
      </c>
      <c r="J197" s="129"/>
      <c r="K197" s="129"/>
      <c r="L197" s="130"/>
      <c r="M197" s="129"/>
    </row>
    <row r="198" spans="1:13" ht="13.5" customHeight="1" x14ac:dyDescent="0.15">
      <c r="A198" s="123"/>
      <c r="B198" s="132">
        <v>193</v>
      </c>
      <c r="C198" s="125" t="s">
        <v>367</v>
      </c>
      <c r="D198" s="126" t="s">
        <v>367</v>
      </c>
      <c r="E198" s="125" t="s">
        <v>367</v>
      </c>
      <c r="F198" s="125" t="s">
        <v>367</v>
      </c>
      <c r="G198" s="125">
        <v>0</v>
      </c>
      <c r="H198" s="127"/>
      <c r="I198" s="128" t="s">
        <v>369</v>
      </c>
      <c r="J198" s="129"/>
      <c r="K198" s="129"/>
      <c r="L198" s="130"/>
      <c r="M198" s="129"/>
    </row>
    <row r="199" spans="1:13" ht="13.5" customHeight="1" x14ac:dyDescent="0.15">
      <c r="A199" s="123"/>
      <c r="B199" s="132">
        <v>194</v>
      </c>
      <c r="C199" s="125" t="s">
        <v>367</v>
      </c>
      <c r="D199" s="126" t="s">
        <v>367</v>
      </c>
      <c r="E199" s="125" t="s">
        <v>367</v>
      </c>
      <c r="F199" s="125" t="s">
        <v>367</v>
      </c>
      <c r="G199" s="125">
        <v>0</v>
      </c>
      <c r="H199" s="127"/>
      <c r="I199" s="128" t="s">
        <v>369</v>
      </c>
      <c r="J199" s="129"/>
      <c r="K199" s="129"/>
      <c r="L199" s="130"/>
      <c r="M199" s="129"/>
    </row>
    <row r="200" spans="1:13" ht="13.5" customHeight="1" x14ac:dyDescent="0.15">
      <c r="A200" s="123"/>
      <c r="B200" s="132">
        <v>195</v>
      </c>
      <c r="C200" s="125" t="s">
        <v>367</v>
      </c>
      <c r="D200" s="126" t="s">
        <v>367</v>
      </c>
      <c r="E200" s="125" t="s">
        <v>367</v>
      </c>
      <c r="F200" s="125" t="s">
        <v>367</v>
      </c>
      <c r="G200" s="125">
        <v>0</v>
      </c>
      <c r="H200" s="127"/>
      <c r="I200" s="128" t="s">
        <v>369</v>
      </c>
      <c r="J200" s="129"/>
      <c r="K200" s="129"/>
      <c r="L200" s="130"/>
      <c r="M200" s="129"/>
    </row>
    <row r="201" spans="1:13" ht="13.5" customHeight="1" x14ac:dyDescent="0.15">
      <c r="A201" s="123"/>
      <c r="B201" s="132">
        <v>196</v>
      </c>
      <c r="C201" s="125" t="s">
        <v>367</v>
      </c>
      <c r="D201" s="126" t="s">
        <v>367</v>
      </c>
      <c r="E201" s="125" t="s">
        <v>367</v>
      </c>
      <c r="F201" s="125" t="s">
        <v>367</v>
      </c>
      <c r="G201" s="125">
        <v>0</v>
      </c>
      <c r="H201" s="127"/>
      <c r="I201" s="128" t="s">
        <v>369</v>
      </c>
      <c r="J201" s="129"/>
      <c r="K201" s="129"/>
      <c r="L201" s="130"/>
      <c r="M201" s="129"/>
    </row>
    <row r="202" spans="1:13" ht="13.5" customHeight="1" x14ac:dyDescent="0.15">
      <c r="A202" s="123"/>
      <c r="B202" s="132">
        <v>197</v>
      </c>
      <c r="C202" s="125" t="s">
        <v>367</v>
      </c>
      <c r="D202" s="126" t="s">
        <v>367</v>
      </c>
      <c r="E202" s="125" t="s">
        <v>367</v>
      </c>
      <c r="F202" s="125" t="s">
        <v>367</v>
      </c>
      <c r="G202" s="125">
        <v>0</v>
      </c>
      <c r="H202" s="127"/>
      <c r="I202" s="128" t="s">
        <v>369</v>
      </c>
      <c r="J202" s="129"/>
      <c r="K202" s="129"/>
      <c r="L202" s="130"/>
      <c r="M202" s="129"/>
    </row>
    <row r="203" spans="1:13" ht="13.5" customHeight="1" x14ac:dyDescent="0.15">
      <c r="A203" s="123"/>
      <c r="B203" s="132">
        <v>198</v>
      </c>
      <c r="C203" s="125" t="s">
        <v>367</v>
      </c>
      <c r="D203" s="126" t="s">
        <v>367</v>
      </c>
      <c r="E203" s="125" t="s">
        <v>367</v>
      </c>
      <c r="F203" s="125" t="s">
        <v>367</v>
      </c>
      <c r="G203" s="125">
        <v>0</v>
      </c>
      <c r="H203" s="127"/>
      <c r="I203" s="128" t="s">
        <v>369</v>
      </c>
      <c r="J203" s="129"/>
      <c r="K203" s="129"/>
      <c r="L203" s="130"/>
      <c r="M203" s="129"/>
    </row>
    <row r="204" spans="1:13" ht="13.5" customHeight="1" x14ac:dyDescent="0.15">
      <c r="A204" s="123"/>
      <c r="B204" s="132">
        <v>199</v>
      </c>
      <c r="C204" s="125" t="s">
        <v>367</v>
      </c>
      <c r="D204" s="126" t="s">
        <v>367</v>
      </c>
      <c r="E204" s="125" t="s">
        <v>367</v>
      </c>
      <c r="F204" s="125" t="s">
        <v>367</v>
      </c>
      <c r="G204" s="125">
        <v>0</v>
      </c>
      <c r="H204" s="127"/>
      <c r="I204" s="128" t="s">
        <v>369</v>
      </c>
      <c r="J204" s="129"/>
      <c r="K204" s="129"/>
      <c r="L204" s="130"/>
      <c r="M204" s="129"/>
    </row>
    <row r="205" spans="1:13" ht="13.5" customHeight="1" x14ac:dyDescent="0.15">
      <c r="A205" s="123"/>
      <c r="B205" s="132">
        <v>200</v>
      </c>
      <c r="C205" s="125" t="s">
        <v>367</v>
      </c>
      <c r="D205" s="126" t="s">
        <v>367</v>
      </c>
      <c r="E205" s="125" t="s">
        <v>367</v>
      </c>
      <c r="F205" s="125" t="s">
        <v>367</v>
      </c>
      <c r="G205" s="125">
        <v>0</v>
      </c>
      <c r="H205" s="127"/>
      <c r="I205" s="128" t="s">
        <v>369</v>
      </c>
      <c r="J205" s="129"/>
      <c r="K205" s="129"/>
      <c r="L205" s="130"/>
      <c r="M205" s="129"/>
    </row>
    <row r="206" spans="1:13" ht="13.5" customHeight="1" x14ac:dyDescent="0.15">
      <c r="A206" s="123"/>
      <c r="B206" s="133"/>
      <c r="C206" s="130"/>
      <c r="D206" s="126" t="s">
        <v>367</v>
      </c>
      <c r="E206" s="130"/>
      <c r="F206" s="130"/>
      <c r="G206" s="130"/>
      <c r="H206" s="130"/>
      <c r="I206" s="130"/>
      <c r="J206" s="129"/>
      <c r="K206" s="129"/>
      <c r="L206" s="130"/>
      <c r="M206" s="129"/>
    </row>
    <row r="207" spans="1:13" ht="13.5" customHeight="1" x14ac:dyDescent="0.15">
      <c r="A207" s="134"/>
      <c r="B207" s="135"/>
      <c r="C207" s="136"/>
      <c r="D207" s="126" t="s">
        <v>367</v>
      </c>
      <c r="E207" s="136"/>
      <c r="F207" s="136"/>
      <c r="G207" s="136"/>
      <c r="H207" s="136"/>
      <c r="I207" s="136"/>
      <c r="J207" s="136"/>
      <c r="K207" s="136"/>
      <c r="L207" s="136"/>
      <c r="M207" s="136"/>
    </row>
    <row r="208" spans="1:13" ht="13.5" customHeight="1" x14ac:dyDescent="0.15">
      <c r="A208" s="134"/>
      <c r="B208" s="135"/>
      <c r="C208" s="136"/>
      <c r="D208" s="126" t="s">
        <v>367</v>
      </c>
      <c r="E208" s="136"/>
      <c r="F208" s="136"/>
      <c r="G208" s="136"/>
      <c r="H208" s="136"/>
      <c r="I208" s="136"/>
      <c r="J208" s="136"/>
      <c r="K208" s="136"/>
      <c r="L208" s="136"/>
      <c r="M208" s="136"/>
    </row>
    <row r="209" spans="1:13" ht="13.5" customHeight="1" x14ac:dyDescent="0.15">
      <c r="A209" s="134"/>
      <c r="B209" s="135"/>
      <c r="C209" s="136"/>
      <c r="D209" s="126" t="s">
        <v>367</v>
      </c>
      <c r="E209" s="136"/>
      <c r="F209" s="136"/>
      <c r="G209" s="136"/>
      <c r="H209" s="136"/>
      <c r="I209" s="136"/>
      <c r="J209" s="136"/>
      <c r="K209" s="136"/>
      <c r="L209" s="136"/>
      <c r="M209" s="136"/>
    </row>
    <row r="210" spans="1:13" ht="13.5" customHeight="1" x14ac:dyDescent="0.15">
      <c r="A210" s="134"/>
      <c r="B210" s="135"/>
      <c r="C210" s="136"/>
      <c r="D210" s="126" t="s">
        <v>367</v>
      </c>
      <c r="E210" s="136"/>
      <c r="F210" s="136"/>
      <c r="G210" s="136"/>
      <c r="H210" s="136"/>
      <c r="I210" s="136"/>
      <c r="J210" s="136"/>
      <c r="K210" s="136"/>
      <c r="L210" s="136"/>
      <c r="M210" s="136"/>
    </row>
    <row r="211" spans="1:13" ht="13.5" customHeight="1" x14ac:dyDescent="0.15">
      <c r="A211" s="134"/>
      <c r="B211" s="135"/>
      <c r="C211" s="136"/>
      <c r="D211" s="126" t="s">
        <v>367</v>
      </c>
      <c r="E211" s="136"/>
      <c r="F211" s="136"/>
      <c r="G211" s="136"/>
      <c r="H211" s="136"/>
      <c r="I211" s="136"/>
      <c r="J211" s="136"/>
      <c r="K211" s="136"/>
      <c r="L211" s="136"/>
      <c r="M211" s="136"/>
    </row>
    <row r="212" spans="1:13" ht="13.5" customHeight="1" x14ac:dyDescent="0.15">
      <c r="A212" s="134"/>
      <c r="B212" s="135"/>
      <c r="C212" s="136"/>
      <c r="D212" s="126" t="s">
        <v>367</v>
      </c>
      <c r="E212" s="136"/>
      <c r="F212" s="136"/>
      <c r="G212" s="136"/>
      <c r="H212" s="136"/>
      <c r="I212" s="136"/>
      <c r="J212" s="136"/>
      <c r="K212" s="136"/>
      <c r="L212" s="136"/>
      <c r="M212" s="136"/>
    </row>
    <row r="213" spans="1:13" ht="13.5" customHeight="1" x14ac:dyDescent="0.15">
      <c r="A213" s="134"/>
      <c r="B213" s="135"/>
      <c r="C213" s="136"/>
      <c r="D213" s="126" t="s">
        <v>367</v>
      </c>
      <c r="E213" s="136"/>
      <c r="F213" s="136"/>
      <c r="G213" s="136"/>
      <c r="H213" s="136"/>
      <c r="I213" s="136"/>
      <c r="J213" s="136"/>
      <c r="K213" s="136"/>
      <c r="L213" s="136"/>
      <c r="M213" s="136"/>
    </row>
    <row r="214" spans="1:13" ht="13.5" customHeight="1" x14ac:dyDescent="0.15">
      <c r="A214" s="134"/>
      <c r="B214" s="135"/>
      <c r="C214" s="136"/>
      <c r="D214" s="126" t="s">
        <v>367</v>
      </c>
      <c r="E214" s="136"/>
      <c r="F214" s="136"/>
      <c r="G214" s="136"/>
      <c r="H214" s="136"/>
      <c r="I214" s="136"/>
      <c r="J214" s="136"/>
      <c r="K214" s="136"/>
      <c r="L214" s="136"/>
      <c r="M214" s="136"/>
    </row>
    <row r="215" spans="1:13" ht="13.5" customHeight="1" x14ac:dyDescent="0.15">
      <c r="A215" s="134"/>
      <c r="B215" s="135"/>
      <c r="C215" s="136"/>
      <c r="D215" s="126" t="s">
        <v>367</v>
      </c>
      <c r="E215" s="136"/>
      <c r="F215" s="136"/>
      <c r="G215" s="136"/>
      <c r="H215" s="136"/>
      <c r="I215" s="136"/>
      <c r="J215" s="136"/>
      <c r="K215" s="136"/>
      <c r="L215" s="136"/>
      <c r="M215" s="136"/>
    </row>
    <row r="216" spans="1:13" ht="13.5" customHeight="1" x14ac:dyDescent="0.15">
      <c r="A216" s="134"/>
      <c r="B216" s="135"/>
      <c r="C216" s="136"/>
      <c r="D216" s="126" t="s">
        <v>367</v>
      </c>
      <c r="E216" s="136"/>
      <c r="F216" s="136"/>
      <c r="G216" s="136"/>
      <c r="H216" s="136"/>
      <c r="I216" s="136"/>
      <c r="J216" s="136"/>
      <c r="K216" s="136"/>
      <c r="L216" s="136"/>
      <c r="M216" s="136"/>
    </row>
    <row r="217" spans="1:13" ht="13.5" customHeight="1" x14ac:dyDescent="0.15">
      <c r="A217" s="134"/>
      <c r="B217" s="135"/>
      <c r="C217" s="136"/>
      <c r="D217" s="126" t="s">
        <v>367</v>
      </c>
      <c r="E217" s="136"/>
      <c r="F217" s="136"/>
      <c r="G217" s="136"/>
      <c r="H217" s="136"/>
      <c r="I217" s="136"/>
      <c r="J217" s="136"/>
      <c r="K217" s="136"/>
      <c r="L217" s="136"/>
      <c r="M217" s="136"/>
    </row>
    <row r="218" spans="1:13" ht="13.5" customHeight="1" x14ac:dyDescent="0.15">
      <c r="A218" s="134"/>
      <c r="B218" s="135"/>
      <c r="C218" s="136"/>
      <c r="D218" s="126" t="s">
        <v>367</v>
      </c>
      <c r="E218" s="136"/>
      <c r="F218" s="136"/>
      <c r="G218" s="136"/>
      <c r="H218" s="136"/>
      <c r="I218" s="136"/>
      <c r="J218" s="136"/>
      <c r="K218" s="136"/>
      <c r="L218" s="136"/>
      <c r="M218" s="136"/>
    </row>
    <row r="219" spans="1:13" ht="13.5" customHeight="1" x14ac:dyDescent="0.15">
      <c r="A219" s="134"/>
      <c r="B219" s="135"/>
      <c r="C219" s="136"/>
      <c r="D219" s="126" t="s">
        <v>367</v>
      </c>
      <c r="E219" s="136"/>
      <c r="F219" s="136"/>
      <c r="G219" s="136"/>
      <c r="H219" s="136"/>
      <c r="I219" s="136"/>
      <c r="J219" s="136"/>
      <c r="K219" s="136"/>
      <c r="L219" s="136"/>
      <c r="M219" s="136"/>
    </row>
    <row r="220" spans="1:13" ht="13.5" customHeight="1" x14ac:dyDescent="0.15">
      <c r="A220" s="134"/>
      <c r="B220" s="135"/>
      <c r="C220" s="136"/>
      <c r="D220" s="126" t="s">
        <v>367</v>
      </c>
      <c r="E220" s="136"/>
      <c r="F220" s="136"/>
      <c r="G220" s="136"/>
      <c r="H220" s="136"/>
      <c r="I220" s="136"/>
      <c r="J220" s="136"/>
      <c r="K220" s="136"/>
      <c r="L220" s="136"/>
      <c r="M220" s="136"/>
    </row>
    <row r="221" spans="1:13" ht="13.5" customHeight="1" x14ac:dyDescent="0.15">
      <c r="A221" s="134"/>
      <c r="B221" s="135"/>
      <c r="C221" s="136"/>
      <c r="D221" s="126" t="s">
        <v>367</v>
      </c>
      <c r="E221" s="136"/>
      <c r="F221" s="136"/>
      <c r="G221" s="136"/>
      <c r="H221" s="136"/>
      <c r="I221" s="136"/>
      <c r="J221" s="136"/>
      <c r="K221" s="136"/>
      <c r="L221" s="136"/>
      <c r="M221" s="136"/>
    </row>
    <row r="222" spans="1:13" ht="13.5" customHeight="1" x14ac:dyDescent="0.15">
      <c r="A222" s="134"/>
      <c r="B222" s="135"/>
      <c r="C222" s="136"/>
      <c r="D222" s="126" t="s">
        <v>367</v>
      </c>
      <c r="E222" s="136"/>
      <c r="F222" s="136"/>
      <c r="G222" s="136"/>
      <c r="H222" s="136"/>
      <c r="I222" s="136"/>
      <c r="J222" s="136"/>
      <c r="K222" s="136"/>
      <c r="L222" s="136"/>
      <c r="M222" s="136"/>
    </row>
    <row r="223" spans="1:13" ht="13.5" customHeight="1" x14ac:dyDescent="0.15">
      <c r="A223" s="134"/>
      <c r="B223" s="135"/>
      <c r="C223" s="136"/>
      <c r="D223" s="126" t="s">
        <v>367</v>
      </c>
      <c r="E223" s="136"/>
      <c r="F223" s="136"/>
      <c r="G223" s="136"/>
      <c r="H223" s="136"/>
      <c r="I223" s="136"/>
      <c r="J223" s="136"/>
      <c r="K223" s="136"/>
      <c r="L223" s="136"/>
      <c r="M223" s="136"/>
    </row>
    <row r="224" spans="1:13" ht="13.5" customHeight="1" x14ac:dyDescent="0.15">
      <c r="A224" s="134"/>
      <c r="B224" s="135"/>
      <c r="C224" s="136"/>
      <c r="D224" s="126" t="s">
        <v>367</v>
      </c>
      <c r="E224" s="136"/>
      <c r="F224" s="136"/>
      <c r="G224" s="136"/>
      <c r="H224" s="136"/>
      <c r="I224" s="136"/>
      <c r="J224" s="136"/>
      <c r="K224" s="136"/>
      <c r="L224" s="136"/>
      <c r="M224" s="136"/>
    </row>
    <row r="225" spans="1:13" ht="13.5" customHeight="1" x14ac:dyDescent="0.15">
      <c r="A225" s="134"/>
      <c r="B225" s="135"/>
      <c r="C225" s="136"/>
      <c r="D225" s="126" t="s">
        <v>367</v>
      </c>
      <c r="E225" s="136"/>
      <c r="F225" s="136"/>
      <c r="G225" s="136"/>
      <c r="H225" s="136"/>
      <c r="I225" s="136"/>
      <c r="J225" s="136"/>
      <c r="K225" s="136"/>
      <c r="L225" s="136"/>
      <c r="M225" s="136"/>
    </row>
    <row r="226" spans="1:13" ht="13.5" customHeight="1" x14ac:dyDescent="0.15">
      <c r="A226" s="134"/>
      <c r="B226" s="135"/>
      <c r="C226" s="136"/>
      <c r="D226" s="126" t="s">
        <v>367</v>
      </c>
      <c r="E226" s="136"/>
      <c r="F226" s="136"/>
      <c r="G226" s="136"/>
      <c r="H226" s="136"/>
      <c r="I226" s="136"/>
      <c r="J226" s="136"/>
      <c r="K226" s="136"/>
      <c r="L226" s="136"/>
      <c r="M226" s="136"/>
    </row>
    <row r="227" spans="1:13" ht="13.5" customHeight="1" x14ac:dyDescent="0.15">
      <c r="A227" s="134"/>
      <c r="B227" s="135"/>
      <c r="C227" s="136"/>
      <c r="D227" s="126" t="s">
        <v>367</v>
      </c>
      <c r="E227" s="136"/>
      <c r="F227" s="136"/>
      <c r="G227" s="136"/>
      <c r="H227" s="136"/>
      <c r="I227" s="136"/>
      <c r="J227" s="136"/>
      <c r="K227" s="136"/>
      <c r="L227" s="136"/>
      <c r="M227" s="136"/>
    </row>
    <row r="228" spans="1:13" ht="13.5" customHeight="1" x14ac:dyDescent="0.15">
      <c r="A228" s="134"/>
      <c r="B228" s="135"/>
      <c r="C228" s="136"/>
      <c r="D228" s="126" t="s">
        <v>367</v>
      </c>
      <c r="E228" s="136"/>
      <c r="F228" s="136"/>
      <c r="G228" s="136"/>
      <c r="H228" s="136"/>
      <c r="I228" s="136"/>
      <c r="J228" s="136"/>
      <c r="K228" s="136"/>
      <c r="L228" s="136"/>
      <c r="M228" s="136"/>
    </row>
    <row r="229" spans="1:13" ht="13.5" customHeight="1" x14ac:dyDescent="0.15">
      <c r="A229" s="134"/>
      <c r="B229" s="135"/>
      <c r="C229" s="136"/>
      <c r="D229" s="126" t="s">
        <v>367</v>
      </c>
      <c r="E229" s="136"/>
      <c r="F229" s="136"/>
      <c r="G229" s="136"/>
      <c r="H229" s="136"/>
      <c r="I229" s="136"/>
      <c r="J229" s="136"/>
      <c r="K229" s="136"/>
      <c r="L229" s="136"/>
      <c r="M229" s="136"/>
    </row>
    <row r="230" spans="1:13" ht="13.5" customHeight="1" x14ac:dyDescent="0.15">
      <c r="A230" s="134"/>
      <c r="B230" s="135"/>
      <c r="C230" s="136"/>
      <c r="D230" s="126" t="s">
        <v>367</v>
      </c>
      <c r="E230" s="136"/>
      <c r="F230" s="136"/>
      <c r="G230" s="136"/>
      <c r="H230" s="136"/>
      <c r="I230" s="136"/>
      <c r="J230" s="136"/>
      <c r="K230" s="136"/>
      <c r="L230" s="136"/>
      <c r="M230" s="136"/>
    </row>
    <row r="231" spans="1:13" ht="13.5" customHeight="1" x14ac:dyDescent="0.15">
      <c r="A231" s="134"/>
      <c r="B231" s="135"/>
      <c r="C231" s="136"/>
      <c r="D231" s="126" t="s">
        <v>367</v>
      </c>
      <c r="E231" s="136"/>
      <c r="F231" s="136"/>
      <c r="G231" s="136"/>
      <c r="H231" s="136"/>
      <c r="I231" s="136"/>
      <c r="J231" s="136"/>
      <c r="K231" s="136"/>
      <c r="L231" s="136"/>
      <c r="M231" s="136"/>
    </row>
    <row r="232" spans="1:13" ht="13.5" customHeight="1" x14ac:dyDescent="0.15">
      <c r="A232" s="134"/>
      <c r="B232" s="135"/>
      <c r="C232" s="136"/>
      <c r="D232" s="126" t="s">
        <v>367</v>
      </c>
      <c r="E232" s="136"/>
      <c r="F232" s="136"/>
      <c r="G232" s="136"/>
      <c r="H232" s="136"/>
      <c r="I232" s="136"/>
      <c r="J232" s="136"/>
      <c r="K232" s="136"/>
      <c r="L232" s="136"/>
      <c r="M232" s="136"/>
    </row>
    <row r="233" spans="1:13" ht="13.5" customHeight="1" x14ac:dyDescent="0.15">
      <c r="A233" s="134"/>
      <c r="B233" s="135"/>
      <c r="C233" s="136"/>
      <c r="D233" s="126" t="s">
        <v>367</v>
      </c>
      <c r="E233" s="136"/>
      <c r="F233" s="136"/>
      <c r="G233" s="136"/>
      <c r="H233" s="136"/>
      <c r="I233" s="136"/>
      <c r="J233" s="136"/>
      <c r="K233" s="136"/>
      <c r="L233" s="136"/>
      <c r="M233" s="136"/>
    </row>
    <row r="234" spans="1:13" ht="13.5" customHeight="1" x14ac:dyDescent="0.15">
      <c r="A234" s="134"/>
      <c r="B234" s="135"/>
      <c r="C234" s="136"/>
      <c r="D234" s="126" t="s">
        <v>367</v>
      </c>
      <c r="E234" s="136"/>
      <c r="F234" s="136"/>
      <c r="G234" s="136"/>
      <c r="H234" s="136"/>
      <c r="I234" s="136"/>
      <c r="J234" s="136"/>
      <c r="K234" s="136"/>
      <c r="L234" s="136"/>
      <c r="M234" s="136"/>
    </row>
    <row r="235" spans="1:13" ht="13.5" customHeight="1" x14ac:dyDescent="0.15">
      <c r="A235" s="134"/>
      <c r="B235" s="135"/>
      <c r="C235" s="136"/>
      <c r="D235" s="126" t="s">
        <v>367</v>
      </c>
      <c r="E235" s="136"/>
      <c r="F235" s="136"/>
      <c r="G235" s="136"/>
      <c r="H235" s="136"/>
      <c r="I235" s="136"/>
      <c r="J235" s="136"/>
      <c r="K235" s="136"/>
      <c r="L235" s="136"/>
      <c r="M235" s="136"/>
    </row>
    <row r="236" spans="1:13" ht="13.5" customHeight="1" x14ac:dyDescent="0.15">
      <c r="A236" s="134"/>
      <c r="B236" s="135"/>
      <c r="C236" s="136"/>
      <c r="D236" s="126" t="s">
        <v>367</v>
      </c>
      <c r="E236" s="136"/>
      <c r="F236" s="136"/>
      <c r="G236" s="136"/>
      <c r="H236" s="136"/>
      <c r="I236" s="136"/>
      <c r="J236" s="136"/>
      <c r="K236" s="136"/>
      <c r="L236" s="136"/>
      <c r="M236" s="136"/>
    </row>
    <row r="237" spans="1:13" ht="13.5" customHeight="1" x14ac:dyDescent="0.15">
      <c r="A237" s="134"/>
      <c r="B237" s="135"/>
      <c r="C237" s="136"/>
      <c r="D237" s="126" t="s">
        <v>367</v>
      </c>
      <c r="E237" s="136"/>
      <c r="F237" s="136"/>
      <c r="G237" s="136"/>
      <c r="H237" s="136"/>
      <c r="I237" s="136"/>
      <c r="J237" s="136"/>
      <c r="K237" s="136"/>
      <c r="L237" s="136"/>
      <c r="M237" s="136"/>
    </row>
    <row r="238" spans="1:13" ht="13.5" customHeight="1" x14ac:dyDescent="0.15">
      <c r="A238" s="134"/>
      <c r="B238" s="135"/>
      <c r="C238" s="136"/>
      <c r="D238" s="126" t="s">
        <v>367</v>
      </c>
      <c r="E238" s="136"/>
      <c r="F238" s="136"/>
      <c r="G238" s="136"/>
      <c r="H238" s="136"/>
      <c r="I238" s="136"/>
      <c r="J238" s="136"/>
      <c r="K238" s="136"/>
      <c r="L238" s="136"/>
      <c r="M238" s="136"/>
    </row>
    <row r="239" spans="1:13" ht="13.5" customHeight="1" x14ac:dyDescent="0.15">
      <c r="A239" s="134"/>
      <c r="B239" s="135"/>
      <c r="C239" s="136"/>
      <c r="D239" s="126" t="s">
        <v>367</v>
      </c>
      <c r="E239" s="136"/>
      <c r="F239" s="136"/>
      <c r="G239" s="136"/>
      <c r="H239" s="136"/>
      <c r="I239" s="136"/>
      <c r="J239" s="136"/>
      <c r="K239" s="136"/>
      <c r="L239" s="136"/>
      <c r="M239" s="136"/>
    </row>
    <row r="240" spans="1:13" ht="13.5" customHeight="1" x14ac:dyDescent="0.15">
      <c r="A240" s="134"/>
      <c r="B240" s="135"/>
      <c r="C240" s="136"/>
      <c r="D240" s="126" t="s">
        <v>367</v>
      </c>
      <c r="E240" s="136"/>
      <c r="F240" s="136"/>
      <c r="G240" s="136"/>
      <c r="H240" s="136"/>
      <c r="I240" s="136"/>
      <c r="J240" s="136"/>
      <c r="K240" s="136"/>
      <c r="L240" s="136"/>
      <c r="M240" s="136"/>
    </row>
    <row r="241" spans="1:13" ht="13.5" customHeight="1" x14ac:dyDescent="0.15">
      <c r="A241" s="134"/>
      <c r="B241" s="135"/>
      <c r="C241" s="136"/>
      <c r="D241" s="126" t="s">
        <v>367</v>
      </c>
      <c r="E241" s="136"/>
      <c r="F241" s="136"/>
      <c r="G241" s="136"/>
      <c r="H241" s="136"/>
      <c r="I241" s="136"/>
      <c r="J241" s="136"/>
      <c r="K241" s="136"/>
      <c r="L241" s="136"/>
      <c r="M241" s="136"/>
    </row>
    <row r="242" spans="1:13" ht="13.5" customHeight="1" x14ac:dyDescent="0.15">
      <c r="A242" s="134"/>
      <c r="B242" s="135"/>
      <c r="C242" s="136"/>
      <c r="D242" s="126" t="s">
        <v>367</v>
      </c>
      <c r="E242" s="136"/>
      <c r="F242" s="136"/>
      <c r="G242" s="136"/>
      <c r="H242" s="136"/>
      <c r="I242" s="136"/>
      <c r="J242" s="136"/>
      <c r="K242" s="136"/>
      <c r="L242" s="136"/>
      <c r="M242" s="136"/>
    </row>
    <row r="243" spans="1:13" ht="13.5" customHeight="1" x14ac:dyDescent="0.15">
      <c r="A243" s="134"/>
      <c r="B243" s="135"/>
      <c r="C243" s="136"/>
      <c r="D243" s="126" t="s">
        <v>367</v>
      </c>
      <c r="E243" s="136"/>
      <c r="F243" s="136"/>
      <c r="G243" s="136"/>
      <c r="H243" s="136"/>
      <c r="I243" s="136"/>
      <c r="J243" s="136"/>
      <c r="K243" s="136"/>
      <c r="L243" s="136"/>
      <c r="M243" s="136"/>
    </row>
    <row r="244" spans="1:13" ht="13.5" customHeight="1" x14ac:dyDescent="0.15">
      <c r="A244" s="134"/>
      <c r="B244" s="135"/>
      <c r="C244" s="136"/>
      <c r="D244" s="126" t="s">
        <v>367</v>
      </c>
      <c r="E244" s="136"/>
      <c r="F244" s="136"/>
      <c r="G244" s="136"/>
      <c r="H244" s="136"/>
      <c r="I244" s="136"/>
      <c r="J244" s="136"/>
      <c r="K244" s="136"/>
      <c r="L244" s="136"/>
      <c r="M244" s="136"/>
    </row>
    <row r="245" spans="1:13" ht="13.5" customHeight="1" x14ac:dyDescent="0.15">
      <c r="A245" s="134"/>
      <c r="B245" s="135"/>
      <c r="C245" s="136"/>
      <c r="D245" s="126" t="s">
        <v>367</v>
      </c>
      <c r="E245" s="136"/>
      <c r="F245" s="136"/>
      <c r="G245" s="136"/>
      <c r="H245" s="136"/>
      <c r="I245" s="136"/>
      <c r="J245" s="136"/>
      <c r="K245" s="136"/>
      <c r="L245" s="136"/>
      <c r="M245" s="136"/>
    </row>
    <row r="246" spans="1:13" ht="13.5" customHeight="1" x14ac:dyDescent="0.15">
      <c r="A246" s="134"/>
      <c r="B246" s="135"/>
      <c r="C246" s="136"/>
      <c r="D246" s="126" t="s">
        <v>367</v>
      </c>
      <c r="E246" s="136"/>
      <c r="F246" s="136"/>
      <c r="G246" s="136"/>
      <c r="H246" s="136"/>
      <c r="I246" s="136"/>
      <c r="J246" s="136"/>
      <c r="K246" s="136"/>
      <c r="L246" s="136"/>
      <c r="M246" s="136"/>
    </row>
    <row r="247" spans="1:13" ht="13.5" customHeight="1" x14ac:dyDescent="0.15">
      <c r="A247" s="134"/>
      <c r="B247" s="135"/>
      <c r="C247" s="136"/>
      <c r="D247" s="126" t="s">
        <v>367</v>
      </c>
      <c r="E247" s="136"/>
      <c r="F247" s="136"/>
      <c r="G247" s="136"/>
      <c r="H247" s="136"/>
      <c r="I247" s="136"/>
      <c r="J247" s="136"/>
      <c r="K247" s="136"/>
      <c r="L247" s="136"/>
      <c r="M247" s="136"/>
    </row>
    <row r="248" spans="1:13" ht="13.5" customHeight="1" x14ac:dyDescent="0.15">
      <c r="A248" s="134"/>
      <c r="B248" s="135"/>
      <c r="C248" s="136"/>
      <c r="D248" s="126" t="s">
        <v>367</v>
      </c>
      <c r="E248" s="136"/>
      <c r="F248" s="136"/>
      <c r="G248" s="136"/>
      <c r="H248" s="136"/>
      <c r="I248" s="136"/>
      <c r="J248" s="136"/>
      <c r="K248" s="136"/>
      <c r="L248" s="136"/>
      <c r="M248" s="136"/>
    </row>
    <row r="249" spans="1:13" ht="13.5" customHeight="1" x14ac:dyDescent="0.15">
      <c r="A249" s="134"/>
      <c r="B249" s="135"/>
      <c r="C249" s="136"/>
      <c r="D249" s="126" t="s">
        <v>367</v>
      </c>
      <c r="E249" s="136"/>
      <c r="F249" s="136"/>
      <c r="G249" s="136"/>
      <c r="H249" s="136"/>
      <c r="I249" s="136"/>
      <c r="J249" s="136"/>
      <c r="K249" s="136"/>
      <c r="L249" s="136"/>
      <c r="M249" s="136"/>
    </row>
    <row r="250" spans="1:13" ht="13.5" customHeight="1" x14ac:dyDescent="0.15">
      <c r="A250" s="134"/>
      <c r="B250" s="135"/>
      <c r="C250" s="136"/>
      <c r="D250" s="126" t="s">
        <v>367</v>
      </c>
      <c r="E250" s="136"/>
      <c r="F250" s="136"/>
      <c r="G250" s="136"/>
      <c r="H250" s="136"/>
      <c r="I250" s="136"/>
      <c r="J250" s="136"/>
      <c r="K250" s="136"/>
      <c r="L250" s="136"/>
      <c r="M250" s="136"/>
    </row>
    <row r="251" spans="1:13" ht="13.5" customHeight="1" x14ac:dyDescent="0.15">
      <c r="A251" s="134"/>
      <c r="B251" s="135"/>
      <c r="C251" s="136"/>
      <c r="D251" s="126" t="s">
        <v>367</v>
      </c>
      <c r="E251" s="136"/>
      <c r="F251" s="136"/>
      <c r="G251" s="136"/>
      <c r="H251" s="136"/>
      <c r="I251" s="136"/>
      <c r="J251" s="136"/>
      <c r="K251" s="136"/>
      <c r="L251" s="136"/>
      <c r="M251" s="136"/>
    </row>
    <row r="252" spans="1:13" ht="13.5" customHeight="1" x14ac:dyDescent="0.15">
      <c r="A252" s="134"/>
      <c r="B252" s="135"/>
      <c r="C252" s="136"/>
      <c r="D252" s="126" t="s">
        <v>367</v>
      </c>
      <c r="E252" s="136"/>
      <c r="F252" s="136"/>
      <c r="G252" s="136"/>
      <c r="H252" s="136"/>
      <c r="I252" s="136"/>
      <c r="J252" s="136"/>
      <c r="K252" s="136"/>
      <c r="L252" s="136"/>
      <c r="M252" s="136"/>
    </row>
    <row r="253" spans="1:13" ht="13.5" customHeight="1" x14ac:dyDescent="0.15">
      <c r="A253" s="134"/>
      <c r="B253" s="135"/>
      <c r="C253" s="136"/>
      <c r="D253" s="126" t="s">
        <v>367</v>
      </c>
      <c r="E253" s="136"/>
      <c r="F253" s="136"/>
      <c r="G253" s="136"/>
      <c r="H253" s="136"/>
      <c r="I253" s="136"/>
      <c r="J253" s="136"/>
      <c r="K253" s="136"/>
      <c r="L253" s="136"/>
      <c r="M253" s="136"/>
    </row>
    <row r="254" spans="1:13" ht="13.5" customHeight="1" x14ac:dyDescent="0.15">
      <c r="A254" s="134"/>
      <c r="B254" s="135"/>
      <c r="C254" s="136"/>
      <c r="D254" s="126" t="s">
        <v>367</v>
      </c>
      <c r="E254" s="136"/>
      <c r="F254" s="136"/>
      <c r="G254" s="136"/>
      <c r="H254" s="136"/>
      <c r="I254" s="136"/>
      <c r="J254" s="136"/>
      <c r="K254" s="136"/>
      <c r="L254" s="136"/>
      <c r="M254" s="136"/>
    </row>
    <row r="255" spans="1:13" ht="13.5" customHeight="1" x14ac:dyDescent="0.15">
      <c r="A255" s="134"/>
      <c r="B255" s="135"/>
      <c r="C255" s="136"/>
      <c r="D255" s="126" t="s">
        <v>367</v>
      </c>
      <c r="E255" s="136"/>
      <c r="F255" s="136"/>
      <c r="G255" s="136"/>
      <c r="H255" s="136"/>
      <c r="I255" s="136"/>
      <c r="J255" s="136"/>
      <c r="K255" s="136"/>
      <c r="L255" s="136"/>
      <c r="M255" s="136"/>
    </row>
    <row r="256" spans="1:13" ht="13.5" customHeight="1" x14ac:dyDescent="0.15">
      <c r="A256" s="134"/>
      <c r="B256" s="135"/>
      <c r="C256" s="136"/>
      <c r="D256" s="126" t="s">
        <v>367</v>
      </c>
      <c r="E256" s="136"/>
      <c r="F256" s="136"/>
      <c r="G256" s="136"/>
      <c r="H256" s="136"/>
      <c r="I256" s="136"/>
      <c r="J256" s="136"/>
      <c r="K256" s="136"/>
      <c r="L256" s="136"/>
      <c r="M256" s="136"/>
    </row>
    <row r="257" spans="1:13" ht="13.5" customHeight="1" x14ac:dyDescent="0.15">
      <c r="A257" s="134"/>
      <c r="B257" s="135"/>
      <c r="C257" s="136"/>
      <c r="D257" s="126" t="s">
        <v>367</v>
      </c>
      <c r="E257" s="136"/>
      <c r="F257" s="136"/>
      <c r="G257" s="136"/>
      <c r="H257" s="136"/>
      <c r="I257" s="136"/>
      <c r="J257" s="136"/>
      <c r="K257" s="136"/>
      <c r="L257" s="136"/>
      <c r="M257" s="136"/>
    </row>
    <row r="258" spans="1:13" ht="13.5" customHeight="1" x14ac:dyDescent="0.15">
      <c r="A258" s="134"/>
      <c r="B258" s="135"/>
      <c r="C258" s="136"/>
      <c r="D258" s="126" t="s">
        <v>367</v>
      </c>
      <c r="E258" s="136"/>
      <c r="F258" s="136"/>
      <c r="G258" s="136"/>
      <c r="H258" s="136"/>
      <c r="I258" s="136"/>
      <c r="J258" s="136"/>
      <c r="K258" s="136"/>
      <c r="L258" s="136"/>
      <c r="M258" s="136"/>
    </row>
    <row r="259" spans="1:13" ht="13.5" customHeight="1" x14ac:dyDescent="0.15">
      <c r="A259" s="134"/>
      <c r="B259" s="135"/>
      <c r="C259" s="136"/>
      <c r="D259" s="126" t="s">
        <v>367</v>
      </c>
      <c r="E259" s="136"/>
      <c r="F259" s="136"/>
      <c r="G259" s="136"/>
      <c r="H259" s="136"/>
      <c r="I259" s="136"/>
      <c r="J259" s="136"/>
      <c r="K259" s="136"/>
      <c r="L259" s="136"/>
      <c r="M259" s="136"/>
    </row>
    <row r="260" spans="1:13" ht="13.5" customHeight="1" x14ac:dyDescent="0.15">
      <c r="A260" s="134"/>
      <c r="B260" s="135"/>
      <c r="C260" s="136"/>
      <c r="D260" s="126" t="s">
        <v>367</v>
      </c>
      <c r="E260" s="136"/>
      <c r="F260" s="136"/>
      <c r="G260" s="136"/>
      <c r="H260" s="136"/>
      <c r="I260" s="136"/>
      <c r="J260" s="136"/>
      <c r="K260" s="136"/>
      <c r="L260" s="136"/>
      <c r="M260" s="136"/>
    </row>
    <row r="261" spans="1:13" ht="13.5" customHeight="1" x14ac:dyDescent="0.15">
      <c r="A261" s="134"/>
      <c r="B261" s="135"/>
      <c r="C261" s="136"/>
      <c r="D261" s="126" t="s">
        <v>367</v>
      </c>
      <c r="E261" s="136"/>
      <c r="F261" s="136"/>
      <c r="G261" s="136"/>
      <c r="H261" s="136"/>
      <c r="I261" s="136"/>
      <c r="J261" s="136"/>
      <c r="K261" s="136"/>
      <c r="L261" s="136"/>
      <c r="M261" s="136"/>
    </row>
    <row r="262" spans="1:13" ht="13.5" customHeight="1" x14ac:dyDescent="0.15">
      <c r="A262" s="134"/>
      <c r="B262" s="135"/>
      <c r="C262" s="136"/>
      <c r="D262" s="126" t="s">
        <v>367</v>
      </c>
      <c r="E262" s="136"/>
      <c r="F262" s="136"/>
      <c r="G262" s="136"/>
      <c r="H262" s="136"/>
      <c r="I262" s="136"/>
      <c r="J262" s="136"/>
      <c r="K262" s="136"/>
      <c r="L262" s="136"/>
      <c r="M262" s="136"/>
    </row>
    <row r="263" spans="1:13" ht="13.5" customHeight="1" x14ac:dyDescent="0.15">
      <c r="A263" s="134"/>
      <c r="B263" s="135"/>
      <c r="C263" s="136"/>
      <c r="D263" s="126" t="s">
        <v>367</v>
      </c>
      <c r="E263" s="136"/>
      <c r="F263" s="136"/>
      <c r="G263" s="136"/>
      <c r="H263" s="136"/>
      <c r="I263" s="136"/>
      <c r="J263" s="136"/>
      <c r="K263" s="136"/>
      <c r="L263" s="136"/>
      <c r="M263" s="136"/>
    </row>
    <row r="264" spans="1:13" ht="13.5" customHeight="1" x14ac:dyDescent="0.15">
      <c r="A264" s="134"/>
      <c r="B264" s="135"/>
      <c r="C264" s="136"/>
      <c r="D264" s="126" t="s">
        <v>367</v>
      </c>
      <c r="E264" s="136"/>
      <c r="F264" s="136"/>
      <c r="G264" s="136"/>
      <c r="H264" s="136"/>
      <c r="I264" s="136"/>
      <c r="J264" s="136"/>
      <c r="K264" s="136"/>
      <c r="L264" s="136"/>
      <c r="M264" s="136"/>
    </row>
    <row r="265" spans="1:13" ht="13.5" customHeight="1" x14ac:dyDescent="0.15">
      <c r="A265" s="134"/>
      <c r="B265" s="135"/>
      <c r="C265" s="136"/>
      <c r="D265" s="126" t="s">
        <v>367</v>
      </c>
      <c r="E265" s="136"/>
      <c r="F265" s="136"/>
      <c r="G265" s="136"/>
      <c r="H265" s="136"/>
      <c r="I265" s="136"/>
      <c r="J265" s="136"/>
      <c r="K265" s="136"/>
      <c r="L265" s="136"/>
      <c r="M265" s="136"/>
    </row>
    <row r="266" spans="1:13" ht="13.5" customHeight="1" x14ac:dyDescent="0.15">
      <c r="A266" s="134"/>
      <c r="B266" s="135"/>
      <c r="C266" s="136"/>
      <c r="D266" s="126" t="s">
        <v>367</v>
      </c>
      <c r="E266" s="136"/>
      <c r="F266" s="136"/>
      <c r="G266" s="136"/>
      <c r="H266" s="136"/>
      <c r="I266" s="136"/>
      <c r="J266" s="136"/>
      <c r="K266" s="136"/>
      <c r="L266" s="136"/>
      <c r="M266" s="136"/>
    </row>
    <row r="267" spans="1:13" ht="13.5" customHeight="1" x14ac:dyDescent="0.15">
      <c r="A267" s="134"/>
      <c r="B267" s="135"/>
      <c r="C267" s="136"/>
      <c r="D267" s="126" t="s">
        <v>367</v>
      </c>
      <c r="E267" s="136"/>
      <c r="F267" s="136"/>
      <c r="G267" s="136"/>
      <c r="H267" s="136"/>
      <c r="I267" s="136"/>
      <c r="J267" s="136"/>
      <c r="K267" s="136"/>
      <c r="L267" s="136"/>
      <c r="M267" s="136"/>
    </row>
    <row r="268" spans="1:13" ht="13.5" customHeight="1" x14ac:dyDescent="0.15">
      <c r="A268" s="134"/>
      <c r="B268" s="135"/>
      <c r="C268" s="136"/>
      <c r="D268" s="126" t="s">
        <v>367</v>
      </c>
      <c r="E268" s="136"/>
      <c r="F268" s="136"/>
      <c r="G268" s="136"/>
      <c r="H268" s="136"/>
      <c r="I268" s="136"/>
      <c r="J268" s="136"/>
      <c r="K268" s="136"/>
      <c r="L268" s="136"/>
      <c r="M268" s="136"/>
    </row>
    <row r="269" spans="1:13" ht="13.5" customHeight="1" x14ac:dyDescent="0.15">
      <c r="A269" s="134"/>
      <c r="B269" s="135"/>
      <c r="C269" s="136"/>
      <c r="D269" s="126" t="s">
        <v>367</v>
      </c>
      <c r="E269" s="136"/>
      <c r="F269" s="136"/>
      <c r="G269" s="136"/>
      <c r="H269" s="136"/>
      <c r="I269" s="136"/>
      <c r="J269" s="136"/>
      <c r="K269" s="136"/>
      <c r="L269" s="136"/>
      <c r="M269" s="136"/>
    </row>
    <row r="270" spans="1:13" ht="13.5" customHeight="1" x14ac:dyDescent="0.15">
      <c r="A270" s="134"/>
      <c r="B270" s="135"/>
      <c r="C270" s="136"/>
      <c r="D270" s="126" t="s">
        <v>367</v>
      </c>
      <c r="E270" s="136"/>
      <c r="F270" s="136"/>
      <c r="G270" s="136"/>
      <c r="H270" s="136"/>
      <c r="I270" s="136"/>
      <c r="J270" s="136"/>
      <c r="K270" s="136"/>
      <c r="L270" s="136"/>
      <c r="M270" s="136"/>
    </row>
    <row r="271" spans="1:13" ht="13.5" customHeight="1" x14ac:dyDescent="0.15">
      <c r="A271" s="134"/>
      <c r="B271" s="135"/>
      <c r="C271" s="136"/>
      <c r="D271" s="126" t="s">
        <v>367</v>
      </c>
      <c r="E271" s="136"/>
      <c r="F271" s="136"/>
      <c r="G271" s="136"/>
      <c r="H271" s="136"/>
      <c r="I271" s="136"/>
      <c r="J271" s="136"/>
      <c r="K271" s="136"/>
      <c r="L271" s="136"/>
      <c r="M271" s="136"/>
    </row>
    <row r="272" spans="1:13" ht="13.5" customHeight="1" x14ac:dyDescent="0.15">
      <c r="A272" s="134"/>
      <c r="B272" s="135"/>
      <c r="C272" s="136"/>
      <c r="D272" s="126" t="s">
        <v>367</v>
      </c>
      <c r="E272" s="136"/>
      <c r="F272" s="136"/>
      <c r="G272" s="136"/>
      <c r="H272" s="136"/>
      <c r="I272" s="136"/>
      <c r="J272" s="136"/>
      <c r="K272" s="136"/>
      <c r="L272" s="136"/>
      <c r="M272" s="136"/>
    </row>
    <row r="273" spans="1:13" ht="13.5" customHeight="1" x14ac:dyDescent="0.15">
      <c r="A273" s="134"/>
      <c r="B273" s="135"/>
      <c r="C273" s="136"/>
      <c r="D273" s="126" t="s">
        <v>367</v>
      </c>
      <c r="E273" s="136"/>
      <c r="F273" s="136"/>
      <c r="G273" s="136"/>
      <c r="H273" s="136"/>
      <c r="I273" s="136"/>
      <c r="J273" s="136"/>
      <c r="K273" s="136"/>
      <c r="L273" s="136"/>
      <c r="M273" s="136"/>
    </row>
    <row r="274" spans="1:13" ht="13.5" customHeight="1" x14ac:dyDescent="0.15">
      <c r="A274" s="134"/>
      <c r="B274" s="135"/>
      <c r="C274" s="136"/>
      <c r="D274" s="126" t="s">
        <v>367</v>
      </c>
      <c r="E274" s="136"/>
      <c r="F274" s="136"/>
      <c r="G274" s="136"/>
      <c r="H274" s="136"/>
      <c r="I274" s="136"/>
      <c r="J274" s="136"/>
      <c r="K274" s="136"/>
      <c r="L274" s="136"/>
      <c r="M274" s="136"/>
    </row>
    <row r="275" spans="1:13" ht="13.5" customHeight="1" x14ac:dyDescent="0.15">
      <c r="A275" s="134"/>
      <c r="B275" s="135"/>
      <c r="C275" s="136"/>
      <c r="D275" s="126" t="s">
        <v>367</v>
      </c>
      <c r="E275" s="136"/>
      <c r="F275" s="136"/>
      <c r="G275" s="136"/>
      <c r="H275" s="136"/>
      <c r="I275" s="136"/>
      <c r="J275" s="136"/>
      <c r="K275" s="136"/>
      <c r="L275" s="136"/>
      <c r="M275" s="136"/>
    </row>
    <row r="276" spans="1:13" ht="13.5" customHeight="1" x14ac:dyDescent="0.15">
      <c r="A276" s="134"/>
      <c r="B276" s="135"/>
      <c r="C276" s="136"/>
      <c r="D276" s="126" t="s">
        <v>367</v>
      </c>
      <c r="E276" s="136"/>
      <c r="F276" s="136"/>
      <c r="G276" s="136"/>
      <c r="H276" s="136"/>
      <c r="I276" s="136"/>
      <c r="J276" s="136"/>
      <c r="K276" s="136"/>
      <c r="L276" s="136"/>
      <c r="M276" s="136"/>
    </row>
    <row r="277" spans="1:13" ht="13.5" customHeight="1" x14ac:dyDescent="0.15">
      <c r="A277" s="134"/>
      <c r="B277" s="135"/>
      <c r="C277" s="136"/>
      <c r="D277" s="126" t="s">
        <v>367</v>
      </c>
      <c r="E277" s="136"/>
      <c r="F277" s="136"/>
      <c r="G277" s="136"/>
      <c r="H277" s="136"/>
      <c r="I277" s="136"/>
      <c r="J277" s="136"/>
      <c r="K277" s="136"/>
      <c r="L277" s="136"/>
      <c r="M277" s="136"/>
    </row>
    <row r="278" spans="1:13" ht="13.5" customHeight="1" x14ac:dyDescent="0.15">
      <c r="A278" s="134"/>
      <c r="B278" s="135"/>
      <c r="C278" s="136"/>
      <c r="D278" s="126" t="s">
        <v>367</v>
      </c>
      <c r="E278" s="136"/>
      <c r="F278" s="136"/>
      <c r="G278" s="136"/>
      <c r="H278" s="136"/>
      <c r="I278" s="136"/>
      <c r="J278" s="136"/>
      <c r="K278" s="136"/>
      <c r="L278" s="136"/>
      <c r="M278" s="136"/>
    </row>
    <row r="279" spans="1:13" ht="13.5" customHeight="1" x14ac:dyDescent="0.15">
      <c r="A279" s="134"/>
      <c r="B279" s="135"/>
      <c r="C279" s="136"/>
      <c r="D279" s="126" t="s">
        <v>367</v>
      </c>
      <c r="E279" s="136"/>
      <c r="F279" s="136"/>
      <c r="G279" s="136"/>
      <c r="H279" s="136"/>
      <c r="I279" s="136"/>
      <c r="J279" s="136"/>
      <c r="K279" s="136"/>
      <c r="L279" s="136"/>
      <c r="M279" s="136"/>
    </row>
    <row r="280" spans="1:13" ht="13.5" customHeight="1" x14ac:dyDescent="0.15">
      <c r="A280" s="134"/>
      <c r="B280" s="135"/>
      <c r="C280" s="136"/>
      <c r="D280" s="126" t="s">
        <v>367</v>
      </c>
      <c r="E280" s="136"/>
      <c r="F280" s="136"/>
      <c r="G280" s="136"/>
      <c r="H280" s="136"/>
      <c r="I280" s="136"/>
      <c r="J280" s="136"/>
      <c r="K280" s="136"/>
      <c r="L280" s="136"/>
      <c r="M280" s="136"/>
    </row>
    <row r="281" spans="1:13" ht="13.5" customHeight="1" x14ac:dyDescent="0.15">
      <c r="A281" s="134"/>
      <c r="B281" s="135"/>
      <c r="C281" s="136"/>
      <c r="D281" s="126" t="s">
        <v>367</v>
      </c>
      <c r="E281" s="136"/>
      <c r="F281" s="136"/>
      <c r="G281" s="136"/>
      <c r="H281" s="136"/>
      <c r="I281" s="136"/>
      <c r="J281" s="136"/>
      <c r="K281" s="136"/>
      <c r="L281" s="136"/>
      <c r="M281" s="136"/>
    </row>
    <row r="282" spans="1:13" ht="13.5" customHeight="1" x14ac:dyDescent="0.15">
      <c r="A282" s="134"/>
      <c r="B282" s="135"/>
      <c r="C282" s="136"/>
      <c r="D282" s="126" t="s">
        <v>367</v>
      </c>
      <c r="E282" s="136"/>
      <c r="F282" s="136"/>
      <c r="G282" s="136"/>
      <c r="H282" s="136"/>
      <c r="I282" s="136"/>
      <c r="J282" s="136"/>
      <c r="K282" s="136"/>
      <c r="L282" s="136"/>
      <c r="M282" s="136"/>
    </row>
    <row r="283" spans="1:13" ht="13.5" customHeight="1" x14ac:dyDescent="0.15">
      <c r="A283" s="134"/>
      <c r="B283" s="135"/>
      <c r="C283" s="136"/>
      <c r="D283" s="126" t="s">
        <v>367</v>
      </c>
      <c r="E283" s="136"/>
      <c r="F283" s="136"/>
      <c r="G283" s="136"/>
      <c r="H283" s="136"/>
      <c r="I283" s="136"/>
      <c r="J283" s="136"/>
      <c r="K283" s="136"/>
      <c r="L283" s="136"/>
      <c r="M283" s="136"/>
    </row>
    <row r="284" spans="1:13" ht="13.5" customHeight="1" x14ac:dyDescent="0.15">
      <c r="A284" s="134"/>
      <c r="B284" s="135"/>
      <c r="C284" s="136"/>
      <c r="D284" s="126" t="s">
        <v>367</v>
      </c>
      <c r="E284" s="136"/>
      <c r="F284" s="136"/>
      <c r="G284" s="136"/>
      <c r="H284" s="136"/>
      <c r="I284" s="136"/>
      <c r="J284" s="136"/>
      <c r="K284" s="136"/>
      <c r="L284" s="136"/>
      <c r="M284" s="136"/>
    </row>
    <row r="285" spans="1:13" ht="13.5" customHeight="1" x14ac:dyDescent="0.15">
      <c r="A285" s="134"/>
      <c r="B285" s="135"/>
      <c r="C285" s="136"/>
      <c r="D285" s="126" t="s">
        <v>367</v>
      </c>
      <c r="E285" s="136"/>
      <c r="F285" s="136"/>
      <c r="G285" s="136"/>
      <c r="H285" s="136"/>
      <c r="I285" s="136"/>
      <c r="J285" s="136"/>
      <c r="K285" s="136"/>
      <c r="L285" s="136"/>
      <c r="M285" s="136"/>
    </row>
    <row r="286" spans="1:13" ht="13.5" customHeight="1" x14ac:dyDescent="0.15">
      <c r="A286" s="134"/>
      <c r="B286" s="135"/>
      <c r="C286" s="136"/>
      <c r="D286" s="126" t="s">
        <v>367</v>
      </c>
      <c r="E286" s="136"/>
      <c r="F286" s="136"/>
      <c r="G286" s="136"/>
      <c r="H286" s="136"/>
      <c r="I286" s="136"/>
      <c r="J286" s="136"/>
      <c r="K286" s="136"/>
      <c r="L286" s="136"/>
      <c r="M286" s="136"/>
    </row>
    <row r="287" spans="1:13" ht="13.5" customHeight="1" x14ac:dyDescent="0.15">
      <c r="A287" s="134"/>
      <c r="B287" s="135"/>
      <c r="C287" s="136"/>
      <c r="D287" s="126" t="s">
        <v>367</v>
      </c>
      <c r="E287" s="136"/>
      <c r="F287" s="136"/>
      <c r="G287" s="136"/>
      <c r="H287" s="136"/>
      <c r="I287" s="136"/>
      <c r="J287" s="136"/>
      <c r="K287" s="136"/>
      <c r="L287" s="136"/>
      <c r="M287" s="136"/>
    </row>
    <row r="288" spans="1:13" ht="13.5" customHeight="1" x14ac:dyDescent="0.15">
      <c r="A288" s="134"/>
      <c r="B288" s="135"/>
      <c r="C288" s="136"/>
      <c r="D288" s="126" t="s">
        <v>367</v>
      </c>
      <c r="E288" s="136"/>
      <c r="F288" s="136"/>
      <c r="G288" s="136"/>
      <c r="H288" s="136"/>
      <c r="I288" s="136"/>
      <c r="J288" s="136"/>
      <c r="K288" s="136"/>
      <c r="L288" s="136"/>
      <c r="M288" s="136"/>
    </row>
    <row r="289" spans="1:13" ht="13.5" customHeight="1" x14ac:dyDescent="0.15">
      <c r="A289" s="134"/>
      <c r="B289" s="135"/>
      <c r="C289" s="136"/>
      <c r="D289" s="126" t="s">
        <v>367</v>
      </c>
      <c r="E289" s="136"/>
      <c r="F289" s="136"/>
      <c r="G289" s="136"/>
      <c r="H289" s="136"/>
      <c r="I289" s="136"/>
      <c r="J289" s="136"/>
      <c r="K289" s="136"/>
      <c r="L289" s="136"/>
      <c r="M289" s="136"/>
    </row>
    <row r="290" spans="1:13" ht="13.5" customHeight="1" x14ac:dyDescent="0.15">
      <c r="A290" s="134"/>
      <c r="B290" s="135"/>
      <c r="C290" s="136"/>
      <c r="D290" s="126" t="s">
        <v>367</v>
      </c>
      <c r="E290" s="136"/>
      <c r="F290" s="136"/>
      <c r="G290" s="136"/>
      <c r="H290" s="136"/>
      <c r="I290" s="136"/>
      <c r="J290" s="136"/>
      <c r="K290" s="136"/>
      <c r="L290" s="136"/>
      <c r="M290" s="136"/>
    </row>
    <row r="291" spans="1:13" ht="13.5" customHeight="1" x14ac:dyDescent="0.15">
      <c r="A291" s="134"/>
      <c r="B291" s="135"/>
      <c r="C291" s="136"/>
      <c r="D291" s="126" t="s">
        <v>367</v>
      </c>
      <c r="E291" s="136"/>
      <c r="F291" s="136"/>
      <c r="G291" s="136"/>
      <c r="H291" s="136"/>
      <c r="I291" s="136"/>
      <c r="J291" s="136"/>
      <c r="K291" s="136"/>
      <c r="L291" s="136"/>
      <c r="M291" s="136"/>
    </row>
    <row r="292" spans="1:13" ht="13.5" customHeight="1" x14ac:dyDescent="0.15">
      <c r="A292" s="134"/>
      <c r="B292" s="135"/>
      <c r="C292" s="136"/>
      <c r="D292" s="126" t="s">
        <v>367</v>
      </c>
      <c r="E292" s="136"/>
      <c r="F292" s="136"/>
      <c r="G292" s="136"/>
      <c r="H292" s="136"/>
      <c r="I292" s="136"/>
      <c r="J292" s="136"/>
      <c r="K292" s="136"/>
      <c r="L292" s="136"/>
      <c r="M292" s="136"/>
    </row>
    <row r="293" spans="1:13" ht="13.5" customHeight="1" x14ac:dyDescent="0.15">
      <c r="A293" s="134"/>
      <c r="B293" s="135"/>
      <c r="C293" s="136"/>
      <c r="D293" s="126" t="s">
        <v>367</v>
      </c>
      <c r="E293" s="136"/>
      <c r="F293" s="136"/>
      <c r="G293" s="136"/>
      <c r="H293" s="136"/>
      <c r="I293" s="136"/>
      <c r="J293" s="136"/>
      <c r="K293" s="136"/>
      <c r="L293" s="136"/>
      <c r="M293" s="136"/>
    </row>
    <row r="294" spans="1:13" ht="13.5" customHeight="1" x14ac:dyDescent="0.15">
      <c r="A294" s="134"/>
      <c r="B294" s="135"/>
      <c r="C294" s="136"/>
      <c r="D294" s="126" t="s">
        <v>367</v>
      </c>
      <c r="E294" s="136"/>
      <c r="F294" s="136"/>
      <c r="G294" s="136"/>
      <c r="H294" s="136"/>
      <c r="I294" s="136"/>
      <c r="J294" s="136"/>
      <c r="K294" s="136"/>
      <c r="L294" s="136"/>
      <c r="M294" s="136"/>
    </row>
    <row r="295" spans="1:13" ht="13.5" customHeight="1" x14ac:dyDescent="0.15">
      <c r="A295" s="134"/>
      <c r="B295" s="135"/>
      <c r="C295" s="136"/>
      <c r="D295" s="126" t="s">
        <v>367</v>
      </c>
      <c r="E295" s="136"/>
      <c r="F295" s="136"/>
      <c r="G295" s="136"/>
      <c r="H295" s="136"/>
      <c r="I295" s="136"/>
      <c r="J295" s="136"/>
      <c r="K295" s="136"/>
      <c r="L295" s="136"/>
      <c r="M295" s="136"/>
    </row>
    <row r="296" spans="1:13" ht="13.5" customHeight="1" x14ac:dyDescent="0.15">
      <c r="A296" s="134"/>
      <c r="B296" s="135"/>
      <c r="C296" s="136"/>
      <c r="D296" s="126" t="s">
        <v>367</v>
      </c>
      <c r="E296" s="136"/>
      <c r="F296" s="136"/>
      <c r="G296" s="136"/>
      <c r="H296" s="136"/>
      <c r="I296" s="136"/>
      <c r="J296" s="136"/>
      <c r="K296" s="136"/>
      <c r="L296" s="136"/>
      <c r="M296" s="136"/>
    </row>
    <row r="297" spans="1:13" ht="13.5" customHeight="1" x14ac:dyDescent="0.15">
      <c r="A297" s="134"/>
      <c r="B297" s="135"/>
      <c r="C297" s="136"/>
      <c r="D297" s="126" t="s">
        <v>367</v>
      </c>
      <c r="E297" s="136"/>
      <c r="F297" s="136"/>
      <c r="G297" s="136"/>
      <c r="H297" s="136"/>
      <c r="I297" s="136"/>
      <c r="J297" s="136"/>
      <c r="K297" s="136"/>
      <c r="L297" s="136"/>
      <c r="M297" s="136"/>
    </row>
    <row r="298" spans="1:13" ht="13.5" customHeight="1" x14ac:dyDescent="0.15">
      <c r="A298" s="134"/>
      <c r="B298" s="135"/>
      <c r="C298" s="136"/>
      <c r="D298" s="126" t="s">
        <v>367</v>
      </c>
      <c r="E298" s="136"/>
      <c r="F298" s="136"/>
      <c r="G298" s="136"/>
      <c r="H298" s="136"/>
      <c r="I298" s="136"/>
      <c r="J298" s="136"/>
      <c r="K298" s="136"/>
      <c r="L298" s="136"/>
      <c r="M298" s="136"/>
    </row>
    <row r="299" spans="1:13" ht="13.5" customHeight="1" x14ac:dyDescent="0.15">
      <c r="A299" s="134"/>
      <c r="B299" s="135"/>
      <c r="C299" s="136"/>
      <c r="D299" s="126" t="s">
        <v>367</v>
      </c>
      <c r="E299" s="136"/>
      <c r="F299" s="136"/>
      <c r="G299" s="136"/>
      <c r="H299" s="136"/>
      <c r="I299" s="136"/>
      <c r="J299" s="136"/>
      <c r="K299" s="136"/>
      <c r="L299" s="136"/>
      <c r="M299" s="136"/>
    </row>
    <row r="300" spans="1:13" ht="13.5" customHeight="1" x14ac:dyDescent="0.15">
      <c r="A300" s="134"/>
      <c r="B300" s="135"/>
      <c r="C300" s="136"/>
      <c r="D300" s="126" t="s">
        <v>367</v>
      </c>
      <c r="E300" s="136"/>
      <c r="F300" s="136"/>
      <c r="G300" s="136"/>
      <c r="H300" s="136"/>
      <c r="I300" s="136"/>
      <c r="J300" s="136"/>
      <c r="K300" s="136"/>
      <c r="L300" s="136"/>
      <c r="M300" s="136"/>
    </row>
    <row r="301" spans="1:13" ht="13.5" customHeight="1" x14ac:dyDescent="0.15">
      <c r="A301" s="134"/>
      <c r="B301" s="135"/>
      <c r="C301" s="136"/>
      <c r="D301" s="126" t="s">
        <v>367</v>
      </c>
      <c r="E301" s="136"/>
      <c r="F301" s="136"/>
      <c r="G301" s="136"/>
      <c r="H301" s="136"/>
      <c r="I301" s="136"/>
      <c r="J301" s="136"/>
      <c r="K301" s="136"/>
      <c r="L301" s="136"/>
      <c r="M301" s="136"/>
    </row>
    <row r="302" spans="1:13" ht="13.5" customHeight="1" x14ac:dyDescent="0.15">
      <c r="A302" s="134"/>
      <c r="B302" s="135"/>
      <c r="C302" s="136"/>
      <c r="D302" s="126" t="s">
        <v>367</v>
      </c>
      <c r="E302" s="136"/>
      <c r="F302" s="136"/>
      <c r="G302" s="136"/>
      <c r="H302" s="136"/>
      <c r="I302" s="136"/>
      <c r="J302" s="136"/>
      <c r="K302" s="136"/>
      <c r="L302" s="136"/>
      <c r="M302" s="136"/>
    </row>
    <row r="303" spans="1:13" ht="13.5" customHeight="1" x14ac:dyDescent="0.15">
      <c r="A303" s="134"/>
      <c r="B303" s="135"/>
      <c r="C303" s="136"/>
      <c r="D303" s="126" t="s">
        <v>367</v>
      </c>
      <c r="E303" s="136"/>
      <c r="F303" s="136"/>
      <c r="G303" s="136"/>
      <c r="H303" s="136"/>
      <c r="I303" s="136"/>
      <c r="J303" s="136"/>
      <c r="K303" s="136"/>
      <c r="L303" s="136"/>
      <c r="M303" s="136"/>
    </row>
    <row r="304" spans="1:13" ht="13.5" customHeight="1" x14ac:dyDescent="0.15">
      <c r="A304" s="134"/>
      <c r="B304" s="135"/>
      <c r="C304" s="136"/>
      <c r="D304" s="126" t="s">
        <v>367</v>
      </c>
      <c r="E304" s="136"/>
      <c r="F304" s="136"/>
      <c r="G304" s="136"/>
      <c r="H304" s="136"/>
      <c r="I304" s="136"/>
      <c r="J304" s="136"/>
      <c r="K304" s="136"/>
      <c r="L304" s="136"/>
      <c r="M304" s="136"/>
    </row>
    <row r="305" spans="1:13" ht="13.5" customHeight="1" x14ac:dyDescent="0.15">
      <c r="A305" s="134"/>
      <c r="B305" s="135"/>
      <c r="C305" s="136"/>
      <c r="D305" s="126" t="s">
        <v>367</v>
      </c>
      <c r="E305" s="136"/>
      <c r="F305" s="136"/>
      <c r="G305" s="136"/>
      <c r="H305" s="136"/>
      <c r="I305" s="136"/>
      <c r="J305" s="136"/>
      <c r="K305" s="136"/>
      <c r="L305" s="136"/>
      <c r="M305" s="136"/>
    </row>
    <row r="306" spans="1:13" ht="13.5" customHeight="1" x14ac:dyDescent="0.15">
      <c r="A306" s="134"/>
      <c r="B306" s="135"/>
      <c r="C306" s="136"/>
      <c r="D306" s="126" t="s">
        <v>367</v>
      </c>
      <c r="E306" s="136"/>
      <c r="F306" s="136"/>
      <c r="G306" s="136"/>
      <c r="H306" s="136"/>
      <c r="I306" s="136"/>
      <c r="J306" s="136"/>
      <c r="K306" s="136"/>
      <c r="L306" s="136"/>
      <c r="M306" s="136"/>
    </row>
    <row r="307" spans="1:13" ht="13.5" customHeight="1" x14ac:dyDescent="0.15">
      <c r="A307" s="134"/>
      <c r="B307" s="135"/>
      <c r="C307" s="136"/>
      <c r="D307" s="126" t="s">
        <v>367</v>
      </c>
      <c r="E307" s="136"/>
      <c r="F307" s="136"/>
      <c r="G307" s="136"/>
      <c r="H307" s="136"/>
      <c r="I307" s="136"/>
      <c r="J307" s="136"/>
      <c r="K307" s="136"/>
      <c r="L307" s="136"/>
      <c r="M307" s="136"/>
    </row>
    <row r="308" spans="1:13" ht="13.5" customHeight="1" x14ac:dyDescent="0.15">
      <c r="A308" s="134"/>
      <c r="B308" s="135"/>
      <c r="C308" s="136"/>
      <c r="D308" s="126" t="s">
        <v>367</v>
      </c>
      <c r="E308" s="136"/>
      <c r="F308" s="136"/>
      <c r="G308" s="136"/>
      <c r="H308" s="136"/>
      <c r="I308" s="136"/>
      <c r="J308" s="136"/>
      <c r="K308" s="136"/>
      <c r="L308" s="136"/>
      <c r="M308" s="136"/>
    </row>
    <row r="309" spans="1:13" ht="13.5" customHeight="1" x14ac:dyDescent="0.15">
      <c r="A309" s="134"/>
      <c r="B309" s="135"/>
      <c r="C309" s="136"/>
      <c r="D309" s="126" t="s">
        <v>367</v>
      </c>
      <c r="E309" s="136"/>
      <c r="F309" s="136"/>
      <c r="G309" s="136"/>
      <c r="H309" s="136"/>
      <c r="I309" s="136"/>
      <c r="J309" s="136"/>
      <c r="K309" s="136"/>
      <c r="L309" s="136"/>
      <c r="M309" s="136"/>
    </row>
    <row r="310" spans="1:13" ht="13.5" customHeight="1" x14ac:dyDescent="0.15">
      <c r="A310" s="134"/>
      <c r="B310" s="135"/>
      <c r="C310" s="136"/>
      <c r="D310" s="126" t="s">
        <v>367</v>
      </c>
      <c r="E310" s="136"/>
      <c r="F310" s="136"/>
      <c r="G310" s="136"/>
      <c r="H310" s="136"/>
      <c r="I310" s="136"/>
      <c r="J310" s="136"/>
      <c r="K310" s="136"/>
      <c r="L310" s="136"/>
      <c r="M310" s="136"/>
    </row>
    <row r="311" spans="1:13" ht="13.5" customHeight="1" x14ac:dyDescent="0.15">
      <c r="A311" s="134"/>
      <c r="B311" s="135"/>
      <c r="C311" s="136"/>
      <c r="D311" s="126" t="s">
        <v>367</v>
      </c>
      <c r="E311" s="136"/>
      <c r="F311" s="136"/>
      <c r="G311" s="136"/>
      <c r="H311" s="136"/>
      <c r="I311" s="136"/>
      <c r="J311" s="136"/>
      <c r="K311" s="136"/>
      <c r="L311" s="136"/>
      <c r="M311" s="136"/>
    </row>
    <row r="312" spans="1:13" ht="13.5" customHeight="1" x14ac:dyDescent="0.15">
      <c r="A312" s="134"/>
      <c r="B312" s="135"/>
      <c r="C312" s="136"/>
      <c r="D312" s="126" t="s">
        <v>367</v>
      </c>
      <c r="E312" s="136"/>
      <c r="F312" s="136"/>
      <c r="G312" s="136"/>
      <c r="H312" s="136"/>
      <c r="I312" s="136"/>
      <c r="J312" s="136"/>
      <c r="K312" s="136"/>
      <c r="L312" s="136"/>
      <c r="M312" s="136"/>
    </row>
    <row r="313" spans="1:13" ht="13.5" customHeight="1" x14ac:dyDescent="0.15">
      <c r="A313" s="134"/>
      <c r="B313" s="135"/>
      <c r="C313" s="136"/>
      <c r="D313" s="126" t="s">
        <v>367</v>
      </c>
      <c r="E313" s="136"/>
      <c r="F313" s="136"/>
      <c r="G313" s="136"/>
      <c r="H313" s="136"/>
      <c r="I313" s="136"/>
      <c r="J313" s="136"/>
      <c r="K313" s="136"/>
      <c r="L313" s="136"/>
      <c r="M313" s="136"/>
    </row>
    <row r="314" spans="1:13" ht="13.5" customHeight="1" x14ac:dyDescent="0.15">
      <c r="A314" s="134"/>
      <c r="B314" s="135"/>
      <c r="C314" s="136"/>
      <c r="D314" s="126" t="s">
        <v>367</v>
      </c>
      <c r="E314" s="136"/>
      <c r="F314" s="136"/>
      <c r="G314" s="136"/>
      <c r="H314" s="136"/>
      <c r="I314" s="136"/>
      <c r="J314" s="136"/>
      <c r="K314" s="136"/>
      <c r="L314" s="136"/>
      <c r="M314" s="136"/>
    </row>
    <row r="315" spans="1:13" ht="13.5" customHeight="1" x14ac:dyDescent="0.15">
      <c r="A315" s="134"/>
      <c r="B315" s="135"/>
      <c r="C315" s="136"/>
      <c r="D315" s="126" t="s">
        <v>367</v>
      </c>
      <c r="E315" s="136"/>
      <c r="F315" s="136"/>
      <c r="G315" s="136"/>
      <c r="H315" s="136"/>
      <c r="I315" s="136"/>
      <c r="J315" s="136"/>
      <c r="K315" s="136"/>
      <c r="L315" s="136"/>
      <c r="M315" s="136"/>
    </row>
    <row r="316" spans="1:13" ht="13.5" customHeight="1" x14ac:dyDescent="0.15">
      <c r="A316" s="134"/>
      <c r="B316" s="135"/>
      <c r="C316" s="136"/>
      <c r="D316" s="126" t="s">
        <v>367</v>
      </c>
      <c r="E316" s="136"/>
      <c r="F316" s="136"/>
      <c r="G316" s="136"/>
      <c r="H316" s="136"/>
      <c r="I316" s="136"/>
      <c r="J316" s="136"/>
      <c r="K316" s="136"/>
      <c r="L316" s="136"/>
      <c r="M316" s="136"/>
    </row>
    <row r="317" spans="1:13" ht="13.5" customHeight="1" x14ac:dyDescent="0.15">
      <c r="A317" s="134"/>
      <c r="B317" s="135"/>
      <c r="C317" s="136"/>
      <c r="D317" s="126" t="s">
        <v>367</v>
      </c>
      <c r="E317" s="136"/>
      <c r="F317" s="136"/>
      <c r="G317" s="136"/>
      <c r="H317" s="136"/>
      <c r="I317" s="136"/>
      <c r="J317" s="136"/>
      <c r="K317" s="136"/>
      <c r="L317" s="136"/>
      <c r="M317" s="136"/>
    </row>
    <row r="318" spans="1:13" ht="13.5" customHeight="1" x14ac:dyDescent="0.15">
      <c r="A318" s="134"/>
      <c r="B318" s="135"/>
      <c r="C318" s="136"/>
      <c r="D318" s="126" t="s">
        <v>367</v>
      </c>
      <c r="E318" s="136"/>
      <c r="F318" s="136"/>
      <c r="G318" s="136"/>
      <c r="H318" s="136"/>
      <c r="I318" s="136"/>
      <c r="J318" s="136"/>
      <c r="K318" s="136"/>
      <c r="L318" s="136"/>
      <c r="M318" s="136"/>
    </row>
    <row r="319" spans="1:13" ht="13.5" customHeight="1" x14ac:dyDescent="0.15">
      <c r="A319" s="134"/>
      <c r="B319" s="135"/>
      <c r="C319" s="136"/>
      <c r="D319" s="126" t="s">
        <v>367</v>
      </c>
      <c r="E319" s="136"/>
      <c r="F319" s="136"/>
      <c r="G319" s="136"/>
      <c r="H319" s="136"/>
      <c r="I319" s="136"/>
      <c r="J319" s="136"/>
      <c r="K319" s="136"/>
      <c r="L319" s="136"/>
      <c r="M319" s="136"/>
    </row>
    <row r="320" spans="1:13" ht="13.5" customHeight="1" x14ac:dyDescent="0.15">
      <c r="A320" s="134"/>
      <c r="B320" s="135"/>
      <c r="C320" s="136"/>
      <c r="D320" s="126" t="s">
        <v>367</v>
      </c>
      <c r="E320" s="136"/>
      <c r="F320" s="136"/>
      <c r="G320" s="136"/>
      <c r="H320" s="136"/>
      <c r="I320" s="136"/>
      <c r="J320" s="136"/>
      <c r="K320" s="136"/>
      <c r="L320" s="136"/>
      <c r="M320" s="136"/>
    </row>
    <row r="321" spans="1:13" ht="13.5" customHeight="1" x14ac:dyDescent="0.15">
      <c r="A321" s="134"/>
      <c r="B321" s="135"/>
      <c r="C321" s="136"/>
      <c r="D321" s="126" t="s">
        <v>367</v>
      </c>
      <c r="E321" s="136"/>
      <c r="F321" s="136"/>
      <c r="G321" s="136"/>
      <c r="H321" s="136"/>
      <c r="I321" s="136"/>
      <c r="J321" s="136"/>
      <c r="K321" s="136"/>
      <c r="L321" s="136"/>
      <c r="M321" s="136"/>
    </row>
    <row r="322" spans="1:13" ht="13.5" customHeight="1" x14ac:dyDescent="0.15">
      <c r="A322" s="134"/>
      <c r="B322" s="135"/>
      <c r="C322" s="136"/>
      <c r="D322" s="126" t="s">
        <v>367</v>
      </c>
      <c r="E322" s="136"/>
      <c r="F322" s="136"/>
      <c r="G322" s="136"/>
      <c r="H322" s="136"/>
      <c r="I322" s="136"/>
      <c r="J322" s="136"/>
      <c r="K322" s="136"/>
      <c r="L322" s="136"/>
      <c r="M322" s="136"/>
    </row>
    <row r="323" spans="1:13" ht="13.5" customHeight="1" x14ac:dyDescent="0.15">
      <c r="A323" s="134"/>
      <c r="B323" s="135"/>
      <c r="C323" s="136"/>
      <c r="D323" s="126" t="s">
        <v>367</v>
      </c>
      <c r="E323" s="136"/>
      <c r="F323" s="136"/>
      <c r="G323" s="136"/>
      <c r="H323" s="136"/>
      <c r="I323" s="136"/>
      <c r="J323" s="136"/>
      <c r="K323" s="136"/>
      <c r="L323" s="136"/>
      <c r="M323" s="136"/>
    </row>
    <row r="324" spans="1:13" ht="13.5" customHeight="1" x14ac:dyDescent="0.15">
      <c r="A324" s="134"/>
      <c r="B324" s="135"/>
      <c r="C324" s="136"/>
      <c r="D324" s="126" t="s">
        <v>367</v>
      </c>
      <c r="E324" s="136"/>
      <c r="F324" s="136"/>
      <c r="G324" s="136"/>
      <c r="H324" s="136"/>
      <c r="I324" s="136"/>
      <c r="J324" s="136"/>
      <c r="K324" s="136"/>
      <c r="L324" s="136"/>
      <c r="M324" s="136"/>
    </row>
    <row r="325" spans="1:13" ht="13.5" customHeight="1" x14ac:dyDescent="0.15">
      <c r="A325" s="134"/>
      <c r="B325" s="135"/>
      <c r="C325" s="136"/>
      <c r="D325" s="126" t="s">
        <v>367</v>
      </c>
      <c r="E325" s="136"/>
      <c r="F325" s="136"/>
      <c r="G325" s="136"/>
      <c r="H325" s="136"/>
      <c r="I325" s="136"/>
      <c r="J325" s="136"/>
      <c r="K325" s="136"/>
      <c r="L325" s="136"/>
      <c r="M325" s="136"/>
    </row>
    <row r="326" spans="1:13" ht="13.5" customHeight="1" x14ac:dyDescent="0.15">
      <c r="A326" s="134"/>
      <c r="B326" s="135"/>
      <c r="C326" s="136"/>
      <c r="D326" s="126" t="s">
        <v>367</v>
      </c>
      <c r="E326" s="136"/>
      <c r="F326" s="136"/>
      <c r="G326" s="136"/>
      <c r="H326" s="136"/>
      <c r="I326" s="136"/>
      <c r="J326" s="136"/>
      <c r="K326" s="136"/>
      <c r="L326" s="136"/>
      <c r="M326" s="136"/>
    </row>
    <row r="327" spans="1:13" ht="13.5" customHeight="1" x14ac:dyDescent="0.15">
      <c r="A327" s="134"/>
      <c r="B327" s="135"/>
      <c r="C327" s="136"/>
      <c r="D327" s="126" t="s">
        <v>367</v>
      </c>
      <c r="E327" s="136"/>
      <c r="F327" s="136"/>
      <c r="G327" s="136"/>
      <c r="H327" s="136"/>
      <c r="I327" s="136"/>
      <c r="J327" s="136"/>
      <c r="K327" s="136"/>
      <c r="L327" s="136"/>
      <c r="M327" s="136"/>
    </row>
    <row r="328" spans="1:13" ht="13.5" customHeight="1" x14ac:dyDescent="0.15">
      <c r="A328" s="134"/>
      <c r="B328" s="135"/>
      <c r="C328" s="136"/>
      <c r="D328" s="126" t="s">
        <v>367</v>
      </c>
      <c r="E328" s="136"/>
      <c r="F328" s="136"/>
      <c r="G328" s="136"/>
      <c r="H328" s="136"/>
      <c r="I328" s="136"/>
      <c r="J328" s="136"/>
      <c r="K328" s="136"/>
      <c r="L328" s="136"/>
      <c r="M328" s="136"/>
    </row>
    <row r="329" spans="1:13" ht="13.5" customHeight="1" x14ac:dyDescent="0.15">
      <c r="A329" s="134"/>
      <c r="B329" s="135"/>
      <c r="C329" s="136"/>
      <c r="D329" s="126" t="s">
        <v>367</v>
      </c>
      <c r="E329" s="136"/>
      <c r="F329" s="136"/>
      <c r="G329" s="136"/>
      <c r="H329" s="136"/>
      <c r="I329" s="136"/>
      <c r="J329" s="136"/>
      <c r="K329" s="136"/>
      <c r="L329" s="136"/>
      <c r="M329" s="136"/>
    </row>
    <row r="330" spans="1:13" ht="13.5" customHeight="1" x14ac:dyDescent="0.15">
      <c r="A330" s="134"/>
      <c r="B330" s="135"/>
      <c r="C330" s="136"/>
      <c r="D330" s="126" t="s">
        <v>367</v>
      </c>
      <c r="E330" s="136"/>
      <c r="F330" s="136"/>
      <c r="G330" s="136"/>
      <c r="H330" s="136"/>
      <c r="I330" s="136"/>
      <c r="J330" s="136"/>
      <c r="K330" s="136"/>
      <c r="L330" s="136"/>
      <c r="M330" s="136"/>
    </row>
    <row r="331" spans="1:13" ht="13.5" customHeight="1" x14ac:dyDescent="0.15">
      <c r="A331" s="134"/>
      <c r="B331" s="135"/>
      <c r="C331" s="136"/>
      <c r="D331" s="126" t="s">
        <v>367</v>
      </c>
      <c r="E331" s="136"/>
      <c r="F331" s="136"/>
      <c r="G331" s="136"/>
      <c r="H331" s="136"/>
      <c r="I331" s="136"/>
      <c r="J331" s="136"/>
      <c r="K331" s="136"/>
      <c r="L331" s="136"/>
      <c r="M331" s="136"/>
    </row>
    <row r="332" spans="1:13" ht="13.5" customHeight="1" x14ac:dyDescent="0.15">
      <c r="A332" s="134"/>
      <c r="B332" s="135"/>
      <c r="C332" s="136"/>
      <c r="D332" s="126" t="s">
        <v>367</v>
      </c>
      <c r="E332" s="136"/>
      <c r="F332" s="136"/>
      <c r="G332" s="136"/>
      <c r="H332" s="136"/>
      <c r="I332" s="136"/>
      <c r="J332" s="136"/>
      <c r="K332" s="136"/>
      <c r="L332" s="136"/>
      <c r="M332" s="136"/>
    </row>
    <row r="333" spans="1:13" ht="13.5" customHeight="1" x14ac:dyDescent="0.15">
      <c r="A333" s="134"/>
      <c r="B333" s="135"/>
      <c r="C333" s="136"/>
      <c r="D333" s="126" t="s">
        <v>367</v>
      </c>
      <c r="E333" s="136"/>
      <c r="F333" s="136"/>
      <c r="G333" s="136"/>
      <c r="H333" s="136"/>
      <c r="I333" s="136"/>
      <c r="J333" s="136"/>
      <c r="K333" s="136"/>
      <c r="L333" s="136"/>
      <c r="M333" s="136"/>
    </row>
    <row r="334" spans="1:13" ht="13.5" customHeight="1" x14ac:dyDescent="0.15">
      <c r="A334" s="134"/>
      <c r="B334" s="135"/>
      <c r="C334" s="136"/>
      <c r="D334" s="126" t="s">
        <v>367</v>
      </c>
      <c r="E334" s="136"/>
      <c r="F334" s="136"/>
      <c r="G334" s="136"/>
      <c r="H334" s="136"/>
      <c r="I334" s="136"/>
      <c r="J334" s="136"/>
      <c r="K334" s="136"/>
      <c r="L334" s="136"/>
      <c r="M334" s="136"/>
    </row>
    <row r="335" spans="1:13" ht="13.5" customHeight="1" x14ac:dyDescent="0.15">
      <c r="A335" s="134"/>
      <c r="B335" s="135"/>
      <c r="C335" s="136"/>
      <c r="D335" s="126" t="s">
        <v>367</v>
      </c>
      <c r="E335" s="136"/>
      <c r="F335" s="136"/>
      <c r="G335" s="136"/>
      <c r="H335" s="136"/>
      <c r="I335" s="136"/>
      <c r="J335" s="136"/>
      <c r="K335" s="136"/>
      <c r="L335" s="136"/>
      <c r="M335" s="136"/>
    </row>
    <row r="336" spans="1:13" ht="13.5" customHeight="1" x14ac:dyDescent="0.15">
      <c r="A336" s="134"/>
      <c r="B336" s="135"/>
      <c r="C336" s="136"/>
      <c r="D336" s="126" t="s">
        <v>367</v>
      </c>
      <c r="E336" s="136"/>
      <c r="F336" s="136"/>
      <c r="G336" s="136"/>
      <c r="H336" s="136"/>
      <c r="I336" s="136"/>
      <c r="J336" s="136"/>
      <c r="K336" s="136"/>
      <c r="L336" s="136"/>
      <c r="M336" s="136"/>
    </row>
    <row r="337" spans="1:13" ht="13.5" customHeight="1" x14ac:dyDescent="0.15">
      <c r="A337" s="134"/>
      <c r="B337" s="135"/>
      <c r="C337" s="136"/>
      <c r="D337" s="126" t="s">
        <v>367</v>
      </c>
      <c r="E337" s="136"/>
      <c r="F337" s="136"/>
      <c r="G337" s="136"/>
      <c r="H337" s="136"/>
      <c r="I337" s="136"/>
      <c r="J337" s="136"/>
      <c r="K337" s="136"/>
      <c r="L337" s="136"/>
      <c r="M337" s="136"/>
    </row>
    <row r="338" spans="1:13" ht="13.5" customHeight="1" x14ac:dyDescent="0.15">
      <c r="A338" s="134"/>
      <c r="B338" s="135"/>
      <c r="C338" s="136"/>
      <c r="D338" s="126" t="s">
        <v>367</v>
      </c>
      <c r="E338" s="136"/>
      <c r="F338" s="136"/>
      <c r="G338" s="136"/>
      <c r="H338" s="136"/>
      <c r="I338" s="136"/>
      <c r="J338" s="136"/>
      <c r="K338" s="136"/>
      <c r="L338" s="136"/>
      <c r="M338" s="136"/>
    </row>
    <row r="339" spans="1:13" ht="13.5" customHeight="1" x14ac:dyDescent="0.15">
      <c r="A339" s="134"/>
      <c r="B339" s="135"/>
      <c r="C339" s="136"/>
      <c r="D339" s="126" t="s">
        <v>367</v>
      </c>
      <c r="E339" s="136"/>
      <c r="F339" s="136"/>
      <c r="G339" s="136"/>
      <c r="H339" s="136"/>
      <c r="I339" s="136"/>
      <c r="J339" s="136"/>
      <c r="K339" s="136"/>
      <c r="L339" s="136"/>
      <c r="M339" s="136"/>
    </row>
    <row r="340" spans="1:13" ht="13.5" customHeight="1" x14ac:dyDescent="0.15">
      <c r="A340" s="134"/>
      <c r="B340" s="135"/>
      <c r="C340" s="136"/>
      <c r="D340" s="126" t="s">
        <v>367</v>
      </c>
      <c r="E340" s="136"/>
      <c r="F340" s="136"/>
      <c r="G340" s="136"/>
      <c r="H340" s="136"/>
      <c r="I340" s="136"/>
      <c r="J340" s="136"/>
      <c r="K340" s="136"/>
      <c r="L340" s="136"/>
      <c r="M340" s="136"/>
    </row>
    <row r="341" spans="1:13" ht="13.5" customHeight="1" x14ac:dyDescent="0.15">
      <c r="A341" s="134"/>
      <c r="B341" s="135"/>
      <c r="C341" s="136"/>
      <c r="D341" s="126" t="s">
        <v>367</v>
      </c>
      <c r="E341" s="136"/>
      <c r="F341" s="136"/>
      <c r="G341" s="136"/>
      <c r="H341" s="136"/>
      <c r="I341" s="136"/>
      <c r="J341" s="136"/>
      <c r="K341" s="136"/>
      <c r="L341" s="136"/>
      <c r="M341" s="136"/>
    </row>
    <row r="342" spans="1:13" ht="13.5" customHeight="1" x14ac:dyDescent="0.15">
      <c r="A342" s="134"/>
      <c r="B342" s="135"/>
      <c r="C342" s="136"/>
      <c r="D342" s="126" t="s">
        <v>367</v>
      </c>
      <c r="E342" s="136"/>
      <c r="F342" s="136"/>
      <c r="G342" s="136"/>
      <c r="H342" s="136"/>
      <c r="I342" s="136"/>
      <c r="J342" s="136"/>
      <c r="K342" s="136"/>
      <c r="L342" s="136"/>
      <c r="M342" s="136"/>
    </row>
    <row r="343" spans="1:13" ht="13.5" customHeight="1" x14ac:dyDescent="0.15">
      <c r="A343" s="134"/>
      <c r="B343" s="135"/>
      <c r="C343" s="136"/>
      <c r="D343" s="126" t="s">
        <v>367</v>
      </c>
      <c r="E343" s="136"/>
      <c r="F343" s="136"/>
      <c r="G343" s="136"/>
      <c r="H343" s="136"/>
      <c r="I343" s="136"/>
      <c r="J343" s="136"/>
      <c r="K343" s="136"/>
      <c r="L343" s="136"/>
      <c r="M343" s="136"/>
    </row>
    <row r="344" spans="1:13" ht="13.5" customHeight="1" x14ac:dyDescent="0.15">
      <c r="A344" s="134"/>
      <c r="B344" s="135"/>
      <c r="C344" s="136"/>
      <c r="D344" s="126" t="s">
        <v>367</v>
      </c>
      <c r="E344" s="136"/>
      <c r="F344" s="136"/>
      <c r="G344" s="136"/>
      <c r="H344" s="136"/>
      <c r="I344" s="136"/>
      <c r="J344" s="136"/>
      <c r="K344" s="136"/>
      <c r="L344" s="136"/>
      <c r="M344" s="136"/>
    </row>
    <row r="345" spans="1:13" ht="13.5" customHeight="1" x14ac:dyDescent="0.15">
      <c r="A345" s="134"/>
      <c r="B345" s="135"/>
      <c r="C345" s="136"/>
      <c r="D345" s="126" t="s">
        <v>367</v>
      </c>
      <c r="E345" s="136"/>
      <c r="F345" s="136"/>
      <c r="G345" s="136"/>
      <c r="H345" s="136"/>
      <c r="I345" s="136"/>
      <c r="J345" s="136"/>
      <c r="K345" s="136"/>
      <c r="L345" s="136"/>
      <c r="M345" s="136"/>
    </row>
    <row r="346" spans="1:13" ht="13.5" customHeight="1" x14ac:dyDescent="0.15">
      <c r="A346" s="134"/>
      <c r="B346" s="135"/>
      <c r="C346" s="136"/>
      <c r="D346" s="126" t="s">
        <v>367</v>
      </c>
      <c r="E346" s="136"/>
      <c r="F346" s="136"/>
      <c r="G346" s="136"/>
      <c r="H346" s="136"/>
      <c r="I346" s="136"/>
      <c r="J346" s="136"/>
      <c r="K346" s="136"/>
      <c r="L346" s="136"/>
      <c r="M346" s="136"/>
    </row>
    <row r="347" spans="1:13" ht="13.5" customHeight="1" x14ac:dyDescent="0.15">
      <c r="A347" s="134"/>
      <c r="B347" s="135"/>
      <c r="C347" s="136"/>
      <c r="D347" s="126" t="s">
        <v>367</v>
      </c>
      <c r="E347" s="136"/>
      <c r="F347" s="136"/>
      <c r="G347" s="136"/>
      <c r="H347" s="136"/>
      <c r="I347" s="136"/>
      <c r="J347" s="136"/>
      <c r="K347" s="136"/>
      <c r="L347" s="136"/>
      <c r="M347" s="136"/>
    </row>
    <row r="348" spans="1:13" ht="13.5" customHeight="1" x14ac:dyDescent="0.15">
      <c r="A348" s="134"/>
      <c r="B348" s="135"/>
      <c r="C348" s="136"/>
      <c r="D348" s="126" t="s">
        <v>367</v>
      </c>
      <c r="E348" s="136"/>
      <c r="F348" s="136"/>
      <c r="G348" s="136"/>
      <c r="H348" s="136"/>
      <c r="I348" s="136"/>
      <c r="J348" s="136"/>
      <c r="K348" s="136"/>
      <c r="L348" s="136"/>
      <c r="M348" s="136"/>
    </row>
    <row r="349" spans="1:13" ht="13.5" customHeight="1" x14ac:dyDescent="0.15">
      <c r="A349" s="134"/>
      <c r="B349" s="135"/>
      <c r="C349" s="136"/>
      <c r="D349" s="126" t="s">
        <v>367</v>
      </c>
      <c r="E349" s="136"/>
      <c r="F349" s="136"/>
      <c r="G349" s="136"/>
      <c r="H349" s="136"/>
      <c r="I349" s="136"/>
      <c r="J349" s="136"/>
      <c r="K349" s="136"/>
      <c r="L349" s="136"/>
      <c r="M349" s="136"/>
    </row>
    <row r="350" spans="1:13" ht="13.5" customHeight="1" x14ac:dyDescent="0.15">
      <c r="A350" s="134"/>
      <c r="B350" s="135"/>
      <c r="C350" s="136"/>
      <c r="D350" s="126" t="s">
        <v>367</v>
      </c>
      <c r="E350" s="136"/>
      <c r="F350" s="136"/>
      <c r="G350" s="136"/>
      <c r="H350" s="136"/>
      <c r="I350" s="136"/>
      <c r="J350" s="136"/>
      <c r="K350" s="136"/>
      <c r="L350" s="136"/>
      <c r="M350" s="136"/>
    </row>
    <row r="351" spans="1:13" ht="13.5" customHeight="1" x14ac:dyDescent="0.15">
      <c r="A351" s="134"/>
      <c r="B351" s="135"/>
      <c r="C351" s="136"/>
      <c r="D351" s="126" t="s">
        <v>367</v>
      </c>
      <c r="E351" s="136"/>
      <c r="F351" s="136"/>
      <c r="G351" s="136"/>
      <c r="H351" s="136"/>
      <c r="I351" s="136"/>
      <c r="J351" s="136"/>
      <c r="K351" s="136"/>
      <c r="L351" s="136"/>
      <c r="M351" s="136"/>
    </row>
    <row r="352" spans="1:13" ht="13.5" customHeight="1" x14ac:dyDescent="0.15">
      <c r="A352" s="134"/>
      <c r="B352" s="135"/>
      <c r="C352" s="136"/>
      <c r="D352" s="126" t="s">
        <v>367</v>
      </c>
      <c r="E352" s="136"/>
      <c r="F352" s="136"/>
      <c r="G352" s="136"/>
      <c r="H352" s="136"/>
      <c r="I352" s="136"/>
      <c r="J352" s="136"/>
      <c r="K352" s="136"/>
      <c r="L352" s="136"/>
      <c r="M352" s="136"/>
    </row>
    <row r="353" spans="1:13" ht="13.5" customHeight="1" x14ac:dyDescent="0.15">
      <c r="A353" s="134"/>
      <c r="B353" s="135"/>
      <c r="C353" s="136"/>
      <c r="D353" s="126" t="s">
        <v>367</v>
      </c>
      <c r="E353" s="136"/>
      <c r="F353" s="136"/>
      <c r="G353" s="136"/>
      <c r="H353" s="136"/>
      <c r="I353" s="136"/>
      <c r="J353" s="136"/>
      <c r="K353" s="136"/>
      <c r="L353" s="136"/>
      <c r="M353" s="136"/>
    </row>
    <row r="354" spans="1:13" ht="13.5" customHeight="1" x14ac:dyDescent="0.15">
      <c r="A354" s="134"/>
      <c r="B354" s="135"/>
      <c r="C354" s="136"/>
      <c r="D354" s="126" t="s">
        <v>367</v>
      </c>
      <c r="E354" s="136"/>
      <c r="F354" s="136"/>
      <c r="G354" s="136"/>
      <c r="H354" s="136"/>
      <c r="I354" s="136"/>
      <c r="J354" s="136"/>
      <c r="K354" s="136"/>
      <c r="L354" s="136"/>
      <c r="M354" s="136"/>
    </row>
    <row r="355" spans="1:13" ht="13.5" customHeight="1" x14ac:dyDescent="0.15">
      <c r="A355" s="134"/>
      <c r="B355" s="135"/>
      <c r="C355" s="136"/>
      <c r="D355" s="126" t="s">
        <v>367</v>
      </c>
      <c r="E355" s="136"/>
      <c r="F355" s="136"/>
      <c r="G355" s="136"/>
      <c r="H355" s="136"/>
      <c r="I355" s="136"/>
      <c r="J355" s="136"/>
      <c r="K355" s="136"/>
      <c r="L355" s="136"/>
      <c r="M355" s="136"/>
    </row>
    <row r="356" spans="1:13" ht="13.5" customHeight="1" x14ac:dyDescent="0.15">
      <c r="A356" s="134"/>
      <c r="B356" s="135"/>
      <c r="C356" s="136"/>
      <c r="D356" s="126" t="s">
        <v>367</v>
      </c>
      <c r="E356" s="136"/>
      <c r="F356" s="136"/>
      <c r="G356" s="136"/>
      <c r="H356" s="136"/>
      <c r="I356" s="136"/>
      <c r="J356" s="136"/>
      <c r="K356" s="136"/>
      <c r="L356" s="136"/>
      <c r="M356" s="136"/>
    </row>
    <row r="357" spans="1:13" ht="13.5" customHeight="1" x14ac:dyDescent="0.15">
      <c r="A357" s="134"/>
      <c r="B357" s="135"/>
      <c r="C357" s="136"/>
      <c r="D357" s="126" t="s">
        <v>367</v>
      </c>
      <c r="E357" s="136"/>
      <c r="F357" s="136"/>
      <c r="G357" s="136"/>
      <c r="H357" s="136"/>
      <c r="I357" s="136"/>
      <c r="J357" s="136"/>
      <c r="K357" s="136"/>
      <c r="L357" s="136"/>
      <c r="M357" s="136"/>
    </row>
    <row r="358" spans="1:13" ht="13.5" customHeight="1" x14ac:dyDescent="0.15">
      <c r="A358" s="134"/>
      <c r="B358" s="135"/>
      <c r="C358" s="136"/>
      <c r="D358" s="126" t="s">
        <v>367</v>
      </c>
      <c r="E358" s="136"/>
      <c r="F358" s="136"/>
      <c r="G358" s="136"/>
      <c r="H358" s="136"/>
      <c r="I358" s="136"/>
      <c r="J358" s="136"/>
      <c r="K358" s="136"/>
      <c r="L358" s="136"/>
      <c r="M358" s="136"/>
    </row>
    <row r="359" spans="1:13" ht="13.5" customHeight="1" x14ac:dyDescent="0.15">
      <c r="A359" s="134"/>
      <c r="B359" s="135"/>
      <c r="C359" s="136"/>
      <c r="D359" s="126" t="s">
        <v>367</v>
      </c>
      <c r="E359" s="136"/>
      <c r="F359" s="136"/>
      <c r="G359" s="136"/>
      <c r="H359" s="136"/>
      <c r="I359" s="136"/>
      <c r="J359" s="136"/>
      <c r="K359" s="136"/>
      <c r="L359" s="136"/>
      <c r="M359" s="136"/>
    </row>
    <row r="360" spans="1:13" ht="13.5" customHeight="1" x14ac:dyDescent="0.15">
      <c r="A360" s="134"/>
      <c r="B360" s="135"/>
      <c r="C360" s="136"/>
      <c r="D360" s="126" t="s">
        <v>367</v>
      </c>
      <c r="E360" s="136"/>
      <c r="F360" s="136"/>
      <c r="G360" s="136"/>
      <c r="H360" s="136"/>
      <c r="I360" s="136"/>
      <c r="J360" s="136"/>
      <c r="K360" s="136"/>
      <c r="L360" s="136"/>
      <c r="M360" s="136"/>
    </row>
    <row r="361" spans="1:13" ht="13.5" customHeight="1" x14ac:dyDescent="0.15">
      <c r="A361" s="134"/>
      <c r="B361" s="135"/>
      <c r="C361" s="136"/>
      <c r="D361" s="126" t="s">
        <v>367</v>
      </c>
      <c r="E361" s="136"/>
      <c r="F361" s="136"/>
      <c r="G361" s="136"/>
      <c r="H361" s="136"/>
      <c r="I361" s="136"/>
      <c r="J361" s="136"/>
      <c r="K361" s="136"/>
      <c r="L361" s="136"/>
      <c r="M361" s="136"/>
    </row>
    <row r="362" spans="1:13" ht="13.5" customHeight="1" x14ac:dyDescent="0.15">
      <c r="A362" s="134"/>
      <c r="B362" s="135"/>
      <c r="C362" s="136"/>
      <c r="D362" s="126" t="s">
        <v>367</v>
      </c>
      <c r="E362" s="136"/>
      <c r="F362" s="136"/>
      <c r="G362" s="136"/>
      <c r="H362" s="136"/>
      <c r="I362" s="136"/>
      <c r="J362" s="136"/>
      <c r="K362" s="136"/>
      <c r="L362" s="136"/>
      <c r="M362" s="136"/>
    </row>
    <row r="363" spans="1:13" ht="13.5" customHeight="1" x14ac:dyDescent="0.15">
      <c r="A363" s="134"/>
      <c r="B363" s="135"/>
      <c r="C363" s="136"/>
      <c r="D363" s="126" t="s">
        <v>367</v>
      </c>
      <c r="E363" s="136"/>
      <c r="F363" s="136"/>
      <c r="G363" s="136"/>
      <c r="H363" s="136"/>
      <c r="I363" s="136"/>
      <c r="J363" s="136"/>
      <c r="K363" s="136"/>
      <c r="L363" s="136"/>
      <c r="M363" s="136"/>
    </row>
    <row r="364" spans="1:13" ht="13.5" customHeight="1" x14ac:dyDescent="0.15">
      <c r="A364" s="134"/>
      <c r="B364" s="135"/>
      <c r="C364" s="136"/>
      <c r="D364" s="126" t="s">
        <v>367</v>
      </c>
      <c r="E364" s="136"/>
      <c r="F364" s="136"/>
      <c r="G364" s="136"/>
      <c r="H364" s="136"/>
      <c r="I364" s="136"/>
      <c r="J364" s="136"/>
      <c r="K364" s="136"/>
      <c r="L364" s="136"/>
      <c r="M364" s="136"/>
    </row>
    <row r="365" spans="1:13" ht="13.5" customHeight="1" x14ac:dyDescent="0.15">
      <c r="A365" s="134"/>
      <c r="B365" s="135"/>
      <c r="C365" s="136"/>
      <c r="D365" s="126" t="s">
        <v>367</v>
      </c>
      <c r="E365" s="136"/>
      <c r="F365" s="136"/>
      <c r="G365" s="136"/>
      <c r="H365" s="136"/>
      <c r="I365" s="136"/>
      <c r="J365" s="136"/>
      <c r="K365" s="136"/>
      <c r="L365" s="136"/>
      <c r="M365" s="136"/>
    </row>
    <row r="366" spans="1:13" ht="13.5" customHeight="1" x14ac:dyDescent="0.15">
      <c r="A366" s="134"/>
      <c r="B366" s="135"/>
      <c r="C366" s="136"/>
      <c r="D366" s="126" t="s">
        <v>367</v>
      </c>
      <c r="E366" s="136"/>
      <c r="F366" s="136"/>
      <c r="G366" s="136"/>
      <c r="H366" s="136"/>
      <c r="I366" s="136"/>
      <c r="J366" s="136"/>
      <c r="K366" s="136"/>
      <c r="L366" s="136"/>
      <c r="M366" s="136"/>
    </row>
    <row r="367" spans="1:13" ht="13.5" customHeight="1" x14ac:dyDescent="0.15">
      <c r="A367" s="134"/>
      <c r="B367" s="135"/>
      <c r="C367" s="136"/>
      <c r="D367" s="126" t="s">
        <v>367</v>
      </c>
      <c r="E367" s="136"/>
      <c r="F367" s="136"/>
      <c r="G367" s="136"/>
      <c r="H367" s="136"/>
      <c r="I367" s="136"/>
      <c r="J367" s="136"/>
      <c r="K367" s="136"/>
      <c r="L367" s="136"/>
      <c r="M367" s="136"/>
    </row>
    <row r="368" spans="1:13" ht="13.5" customHeight="1" x14ac:dyDescent="0.15">
      <c r="A368" s="134"/>
      <c r="B368" s="135"/>
      <c r="C368" s="136"/>
      <c r="D368" s="126" t="s">
        <v>367</v>
      </c>
      <c r="E368" s="136"/>
      <c r="F368" s="136"/>
      <c r="G368" s="136"/>
      <c r="H368" s="136"/>
      <c r="I368" s="136"/>
      <c r="J368" s="136"/>
      <c r="K368" s="136"/>
      <c r="L368" s="136"/>
      <c r="M368" s="136"/>
    </row>
    <row r="369" spans="1:13" ht="13.5" customHeight="1" x14ac:dyDescent="0.15">
      <c r="A369" s="134"/>
      <c r="B369" s="135"/>
      <c r="C369" s="136"/>
      <c r="D369" s="126" t="s">
        <v>367</v>
      </c>
      <c r="E369" s="136"/>
      <c r="F369" s="136"/>
      <c r="G369" s="136"/>
      <c r="H369" s="136"/>
      <c r="I369" s="136"/>
      <c r="J369" s="136"/>
      <c r="K369" s="136"/>
      <c r="L369" s="136"/>
      <c r="M369" s="136"/>
    </row>
    <row r="370" spans="1:13" ht="13.5" customHeight="1" x14ac:dyDescent="0.15">
      <c r="A370" s="134"/>
      <c r="B370" s="135"/>
      <c r="C370" s="136"/>
      <c r="D370" s="126" t="s">
        <v>367</v>
      </c>
      <c r="E370" s="136"/>
      <c r="F370" s="136"/>
      <c r="G370" s="136"/>
      <c r="H370" s="136"/>
      <c r="I370" s="136"/>
      <c r="J370" s="136"/>
      <c r="K370" s="136"/>
      <c r="L370" s="136"/>
      <c r="M370" s="136"/>
    </row>
    <row r="371" spans="1:13" ht="13.5" customHeight="1" x14ac:dyDescent="0.15">
      <c r="A371" s="134"/>
      <c r="B371" s="135"/>
      <c r="C371" s="136"/>
      <c r="D371" s="126" t="s">
        <v>367</v>
      </c>
      <c r="E371" s="136"/>
      <c r="F371" s="136"/>
      <c r="G371" s="136"/>
      <c r="H371" s="136"/>
      <c r="I371" s="136"/>
      <c r="J371" s="136"/>
      <c r="K371" s="136"/>
      <c r="L371" s="136"/>
      <c r="M371" s="136"/>
    </row>
    <row r="372" spans="1:13" ht="13.5" customHeight="1" x14ac:dyDescent="0.15">
      <c r="A372" s="134"/>
      <c r="B372" s="135"/>
      <c r="C372" s="136"/>
      <c r="D372" s="126" t="s">
        <v>367</v>
      </c>
      <c r="E372" s="136"/>
      <c r="F372" s="136"/>
      <c r="G372" s="136"/>
      <c r="H372" s="136"/>
      <c r="I372" s="136"/>
      <c r="J372" s="136"/>
      <c r="K372" s="136"/>
      <c r="L372" s="136"/>
      <c r="M372" s="136"/>
    </row>
    <row r="373" spans="1:13" ht="13.5" customHeight="1" x14ac:dyDescent="0.15">
      <c r="A373" s="134"/>
      <c r="B373" s="135"/>
      <c r="C373" s="136"/>
      <c r="D373" s="126" t="s">
        <v>367</v>
      </c>
      <c r="E373" s="136"/>
      <c r="F373" s="136"/>
      <c r="G373" s="136"/>
      <c r="H373" s="136"/>
      <c r="I373" s="136"/>
      <c r="J373" s="136"/>
      <c r="K373" s="136"/>
      <c r="L373" s="136"/>
      <c r="M373" s="136"/>
    </row>
    <row r="374" spans="1:13" ht="13.5" customHeight="1" x14ac:dyDescent="0.15">
      <c r="A374" s="134"/>
      <c r="B374" s="135"/>
      <c r="C374" s="136"/>
      <c r="D374" s="126" t="s">
        <v>367</v>
      </c>
      <c r="E374" s="136"/>
      <c r="F374" s="136"/>
      <c r="G374" s="136"/>
      <c r="H374" s="136"/>
      <c r="I374" s="136"/>
      <c r="J374" s="136"/>
      <c r="K374" s="136"/>
      <c r="L374" s="136"/>
      <c r="M374" s="136"/>
    </row>
    <row r="375" spans="1:13" ht="13.5" customHeight="1" x14ac:dyDescent="0.15">
      <c r="A375" s="134"/>
      <c r="B375" s="135"/>
      <c r="C375" s="136"/>
      <c r="D375" s="126" t="s">
        <v>367</v>
      </c>
      <c r="E375" s="136"/>
      <c r="F375" s="136"/>
      <c r="G375" s="136"/>
      <c r="H375" s="136"/>
      <c r="I375" s="136"/>
      <c r="J375" s="136"/>
      <c r="K375" s="136"/>
      <c r="L375" s="136"/>
      <c r="M375" s="136"/>
    </row>
    <row r="376" spans="1:13" ht="13.5" customHeight="1" x14ac:dyDescent="0.15">
      <c r="A376" s="134"/>
      <c r="B376" s="135"/>
      <c r="C376" s="136"/>
      <c r="D376" s="126" t="s">
        <v>367</v>
      </c>
      <c r="E376" s="136"/>
      <c r="F376" s="136"/>
      <c r="G376" s="136"/>
      <c r="H376" s="136"/>
      <c r="I376" s="136"/>
      <c r="J376" s="136"/>
      <c r="K376" s="136"/>
      <c r="L376" s="136"/>
      <c r="M376" s="136"/>
    </row>
    <row r="377" spans="1:13" ht="13.5" customHeight="1" x14ac:dyDescent="0.15">
      <c r="A377" s="134"/>
      <c r="B377" s="135"/>
      <c r="C377" s="136"/>
      <c r="D377" s="126" t="s">
        <v>367</v>
      </c>
      <c r="E377" s="136"/>
      <c r="F377" s="136"/>
      <c r="G377" s="136"/>
      <c r="H377" s="136"/>
      <c r="I377" s="136"/>
      <c r="J377" s="136"/>
      <c r="K377" s="136"/>
      <c r="L377" s="136"/>
      <c r="M377" s="136"/>
    </row>
    <row r="378" spans="1:13" ht="13.5" customHeight="1" x14ac:dyDescent="0.15">
      <c r="A378" s="134"/>
      <c r="B378" s="135"/>
      <c r="C378" s="136"/>
      <c r="D378" s="126" t="s">
        <v>367</v>
      </c>
      <c r="E378" s="136"/>
      <c r="F378" s="136"/>
      <c r="G378" s="136"/>
      <c r="H378" s="136"/>
      <c r="I378" s="136"/>
      <c r="J378" s="136"/>
      <c r="K378" s="136"/>
      <c r="L378" s="136"/>
      <c r="M378" s="136"/>
    </row>
    <row r="379" spans="1:13" ht="13.5" customHeight="1" x14ac:dyDescent="0.15">
      <c r="A379" s="134"/>
      <c r="B379" s="135"/>
      <c r="C379" s="136"/>
      <c r="D379" s="126" t="s">
        <v>367</v>
      </c>
      <c r="E379" s="136"/>
      <c r="F379" s="136"/>
      <c r="G379" s="136"/>
      <c r="H379" s="136"/>
      <c r="I379" s="136"/>
      <c r="J379" s="136"/>
      <c r="K379" s="136"/>
      <c r="L379" s="136"/>
      <c r="M379" s="136"/>
    </row>
    <row r="380" spans="1:13" ht="13.5" customHeight="1" x14ac:dyDescent="0.15">
      <c r="A380" s="134"/>
      <c r="B380" s="135"/>
      <c r="C380" s="136"/>
      <c r="D380" s="126" t="s">
        <v>367</v>
      </c>
      <c r="E380" s="136"/>
      <c r="F380" s="136"/>
      <c r="G380" s="136"/>
      <c r="H380" s="136"/>
      <c r="I380" s="136"/>
      <c r="J380" s="136"/>
      <c r="K380" s="136"/>
      <c r="L380" s="136"/>
      <c r="M380" s="136"/>
    </row>
    <row r="381" spans="1:13" ht="13.5" customHeight="1" x14ac:dyDescent="0.15">
      <c r="A381" s="134"/>
      <c r="B381" s="135"/>
      <c r="C381" s="136"/>
      <c r="D381" s="126" t="s">
        <v>367</v>
      </c>
      <c r="E381" s="136"/>
      <c r="F381" s="136"/>
      <c r="G381" s="136"/>
      <c r="H381" s="136"/>
      <c r="I381" s="136"/>
      <c r="J381" s="136"/>
      <c r="K381" s="136"/>
      <c r="L381" s="136"/>
      <c r="M381" s="136"/>
    </row>
    <row r="382" spans="1:13" ht="13.5" customHeight="1" x14ac:dyDescent="0.15">
      <c r="A382" s="134"/>
      <c r="B382" s="135"/>
      <c r="C382" s="136"/>
      <c r="D382" s="126" t="s">
        <v>367</v>
      </c>
      <c r="E382" s="136"/>
      <c r="F382" s="136"/>
      <c r="G382" s="136"/>
      <c r="H382" s="136"/>
      <c r="I382" s="136"/>
      <c r="J382" s="136"/>
      <c r="K382" s="136"/>
      <c r="L382" s="136"/>
      <c r="M382" s="136"/>
    </row>
    <row r="383" spans="1:13" ht="13.5" customHeight="1" x14ac:dyDescent="0.15">
      <c r="A383" s="134"/>
      <c r="B383" s="135"/>
      <c r="C383" s="136"/>
      <c r="D383" s="126" t="s">
        <v>367</v>
      </c>
      <c r="E383" s="136"/>
      <c r="F383" s="136"/>
      <c r="G383" s="136"/>
      <c r="H383" s="136"/>
      <c r="I383" s="136"/>
      <c r="J383" s="136"/>
      <c r="K383" s="136"/>
      <c r="L383" s="136"/>
      <c r="M383" s="136"/>
    </row>
    <row r="384" spans="1:13" ht="13.5" customHeight="1" x14ac:dyDescent="0.15">
      <c r="A384" s="134"/>
      <c r="B384" s="135"/>
      <c r="C384" s="136"/>
      <c r="D384" s="126" t="s">
        <v>367</v>
      </c>
      <c r="E384" s="136"/>
      <c r="F384" s="136"/>
      <c r="G384" s="136"/>
      <c r="H384" s="136"/>
      <c r="I384" s="136"/>
      <c r="J384" s="136"/>
      <c r="K384" s="136"/>
      <c r="L384" s="136"/>
      <c r="M384" s="136"/>
    </row>
    <row r="385" spans="1:13" ht="13.5" customHeight="1" x14ac:dyDescent="0.15">
      <c r="A385" s="134"/>
      <c r="B385" s="135"/>
      <c r="C385" s="136"/>
      <c r="D385" s="126" t="s">
        <v>367</v>
      </c>
      <c r="E385" s="136"/>
      <c r="F385" s="136"/>
      <c r="G385" s="136"/>
      <c r="H385" s="136"/>
      <c r="I385" s="136"/>
      <c r="J385" s="136"/>
      <c r="K385" s="136"/>
      <c r="L385" s="136"/>
      <c r="M385" s="136"/>
    </row>
    <row r="386" spans="1:13" ht="13.5" customHeight="1" x14ac:dyDescent="0.15">
      <c r="A386" s="134"/>
      <c r="B386" s="135"/>
      <c r="C386" s="136"/>
      <c r="D386" s="126" t="s">
        <v>367</v>
      </c>
      <c r="E386" s="136"/>
      <c r="F386" s="136"/>
      <c r="G386" s="136"/>
      <c r="H386" s="136"/>
      <c r="I386" s="136"/>
      <c r="J386" s="136"/>
      <c r="K386" s="136"/>
      <c r="L386" s="136"/>
      <c r="M386" s="136"/>
    </row>
    <row r="387" spans="1:13" ht="13.5" customHeight="1" x14ac:dyDescent="0.15">
      <c r="A387" s="134"/>
      <c r="B387" s="135"/>
      <c r="C387" s="136"/>
      <c r="D387" s="126" t="s">
        <v>367</v>
      </c>
      <c r="E387" s="136"/>
      <c r="F387" s="136"/>
      <c r="G387" s="136"/>
      <c r="H387" s="136"/>
      <c r="I387" s="136"/>
      <c r="J387" s="136"/>
      <c r="K387" s="136"/>
      <c r="L387" s="136"/>
      <c r="M387" s="136"/>
    </row>
    <row r="388" spans="1:13" ht="13.5" customHeight="1" x14ac:dyDescent="0.15">
      <c r="A388" s="134"/>
      <c r="B388" s="135"/>
      <c r="C388" s="136"/>
      <c r="D388" s="126" t="s">
        <v>367</v>
      </c>
      <c r="E388" s="136"/>
      <c r="F388" s="136"/>
      <c r="G388" s="136"/>
      <c r="H388" s="136"/>
      <c r="I388" s="136"/>
      <c r="J388" s="136"/>
      <c r="K388" s="136"/>
      <c r="L388" s="136"/>
      <c r="M388" s="136"/>
    </row>
    <row r="389" spans="1:13" ht="13.5" customHeight="1" x14ac:dyDescent="0.15">
      <c r="A389" s="134"/>
      <c r="B389" s="135"/>
      <c r="C389" s="136"/>
      <c r="D389" s="126" t="s">
        <v>367</v>
      </c>
      <c r="E389" s="136"/>
      <c r="F389" s="136"/>
      <c r="G389" s="136"/>
      <c r="H389" s="136"/>
      <c r="I389" s="136"/>
      <c r="J389" s="136"/>
      <c r="K389" s="136"/>
      <c r="L389" s="136"/>
      <c r="M389" s="136"/>
    </row>
    <row r="390" spans="1:13" ht="13.5" customHeight="1" x14ac:dyDescent="0.15">
      <c r="A390" s="134"/>
      <c r="B390" s="135"/>
      <c r="C390" s="136"/>
      <c r="D390" s="126" t="s">
        <v>367</v>
      </c>
      <c r="E390" s="136"/>
      <c r="F390" s="136"/>
      <c r="G390" s="136"/>
      <c r="H390" s="136"/>
      <c r="I390" s="136"/>
      <c r="J390" s="136"/>
      <c r="K390" s="136"/>
      <c r="L390" s="136"/>
      <c r="M390" s="136"/>
    </row>
    <row r="391" spans="1:13" ht="13.5" customHeight="1" x14ac:dyDescent="0.15">
      <c r="A391" s="134"/>
      <c r="B391" s="135"/>
      <c r="C391" s="136"/>
      <c r="D391" s="126" t="s">
        <v>367</v>
      </c>
      <c r="E391" s="136"/>
      <c r="F391" s="136"/>
      <c r="G391" s="136"/>
      <c r="H391" s="136"/>
      <c r="I391" s="136"/>
      <c r="J391" s="136"/>
      <c r="K391" s="136"/>
      <c r="L391" s="136"/>
      <c r="M391" s="136"/>
    </row>
    <row r="392" spans="1:13" ht="13.5" customHeight="1" x14ac:dyDescent="0.15">
      <c r="A392" s="134"/>
      <c r="B392" s="135"/>
      <c r="C392" s="136"/>
      <c r="D392" s="126" t="s">
        <v>367</v>
      </c>
      <c r="E392" s="136"/>
      <c r="F392" s="136"/>
      <c r="G392" s="136"/>
      <c r="H392" s="136"/>
      <c r="I392" s="136"/>
      <c r="J392" s="136"/>
      <c r="K392" s="136"/>
      <c r="L392" s="136"/>
      <c r="M392" s="136"/>
    </row>
    <row r="393" spans="1:13" ht="13.5" customHeight="1" x14ac:dyDescent="0.15">
      <c r="A393" s="134"/>
      <c r="B393" s="135"/>
      <c r="C393" s="136"/>
      <c r="D393" s="126" t="s">
        <v>367</v>
      </c>
      <c r="E393" s="136"/>
      <c r="F393" s="136"/>
      <c r="G393" s="136"/>
      <c r="H393" s="136"/>
      <c r="I393" s="136"/>
      <c r="J393" s="136"/>
      <c r="K393" s="136"/>
      <c r="L393" s="136"/>
      <c r="M393" s="136"/>
    </row>
    <row r="394" spans="1:13" ht="13.5" customHeight="1" x14ac:dyDescent="0.15">
      <c r="A394" s="134"/>
      <c r="B394" s="135"/>
      <c r="C394" s="136"/>
      <c r="D394" s="126" t="s">
        <v>367</v>
      </c>
      <c r="E394" s="136"/>
      <c r="F394" s="136"/>
      <c r="G394" s="136"/>
      <c r="H394" s="136"/>
      <c r="I394" s="136"/>
      <c r="J394" s="136"/>
      <c r="K394" s="136"/>
      <c r="L394" s="136"/>
      <c r="M394" s="136"/>
    </row>
    <row r="395" spans="1:13" ht="13.5" customHeight="1" x14ac:dyDescent="0.15">
      <c r="A395" s="134"/>
      <c r="B395" s="135"/>
      <c r="C395" s="136"/>
      <c r="D395" s="126" t="s">
        <v>367</v>
      </c>
      <c r="E395" s="136"/>
      <c r="F395" s="136"/>
      <c r="G395" s="136"/>
      <c r="H395" s="136"/>
      <c r="I395" s="136"/>
      <c r="J395" s="136"/>
      <c r="K395" s="136"/>
      <c r="L395" s="136"/>
      <c r="M395" s="136"/>
    </row>
    <row r="396" spans="1:13" ht="13.5" customHeight="1" x14ac:dyDescent="0.15">
      <c r="A396" s="134"/>
      <c r="B396" s="135"/>
      <c r="C396" s="136"/>
      <c r="D396" s="126" t="s">
        <v>367</v>
      </c>
      <c r="E396" s="136"/>
      <c r="F396" s="136"/>
      <c r="G396" s="136"/>
      <c r="H396" s="136"/>
      <c r="I396" s="136"/>
      <c r="J396" s="136"/>
      <c r="K396" s="136"/>
      <c r="L396" s="136"/>
      <c r="M396" s="136"/>
    </row>
    <row r="397" spans="1:13" ht="13.5" customHeight="1" x14ac:dyDescent="0.15">
      <c r="A397" s="134"/>
      <c r="B397" s="135"/>
      <c r="C397" s="136"/>
      <c r="D397" s="126" t="s">
        <v>367</v>
      </c>
      <c r="E397" s="136"/>
      <c r="F397" s="136"/>
      <c r="G397" s="136"/>
      <c r="H397" s="136"/>
      <c r="I397" s="136"/>
      <c r="J397" s="136"/>
      <c r="K397" s="136"/>
      <c r="L397" s="136"/>
      <c r="M397" s="136"/>
    </row>
    <row r="398" spans="1:13" ht="13.5" customHeight="1" x14ac:dyDescent="0.15">
      <c r="A398" s="134"/>
      <c r="B398" s="135"/>
      <c r="C398" s="136"/>
      <c r="D398" s="126" t="s">
        <v>367</v>
      </c>
      <c r="E398" s="136"/>
      <c r="F398" s="136"/>
      <c r="G398" s="136"/>
      <c r="H398" s="136"/>
      <c r="I398" s="136"/>
      <c r="J398" s="136"/>
      <c r="K398" s="136"/>
      <c r="L398" s="136"/>
      <c r="M398" s="136"/>
    </row>
    <row r="399" spans="1:13" ht="13.5" customHeight="1" x14ac:dyDescent="0.15">
      <c r="A399" s="134"/>
      <c r="B399" s="135"/>
      <c r="C399" s="136"/>
      <c r="D399" s="126" t="s">
        <v>367</v>
      </c>
      <c r="E399" s="136"/>
      <c r="F399" s="136"/>
      <c r="G399" s="136"/>
      <c r="H399" s="136"/>
      <c r="I399" s="136"/>
      <c r="J399" s="136"/>
      <c r="K399" s="136"/>
      <c r="L399" s="136"/>
      <c r="M399" s="136"/>
    </row>
    <row r="400" spans="1:13" ht="13.5" customHeight="1" x14ac:dyDescent="0.15">
      <c r="A400" s="134"/>
      <c r="B400" s="135"/>
      <c r="C400" s="136"/>
      <c r="D400" s="126" t="s">
        <v>367</v>
      </c>
      <c r="E400" s="136"/>
      <c r="F400" s="136"/>
      <c r="G400" s="136"/>
      <c r="H400" s="136"/>
      <c r="I400" s="136"/>
      <c r="J400" s="136"/>
      <c r="K400" s="136"/>
      <c r="L400" s="136"/>
      <c r="M400" s="136"/>
    </row>
    <row r="401" spans="1:13" ht="13.5" customHeight="1" x14ac:dyDescent="0.15">
      <c r="A401" s="134"/>
      <c r="B401" s="135"/>
      <c r="C401" s="136"/>
      <c r="D401" s="126" t="s">
        <v>367</v>
      </c>
      <c r="E401" s="136"/>
      <c r="F401" s="136"/>
      <c r="G401" s="136"/>
      <c r="H401" s="136"/>
      <c r="I401" s="136"/>
      <c r="J401" s="136"/>
      <c r="K401" s="136"/>
      <c r="L401" s="136"/>
      <c r="M401" s="136"/>
    </row>
    <row r="402" spans="1:13" ht="13.5" customHeight="1" x14ac:dyDescent="0.15">
      <c r="A402" s="134"/>
      <c r="B402" s="135"/>
      <c r="C402" s="136"/>
      <c r="D402" s="126" t="s">
        <v>367</v>
      </c>
      <c r="E402" s="136"/>
      <c r="F402" s="136"/>
      <c r="G402" s="136"/>
      <c r="H402" s="136"/>
      <c r="I402" s="136"/>
      <c r="J402" s="136"/>
      <c r="K402" s="136"/>
      <c r="L402" s="136"/>
      <c r="M402" s="136"/>
    </row>
    <row r="403" spans="1:13" ht="13.5" customHeight="1" x14ac:dyDescent="0.15">
      <c r="A403" s="134"/>
      <c r="B403" s="135"/>
      <c r="C403" s="136"/>
      <c r="D403" s="126" t="s">
        <v>367</v>
      </c>
      <c r="E403" s="136"/>
      <c r="F403" s="136"/>
      <c r="G403" s="136"/>
      <c r="H403" s="136"/>
      <c r="I403" s="136"/>
      <c r="J403" s="136"/>
      <c r="K403" s="136"/>
      <c r="L403" s="136"/>
      <c r="M403" s="136"/>
    </row>
    <row r="404" spans="1:13" ht="13.5" customHeight="1" x14ac:dyDescent="0.15">
      <c r="A404" s="134"/>
      <c r="B404" s="135"/>
      <c r="C404" s="136"/>
      <c r="D404" s="126" t="s">
        <v>367</v>
      </c>
      <c r="E404" s="136"/>
      <c r="F404" s="136"/>
      <c r="G404" s="136"/>
      <c r="H404" s="136"/>
      <c r="I404" s="136"/>
      <c r="J404" s="136"/>
      <c r="K404" s="136"/>
      <c r="L404" s="136"/>
      <c r="M404" s="136"/>
    </row>
    <row r="405" spans="1:13" ht="13.5" customHeight="1" x14ac:dyDescent="0.15">
      <c r="A405" s="134"/>
      <c r="B405" s="135"/>
      <c r="C405" s="136"/>
      <c r="D405" s="126" t="s">
        <v>367</v>
      </c>
      <c r="E405" s="136"/>
      <c r="F405" s="136"/>
      <c r="G405" s="136"/>
      <c r="H405" s="136"/>
      <c r="I405" s="136"/>
      <c r="J405" s="136"/>
      <c r="K405" s="136"/>
      <c r="L405" s="136"/>
      <c r="M405" s="136"/>
    </row>
    <row r="406" spans="1:13" ht="13.5" customHeight="1" x14ac:dyDescent="0.15">
      <c r="A406" s="134"/>
      <c r="B406" s="135"/>
      <c r="C406" s="136"/>
      <c r="D406" s="126" t="s">
        <v>367</v>
      </c>
      <c r="E406" s="136"/>
      <c r="F406" s="136"/>
      <c r="G406" s="136"/>
      <c r="H406" s="136"/>
      <c r="I406" s="136"/>
      <c r="J406" s="136"/>
      <c r="K406" s="136"/>
      <c r="L406" s="136"/>
      <c r="M406" s="136"/>
    </row>
    <row r="407" spans="1:13" ht="13.5" customHeight="1" x14ac:dyDescent="0.15">
      <c r="A407" s="134"/>
      <c r="B407" s="135"/>
      <c r="C407" s="136"/>
      <c r="D407" s="126" t="s">
        <v>367</v>
      </c>
      <c r="E407" s="136"/>
      <c r="F407" s="136"/>
      <c r="G407" s="136"/>
      <c r="H407" s="136"/>
      <c r="I407" s="136"/>
      <c r="J407" s="136"/>
      <c r="K407" s="136"/>
      <c r="L407" s="136"/>
      <c r="M407" s="136"/>
    </row>
    <row r="408" spans="1:13" ht="13.5" customHeight="1" x14ac:dyDescent="0.15">
      <c r="A408" s="134"/>
      <c r="B408" s="135"/>
      <c r="C408" s="136"/>
      <c r="D408" s="126" t="s">
        <v>367</v>
      </c>
      <c r="E408" s="136"/>
      <c r="F408" s="136"/>
      <c r="G408" s="136"/>
      <c r="H408" s="136"/>
      <c r="I408" s="136"/>
      <c r="J408" s="136"/>
      <c r="K408" s="136"/>
      <c r="L408" s="136"/>
      <c r="M408" s="136"/>
    </row>
    <row r="409" spans="1:13" ht="13.5" customHeight="1" x14ac:dyDescent="0.15">
      <c r="A409" s="134"/>
      <c r="B409" s="135"/>
      <c r="C409" s="136"/>
      <c r="D409" s="126" t="s">
        <v>367</v>
      </c>
      <c r="E409" s="136"/>
      <c r="F409" s="136"/>
      <c r="G409" s="136"/>
      <c r="H409" s="136"/>
      <c r="I409" s="136"/>
      <c r="J409" s="136"/>
      <c r="K409" s="136"/>
      <c r="L409" s="136"/>
      <c r="M409" s="136"/>
    </row>
    <row r="410" spans="1:13" ht="13.5" customHeight="1" x14ac:dyDescent="0.15">
      <c r="A410" s="134"/>
      <c r="B410" s="135"/>
      <c r="C410" s="136"/>
      <c r="D410" s="126" t="s">
        <v>367</v>
      </c>
      <c r="E410" s="136"/>
      <c r="F410" s="136"/>
      <c r="G410" s="136"/>
      <c r="H410" s="136"/>
      <c r="I410" s="136"/>
      <c r="J410" s="136"/>
      <c r="K410" s="136"/>
      <c r="L410" s="136"/>
      <c r="M410" s="136"/>
    </row>
    <row r="411" spans="1:13" ht="13.5" customHeight="1" x14ac:dyDescent="0.15">
      <c r="A411" s="134"/>
      <c r="B411" s="135"/>
      <c r="C411" s="136"/>
      <c r="D411" s="126" t="s">
        <v>367</v>
      </c>
      <c r="E411" s="136"/>
      <c r="F411" s="136"/>
      <c r="G411" s="136"/>
      <c r="H411" s="136"/>
      <c r="I411" s="136"/>
      <c r="J411" s="136"/>
      <c r="K411" s="136"/>
      <c r="L411" s="136"/>
      <c r="M411" s="136"/>
    </row>
    <row r="412" spans="1:13" ht="13.5" customHeight="1" x14ac:dyDescent="0.15">
      <c r="A412" s="134"/>
      <c r="B412" s="135"/>
      <c r="C412" s="136"/>
      <c r="D412" s="126" t="s">
        <v>367</v>
      </c>
      <c r="E412" s="136"/>
      <c r="F412" s="136"/>
      <c r="G412" s="136"/>
      <c r="H412" s="136"/>
      <c r="I412" s="136"/>
      <c r="J412" s="136"/>
      <c r="K412" s="136"/>
      <c r="L412" s="136"/>
      <c r="M412" s="136"/>
    </row>
    <row r="413" spans="1:13" ht="13.5" customHeight="1" x14ac:dyDescent="0.15">
      <c r="A413" s="134"/>
      <c r="B413" s="135"/>
      <c r="C413" s="136"/>
      <c r="D413" s="126" t="s">
        <v>367</v>
      </c>
      <c r="E413" s="136"/>
      <c r="F413" s="136"/>
      <c r="G413" s="136"/>
      <c r="H413" s="136"/>
      <c r="I413" s="136"/>
      <c r="J413" s="136"/>
      <c r="K413" s="136"/>
      <c r="L413" s="136"/>
      <c r="M413" s="136"/>
    </row>
    <row r="414" spans="1:13" ht="13.5" customHeight="1" x14ac:dyDescent="0.15">
      <c r="A414" s="134"/>
      <c r="B414" s="135"/>
      <c r="C414" s="136"/>
      <c r="D414" s="126" t="s">
        <v>367</v>
      </c>
      <c r="E414" s="136"/>
      <c r="F414" s="136"/>
      <c r="G414" s="136"/>
      <c r="H414" s="136"/>
      <c r="I414" s="136"/>
      <c r="J414" s="136"/>
      <c r="K414" s="136"/>
      <c r="L414" s="136"/>
      <c r="M414" s="136"/>
    </row>
    <row r="415" spans="1:13" ht="13.5" customHeight="1" x14ac:dyDescent="0.15">
      <c r="A415" s="134"/>
      <c r="B415" s="135"/>
      <c r="C415" s="136"/>
      <c r="D415" s="126" t="s">
        <v>367</v>
      </c>
      <c r="E415" s="136"/>
      <c r="F415" s="136"/>
      <c r="G415" s="136"/>
      <c r="H415" s="136"/>
      <c r="I415" s="136"/>
      <c r="J415" s="136"/>
      <c r="K415" s="136"/>
      <c r="L415" s="136"/>
      <c r="M415" s="136"/>
    </row>
    <row r="416" spans="1:13" ht="13.5" customHeight="1" x14ac:dyDescent="0.15">
      <c r="A416" s="134"/>
      <c r="B416" s="135"/>
      <c r="C416" s="136"/>
      <c r="D416" s="126" t="s">
        <v>367</v>
      </c>
      <c r="E416" s="136"/>
      <c r="F416" s="136"/>
      <c r="G416" s="136"/>
      <c r="H416" s="136"/>
      <c r="I416" s="136"/>
      <c r="J416" s="136"/>
      <c r="K416" s="136"/>
      <c r="L416" s="136"/>
      <c r="M416" s="136"/>
    </row>
    <row r="417" spans="1:13" ht="13.5" customHeight="1" x14ac:dyDescent="0.15">
      <c r="A417" s="134"/>
      <c r="B417" s="135"/>
      <c r="C417" s="136"/>
      <c r="D417" s="126" t="s">
        <v>367</v>
      </c>
      <c r="E417" s="136"/>
      <c r="F417" s="136"/>
      <c r="G417" s="136"/>
      <c r="H417" s="136"/>
      <c r="I417" s="136"/>
      <c r="J417" s="136"/>
      <c r="K417" s="136"/>
      <c r="L417" s="136"/>
      <c r="M417" s="136"/>
    </row>
    <row r="418" spans="1:13" ht="13.5" customHeight="1" x14ac:dyDescent="0.15">
      <c r="A418" s="134"/>
      <c r="B418" s="135"/>
      <c r="C418" s="136"/>
      <c r="D418" s="126" t="s">
        <v>367</v>
      </c>
      <c r="E418" s="136"/>
      <c r="F418" s="136"/>
      <c r="G418" s="136"/>
      <c r="H418" s="136"/>
      <c r="I418" s="136"/>
      <c r="J418" s="136"/>
      <c r="K418" s="136"/>
      <c r="L418" s="136"/>
      <c r="M418" s="136"/>
    </row>
    <row r="419" spans="1:13" ht="13.5" customHeight="1" x14ac:dyDescent="0.15">
      <c r="A419" s="134"/>
      <c r="B419" s="135"/>
      <c r="C419" s="136"/>
      <c r="D419" s="126" t="s">
        <v>367</v>
      </c>
      <c r="E419" s="136"/>
      <c r="F419" s="136"/>
      <c r="G419" s="136"/>
      <c r="H419" s="136"/>
      <c r="I419" s="136"/>
      <c r="J419" s="136"/>
      <c r="K419" s="136"/>
      <c r="L419" s="136"/>
      <c r="M419" s="136"/>
    </row>
    <row r="420" spans="1:13" ht="13.5" customHeight="1" x14ac:dyDescent="0.15">
      <c r="A420" s="134"/>
      <c r="B420" s="135"/>
      <c r="C420" s="136"/>
      <c r="D420" s="126" t="s">
        <v>367</v>
      </c>
      <c r="E420" s="136"/>
      <c r="F420" s="136"/>
      <c r="G420" s="136"/>
      <c r="H420" s="136"/>
      <c r="I420" s="136"/>
      <c r="J420" s="136"/>
      <c r="K420" s="136"/>
      <c r="L420" s="136"/>
      <c r="M420" s="136"/>
    </row>
    <row r="421" spans="1:13" ht="13.5" customHeight="1" x14ac:dyDescent="0.15">
      <c r="A421" s="134"/>
      <c r="B421" s="135"/>
      <c r="C421" s="136"/>
      <c r="D421" s="126" t="s">
        <v>367</v>
      </c>
      <c r="E421" s="136"/>
      <c r="F421" s="136"/>
      <c r="G421" s="136"/>
      <c r="H421" s="136"/>
      <c r="I421" s="136"/>
      <c r="J421" s="136"/>
      <c r="K421" s="136"/>
      <c r="L421" s="136"/>
      <c r="M421" s="136"/>
    </row>
    <row r="422" spans="1:13" ht="13.5" customHeight="1" x14ac:dyDescent="0.15">
      <c r="A422" s="134"/>
      <c r="B422" s="135"/>
      <c r="C422" s="136"/>
      <c r="D422" s="126" t="s">
        <v>367</v>
      </c>
      <c r="E422" s="136"/>
      <c r="F422" s="136"/>
      <c r="G422" s="136"/>
      <c r="H422" s="136"/>
      <c r="I422" s="136"/>
      <c r="J422" s="136"/>
      <c r="K422" s="136"/>
      <c r="L422" s="136"/>
      <c r="M422" s="136"/>
    </row>
    <row r="423" spans="1:13" ht="13.5" customHeight="1" x14ac:dyDescent="0.15">
      <c r="A423" s="134"/>
      <c r="B423" s="135"/>
      <c r="C423" s="136"/>
      <c r="D423" s="126" t="s">
        <v>367</v>
      </c>
      <c r="E423" s="136"/>
      <c r="F423" s="136"/>
      <c r="G423" s="136"/>
      <c r="H423" s="136"/>
      <c r="I423" s="136"/>
      <c r="J423" s="136"/>
      <c r="K423" s="136"/>
      <c r="L423" s="136"/>
      <c r="M423" s="136"/>
    </row>
    <row r="424" spans="1:13" ht="13.5" customHeight="1" x14ac:dyDescent="0.15">
      <c r="A424" s="134"/>
      <c r="B424" s="135"/>
      <c r="C424" s="136"/>
      <c r="D424" s="126" t="s">
        <v>367</v>
      </c>
      <c r="E424" s="136"/>
      <c r="F424" s="136"/>
      <c r="G424" s="136"/>
      <c r="H424" s="136"/>
      <c r="I424" s="136"/>
      <c r="J424" s="136"/>
      <c r="K424" s="136"/>
      <c r="L424" s="136"/>
      <c r="M424" s="136"/>
    </row>
    <row r="425" spans="1:13" ht="13.5" customHeight="1" x14ac:dyDescent="0.15">
      <c r="A425" s="134"/>
      <c r="B425" s="135"/>
      <c r="C425" s="136"/>
      <c r="D425" s="126" t="s">
        <v>367</v>
      </c>
      <c r="E425" s="136"/>
      <c r="F425" s="136"/>
      <c r="G425" s="136"/>
      <c r="H425" s="136"/>
      <c r="I425" s="136"/>
      <c r="J425" s="136"/>
      <c r="K425" s="136"/>
      <c r="L425" s="136"/>
      <c r="M425" s="136"/>
    </row>
    <row r="426" spans="1:13" ht="13.5" customHeight="1" x14ac:dyDescent="0.15">
      <c r="A426" s="134"/>
      <c r="B426" s="135"/>
      <c r="C426" s="136"/>
      <c r="D426" s="126" t="s">
        <v>367</v>
      </c>
      <c r="E426" s="136"/>
      <c r="F426" s="136"/>
      <c r="G426" s="136"/>
      <c r="H426" s="136"/>
      <c r="I426" s="136"/>
      <c r="J426" s="136"/>
      <c r="K426" s="136"/>
      <c r="L426" s="136"/>
      <c r="M426" s="136"/>
    </row>
    <row r="427" spans="1:13" ht="13.5" customHeight="1" x14ac:dyDescent="0.15">
      <c r="A427" s="134"/>
      <c r="B427" s="135"/>
      <c r="C427" s="136"/>
      <c r="D427" s="126" t="s">
        <v>367</v>
      </c>
      <c r="E427" s="136"/>
      <c r="F427" s="136"/>
      <c r="G427" s="136"/>
      <c r="H427" s="136"/>
      <c r="I427" s="136"/>
      <c r="J427" s="136"/>
      <c r="K427" s="136"/>
      <c r="L427" s="136"/>
      <c r="M427" s="136"/>
    </row>
    <row r="428" spans="1:13" ht="13.5" customHeight="1" x14ac:dyDescent="0.15">
      <c r="A428" s="134"/>
      <c r="B428" s="135"/>
      <c r="C428" s="136"/>
      <c r="D428" s="126" t="s">
        <v>367</v>
      </c>
      <c r="E428" s="136"/>
      <c r="F428" s="136"/>
      <c r="G428" s="136"/>
      <c r="H428" s="136"/>
      <c r="I428" s="136"/>
      <c r="J428" s="136"/>
      <c r="K428" s="136"/>
      <c r="L428" s="136"/>
      <c r="M428" s="136"/>
    </row>
    <row r="429" spans="1:13" ht="13.5" customHeight="1" x14ac:dyDescent="0.15">
      <c r="A429" s="134"/>
      <c r="B429" s="135"/>
      <c r="C429" s="136"/>
      <c r="D429" s="126" t="s">
        <v>367</v>
      </c>
      <c r="E429" s="136"/>
      <c r="F429" s="136"/>
      <c r="G429" s="136"/>
      <c r="H429" s="136"/>
      <c r="I429" s="136"/>
      <c r="J429" s="136"/>
      <c r="K429" s="136"/>
      <c r="L429" s="136"/>
      <c r="M429" s="136"/>
    </row>
    <row r="430" spans="1:13" ht="13.5" customHeight="1" x14ac:dyDescent="0.15">
      <c r="A430" s="134"/>
      <c r="B430" s="135"/>
      <c r="C430" s="136"/>
      <c r="D430" s="126" t="s">
        <v>367</v>
      </c>
      <c r="E430" s="136"/>
      <c r="F430" s="136"/>
      <c r="G430" s="136"/>
      <c r="H430" s="136"/>
      <c r="I430" s="136"/>
      <c r="J430" s="136"/>
      <c r="K430" s="136"/>
      <c r="L430" s="136"/>
      <c r="M430" s="136"/>
    </row>
    <row r="431" spans="1:13" ht="13.5" customHeight="1" x14ac:dyDescent="0.15">
      <c r="A431" s="134"/>
      <c r="B431" s="135"/>
      <c r="C431" s="136"/>
      <c r="D431" s="126" t="s">
        <v>367</v>
      </c>
      <c r="E431" s="136"/>
      <c r="F431" s="136"/>
      <c r="G431" s="136"/>
      <c r="H431" s="136"/>
      <c r="I431" s="136"/>
      <c r="J431" s="136"/>
      <c r="K431" s="136"/>
      <c r="L431" s="136"/>
      <c r="M431" s="136"/>
    </row>
    <row r="432" spans="1:13" ht="13.5" customHeight="1" x14ac:dyDescent="0.15">
      <c r="A432" s="134"/>
      <c r="B432" s="135"/>
      <c r="C432" s="136"/>
      <c r="D432" s="126" t="s">
        <v>367</v>
      </c>
      <c r="E432" s="136"/>
      <c r="F432" s="136"/>
      <c r="G432" s="136"/>
      <c r="H432" s="136"/>
      <c r="I432" s="136"/>
      <c r="J432" s="136"/>
      <c r="K432" s="136"/>
      <c r="L432" s="136"/>
      <c r="M432" s="136"/>
    </row>
    <row r="433" spans="1:13" ht="13.5" customHeight="1" x14ac:dyDescent="0.15">
      <c r="A433" s="134"/>
      <c r="B433" s="135"/>
      <c r="C433" s="136"/>
      <c r="D433" s="126" t="s">
        <v>367</v>
      </c>
      <c r="E433" s="136"/>
      <c r="F433" s="136"/>
      <c r="G433" s="136"/>
      <c r="H433" s="136"/>
      <c r="I433" s="136"/>
      <c r="J433" s="136"/>
      <c r="K433" s="136"/>
      <c r="L433" s="136"/>
      <c r="M433" s="136"/>
    </row>
    <row r="434" spans="1:13" ht="13.5" customHeight="1" x14ac:dyDescent="0.15">
      <c r="A434" s="134"/>
      <c r="B434" s="135"/>
      <c r="C434" s="136"/>
      <c r="D434" s="126" t="s">
        <v>367</v>
      </c>
      <c r="E434" s="136"/>
      <c r="F434" s="136"/>
      <c r="G434" s="136"/>
      <c r="H434" s="136"/>
      <c r="I434" s="136"/>
      <c r="J434" s="136"/>
      <c r="K434" s="136"/>
      <c r="L434" s="136"/>
      <c r="M434" s="136"/>
    </row>
    <row r="435" spans="1:13" ht="13.5" customHeight="1" x14ac:dyDescent="0.15">
      <c r="A435" s="134"/>
      <c r="B435" s="135"/>
      <c r="C435" s="136"/>
      <c r="D435" s="126" t="s">
        <v>367</v>
      </c>
      <c r="E435" s="136"/>
      <c r="F435" s="136"/>
      <c r="G435" s="136"/>
      <c r="H435" s="136"/>
      <c r="I435" s="136"/>
      <c r="J435" s="136"/>
      <c r="K435" s="136"/>
      <c r="L435" s="136"/>
      <c r="M435" s="136"/>
    </row>
    <row r="436" spans="1:13" ht="13.5" customHeight="1" x14ac:dyDescent="0.15">
      <c r="A436" s="134"/>
      <c r="B436" s="135"/>
      <c r="C436" s="136"/>
      <c r="D436" s="126" t="s">
        <v>367</v>
      </c>
      <c r="E436" s="136"/>
      <c r="F436" s="136"/>
      <c r="G436" s="136"/>
      <c r="H436" s="136"/>
      <c r="I436" s="136"/>
      <c r="J436" s="136"/>
      <c r="K436" s="136"/>
      <c r="L436" s="136"/>
      <c r="M436" s="136"/>
    </row>
    <row r="437" spans="1:13" ht="13.5" customHeight="1" x14ac:dyDescent="0.15">
      <c r="A437" s="134"/>
      <c r="B437" s="135"/>
      <c r="C437" s="136"/>
      <c r="D437" s="126" t="s">
        <v>367</v>
      </c>
      <c r="E437" s="136"/>
      <c r="F437" s="136"/>
      <c r="G437" s="136"/>
      <c r="H437" s="136"/>
      <c r="I437" s="136"/>
      <c r="J437" s="136"/>
      <c r="K437" s="136"/>
      <c r="L437" s="136"/>
      <c r="M437" s="136"/>
    </row>
    <row r="438" spans="1:13" ht="13.5" customHeight="1" x14ac:dyDescent="0.15">
      <c r="A438" s="134"/>
      <c r="B438" s="135"/>
      <c r="C438" s="136"/>
      <c r="D438" s="126" t="s">
        <v>367</v>
      </c>
      <c r="E438" s="136"/>
      <c r="F438" s="136"/>
      <c r="G438" s="136"/>
      <c r="H438" s="136"/>
      <c r="I438" s="136"/>
      <c r="J438" s="136"/>
      <c r="K438" s="136"/>
      <c r="L438" s="136"/>
      <c r="M438" s="136"/>
    </row>
    <row r="439" spans="1:13" ht="13.5" customHeight="1" x14ac:dyDescent="0.15">
      <c r="A439" s="134"/>
      <c r="B439" s="135"/>
      <c r="C439" s="136"/>
      <c r="D439" s="126" t="s">
        <v>367</v>
      </c>
      <c r="E439" s="136"/>
      <c r="F439" s="136"/>
      <c r="G439" s="136"/>
      <c r="H439" s="136"/>
      <c r="I439" s="136"/>
      <c r="J439" s="136"/>
      <c r="K439" s="136"/>
      <c r="L439" s="136"/>
      <c r="M439" s="136"/>
    </row>
    <row r="440" spans="1:13" ht="13.5" customHeight="1" x14ac:dyDescent="0.15">
      <c r="A440" s="134"/>
      <c r="B440" s="135"/>
      <c r="C440" s="136"/>
      <c r="D440" s="126" t="s">
        <v>367</v>
      </c>
      <c r="E440" s="136"/>
      <c r="F440" s="136"/>
      <c r="G440" s="136"/>
      <c r="H440" s="136"/>
      <c r="I440" s="136"/>
      <c r="J440" s="136"/>
      <c r="K440" s="136"/>
      <c r="L440" s="136"/>
      <c r="M440" s="136"/>
    </row>
    <row r="441" spans="1:13" ht="13.5" customHeight="1" x14ac:dyDescent="0.15">
      <c r="A441" s="134"/>
      <c r="B441" s="135"/>
      <c r="C441" s="136"/>
      <c r="D441" s="126" t="s">
        <v>367</v>
      </c>
      <c r="E441" s="136"/>
      <c r="F441" s="136"/>
      <c r="G441" s="136"/>
      <c r="H441" s="136"/>
      <c r="I441" s="136"/>
      <c r="J441" s="136"/>
      <c r="K441" s="136"/>
      <c r="L441" s="136"/>
      <c r="M441" s="136"/>
    </row>
    <row r="442" spans="1:13" ht="13.5" customHeight="1" x14ac:dyDescent="0.15">
      <c r="A442" s="134"/>
      <c r="B442" s="135"/>
      <c r="C442" s="136"/>
      <c r="D442" s="126" t="s">
        <v>367</v>
      </c>
      <c r="E442" s="136"/>
      <c r="F442" s="136"/>
      <c r="G442" s="136"/>
      <c r="H442" s="136"/>
      <c r="I442" s="136"/>
      <c r="J442" s="136"/>
      <c r="K442" s="136"/>
      <c r="L442" s="136"/>
      <c r="M442" s="136"/>
    </row>
    <row r="443" spans="1:13" ht="13.5" customHeight="1" x14ac:dyDescent="0.15">
      <c r="A443" s="134"/>
      <c r="B443" s="135"/>
      <c r="C443" s="136"/>
      <c r="D443" s="126" t="s">
        <v>367</v>
      </c>
      <c r="E443" s="136"/>
      <c r="F443" s="136"/>
      <c r="G443" s="136"/>
      <c r="H443" s="136"/>
      <c r="I443" s="136"/>
      <c r="J443" s="136"/>
      <c r="K443" s="136"/>
      <c r="L443" s="136"/>
      <c r="M443" s="136"/>
    </row>
    <row r="444" spans="1:13" ht="13.5" customHeight="1" x14ac:dyDescent="0.15">
      <c r="A444" s="134"/>
      <c r="B444" s="135"/>
      <c r="C444" s="136"/>
      <c r="D444" s="126" t="s">
        <v>367</v>
      </c>
      <c r="E444" s="136"/>
      <c r="F444" s="136"/>
      <c r="G444" s="136"/>
      <c r="H444" s="136"/>
      <c r="I444" s="136"/>
      <c r="J444" s="136"/>
      <c r="K444" s="136"/>
      <c r="L444" s="136"/>
      <c r="M444" s="136"/>
    </row>
    <row r="445" spans="1:13" ht="13.5" customHeight="1" x14ac:dyDescent="0.15">
      <c r="A445" s="134"/>
      <c r="B445" s="135"/>
      <c r="C445" s="136"/>
      <c r="D445" s="126" t="s">
        <v>367</v>
      </c>
      <c r="E445" s="136"/>
      <c r="F445" s="136"/>
      <c r="G445" s="136"/>
      <c r="H445" s="136"/>
      <c r="I445" s="136"/>
      <c r="J445" s="136"/>
      <c r="K445" s="136"/>
      <c r="L445" s="136"/>
      <c r="M445" s="136"/>
    </row>
    <row r="446" spans="1:13" ht="13.5" customHeight="1" x14ac:dyDescent="0.15">
      <c r="A446" s="134"/>
      <c r="B446" s="135"/>
      <c r="C446" s="136"/>
      <c r="D446" s="126" t="s">
        <v>367</v>
      </c>
      <c r="E446" s="136"/>
      <c r="F446" s="136"/>
      <c r="G446" s="136"/>
      <c r="H446" s="136"/>
      <c r="I446" s="136"/>
      <c r="J446" s="136"/>
      <c r="K446" s="136"/>
      <c r="L446" s="136"/>
      <c r="M446" s="136"/>
    </row>
    <row r="447" spans="1:13" ht="13.5" customHeight="1" x14ac:dyDescent="0.15">
      <c r="A447" s="134"/>
      <c r="B447" s="135"/>
      <c r="C447" s="136"/>
      <c r="D447" s="126" t="s">
        <v>367</v>
      </c>
      <c r="E447" s="136"/>
      <c r="F447" s="136"/>
      <c r="G447" s="136"/>
      <c r="H447" s="136"/>
      <c r="I447" s="136"/>
      <c r="J447" s="136"/>
      <c r="K447" s="136"/>
      <c r="L447" s="136"/>
      <c r="M447" s="136"/>
    </row>
    <row r="448" spans="1:13" ht="13.5" customHeight="1" x14ac:dyDescent="0.15">
      <c r="A448" s="134"/>
      <c r="B448" s="135"/>
      <c r="C448" s="136"/>
      <c r="D448" s="126" t="s">
        <v>367</v>
      </c>
      <c r="E448" s="136"/>
      <c r="F448" s="136"/>
      <c r="G448" s="136"/>
      <c r="H448" s="136"/>
      <c r="I448" s="136"/>
      <c r="J448" s="136"/>
      <c r="K448" s="136"/>
      <c r="L448" s="136"/>
      <c r="M448" s="136"/>
    </row>
    <row r="449" spans="1:13" ht="13.5" customHeight="1" x14ac:dyDescent="0.15">
      <c r="A449" s="134"/>
      <c r="B449" s="135"/>
      <c r="C449" s="136"/>
      <c r="D449" s="126" t="s">
        <v>367</v>
      </c>
      <c r="E449" s="136"/>
      <c r="F449" s="136"/>
      <c r="G449" s="136"/>
      <c r="H449" s="136"/>
      <c r="I449" s="136"/>
      <c r="J449" s="136"/>
      <c r="K449" s="136"/>
      <c r="L449" s="136"/>
      <c r="M449" s="136"/>
    </row>
    <row r="450" spans="1:13" ht="13.5" customHeight="1" x14ac:dyDescent="0.15">
      <c r="A450" s="134"/>
      <c r="B450" s="135"/>
      <c r="C450" s="136"/>
      <c r="D450" s="126" t="s">
        <v>367</v>
      </c>
      <c r="E450" s="136"/>
      <c r="F450" s="136"/>
      <c r="G450" s="136"/>
      <c r="H450" s="136"/>
      <c r="I450" s="136"/>
      <c r="J450" s="136"/>
      <c r="K450" s="136"/>
      <c r="L450" s="136"/>
      <c r="M450" s="136"/>
    </row>
    <row r="451" spans="1:13" ht="13.5" customHeight="1" x14ac:dyDescent="0.15">
      <c r="A451" s="134"/>
      <c r="B451" s="135"/>
      <c r="C451" s="136"/>
      <c r="D451" s="126" t="s">
        <v>367</v>
      </c>
      <c r="E451" s="136"/>
      <c r="F451" s="136"/>
      <c r="G451" s="136"/>
      <c r="H451" s="136"/>
      <c r="I451" s="136"/>
      <c r="J451" s="136"/>
      <c r="K451" s="136"/>
      <c r="L451" s="136"/>
      <c r="M451" s="136"/>
    </row>
    <row r="452" spans="1:13" ht="13.5" customHeight="1" x14ac:dyDescent="0.15">
      <c r="A452" s="134"/>
      <c r="B452" s="135"/>
      <c r="C452" s="136"/>
      <c r="D452" s="126" t="s">
        <v>367</v>
      </c>
      <c r="E452" s="136"/>
      <c r="F452" s="136"/>
      <c r="G452" s="136"/>
      <c r="H452" s="136"/>
      <c r="I452" s="136"/>
      <c r="J452" s="136"/>
      <c r="K452" s="136"/>
      <c r="L452" s="136"/>
      <c r="M452" s="136"/>
    </row>
    <row r="453" spans="1:13" ht="13.5" customHeight="1" x14ac:dyDescent="0.15">
      <c r="A453" s="134"/>
      <c r="B453" s="135"/>
      <c r="C453" s="136"/>
      <c r="D453" s="126" t="s">
        <v>367</v>
      </c>
      <c r="E453" s="136"/>
      <c r="F453" s="136"/>
      <c r="G453" s="136"/>
      <c r="H453" s="136"/>
      <c r="I453" s="136"/>
      <c r="J453" s="136"/>
      <c r="K453" s="136"/>
      <c r="L453" s="136"/>
      <c r="M453" s="136"/>
    </row>
    <row r="454" spans="1:13" ht="13.5" customHeight="1" x14ac:dyDescent="0.15">
      <c r="A454" s="134"/>
      <c r="B454" s="135"/>
      <c r="C454" s="136"/>
      <c r="D454" s="126" t="s">
        <v>367</v>
      </c>
      <c r="E454" s="136"/>
      <c r="F454" s="136"/>
      <c r="G454" s="136"/>
      <c r="H454" s="136"/>
      <c r="I454" s="136"/>
      <c r="J454" s="136"/>
      <c r="K454" s="136"/>
      <c r="L454" s="136"/>
      <c r="M454" s="136"/>
    </row>
    <row r="455" spans="1:13" ht="13.5" customHeight="1" x14ac:dyDescent="0.15">
      <c r="A455" s="134"/>
      <c r="B455" s="135"/>
      <c r="C455" s="136"/>
      <c r="D455" s="126" t="s">
        <v>367</v>
      </c>
      <c r="E455" s="136"/>
      <c r="F455" s="136"/>
      <c r="G455" s="136"/>
      <c r="H455" s="136"/>
      <c r="I455" s="136"/>
      <c r="J455" s="136"/>
      <c r="K455" s="136"/>
      <c r="L455" s="136"/>
      <c r="M455" s="136"/>
    </row>
    <row r="456" spans="1:13" ht="13.5" customHeight="1" x14ac:dyDescent="0.15">
      <c r="A456" s="134"/>
      <c r="B456" s="135"/>
      <c r="C456" s="136"/>
      <c r="D456" s="126" t="s">
        <v>367</v>
      </c>
      <c r="E456" s="136"/>
      <c r="F456" s="136"/>
      <c r="G456" s="136"/>
      <c r="H456" s="136"/>
      <c r="I456" s="136"/>
      <c r="J456" s="136"/>
      <c r="K456" s="136"/>
      <c r="L456" s="136"/>
      <c r="M456" s="136"/>
    </row>
    <row r="457" spans="1:13" ht="13.5" customHeight="1" x14ac:dyDescent="0.15">
      <c r="A457" s="134"/>
      <c r="B457" s="135"/>
      <c r="C457" s="136"/>
      <c r="D457" s="126" t="s">
        <v>367</v>
      </c>
      <c r="E457" s="136"/>
      <c r="F457" s="136"/>
      <c r="G457" s="136"/>
      <c r="H457" s="136"/>
      <c r="I457" s="136"/>
      <c r="J457" s="136"/>
      <c r="K457" s="136"/>
      <c r="L457" s="136"/>
      <c r="M457" s="136"/>
    </row>
    <row r="458" spans="1:13" ht="13.5" customHeight="1" x14ac:dyDescent="0.15">
      <c r="A458" s="134"/>
      <c r="B458" s="135"/>
      <c r="C458" s="136"/>
      <c r="D458" s="126" t="s">
        <v>367</v>
      </c>
      <c r="E458" s="136"/>
      <c r="F458" s="136"/>
      <c r="G458" s="136"/>
      <c r="H458" s="136"/>
      <c r="I458" s="136"/>
      <c r="J458" s="136"/>
      <c r="K458" s="136"/>
      <c r="L458" s="136"/>
      <c r="M458" s="136"/>
    </row>
    <row r="459" spans="1:13" ht="13.5" customHeight="1" x14ac:dyDescent="0.15">
      <c r="A459" s="134"/>
      <c r="B459" s="135"/>
      <c r="C459" s="136"/>
      <c r="D459" s="126" t="s">
        <v>367</v>
      </c>
      <c r="E459" s="136"/>
      <c r="F459" s="136"/>
      <c r="G459" s="136"/>
      <c r="H459" s="136"/>
      <c r="I459" s="136"/>
      <c r="J459" s="136"/>
      <c r="K459" s="136"/>
      <c r="L459" s="136"/>
      <c r="M459" s="136"/>
    </row>
    <row r="460" spans="1:13" ht="13.5" customHeight="1" x14ac:dyDescent="0.15">
      <c r="A460" s="134"/>
      <c r="B460" s="135"/>
      <c r="C460" s="136"/>
      <c r="D460" s="126" t="s">
        <v>367</v>
      </c>
      <c r="E460" s="136"/>
      <c r="F460" s="136"/>
      <c r="G460" s="136"/>
      <c r="H460" s="136"/>
      <c r="I460" s="136"/>
      <c r="J460" s="136"/>
      <c r="K460" s="136"/>
      <c r="L460" s="136"/>
      <c r="M460" s="136"/>
    </row>
    <row r="461" spans="1:13" ht="13.5" customHeight="1" x14ac:dyDescent="0.15">
      <c r="A461" s="134"/>
      <c r="B461" s="135"/>
      <c r="C461" s="136"/>
      <c r="D461" s="126" t="s">
        <v>367</v>
      </c>
      <c r="E461" s="136"/>
      <c r="F461" s="136"/>
      <c r="G461" s="136"/>
      <c r="H461" s="136"/>
      <c r="I461" s="136"/>
      <c r="J461" s="136"/>
      <c r="K461" s="136"/>
      <c r="L461" s="136"/>
      <c r="M461" s="136"/>
    </row>
    <row r="462" spans="1:13" ht="13.5" customHeight="1" x14ac:dyDescent="0.15">
      <c r="A462" s="134"/>
      <c r="B462" s="135"/>
      <c r="C462" s="136"/>
      <c r="D462" s="126" t="s">
        <v>367</v>
      </c>
      <c r="E462" s="136"/>
      <c r="F462" s="136"/>
      <c r="G462" s="136"/>
      <c r="H462" s="136"/>
      <c r="I462" s="136"/>
      <c r="J462" s="136"/>
      <c r="K462" s="136"/>
      <c r="L462" s="136"/>
      <c r="M462" s="136"/>
    </row>
    <row r="463" spans="1:13" ht="13.5" customHeight="1" x14ac:dyDescent="0.15">
      <c r="A463" s="134"/>
      <c r="B463" s="135"/>
      <c r="C463" s="136"/>
      <c r="D463" s="126" t="s">
        <v>367</v>
      </c>
      <c r="E463" s="136"/>
      <c r="F463" s="136"/>
      <c r="G463" s="136"/>
      <c r="H463" s="136"/>
      <c r="I463" s="136"/>
      <c r="J463" s="136"/>
      <c r="K463" s="136"/>
      <c r="L463" s="136"/>
      <c r="M463" s="136"/>
    </row>
    <row r="464" spans="1:13" ht="13.5" customHeight="1" x14ac:dyDescent="0.15">
      <c r="A464" s="134"/>
      <c r="B464" s="135"/>
      <c r="C464" s="136"/>
      <c r="D464" s="126" t="s">
        <v>367</v>
      </c>
      <c r="E464" s="136"/>
      <c r="F464" s="136"/>
      <c r="G464" s="136"/>
      <c r="H464" s="136"/>
      <c r="I464" s="136"/>
      <c r="J464" s="136"/>
      <c r="K464" s="136"/>
      <c r="L464" s="136"/>
      <c r="M464" s="136"/>
    </row>
    <row r="465" spans="1:13" ht="13.5" customHeight="1" x14ac:dyDescent="0.15">
      <c r="A465" s="134"/>
      <c r="B465" s="135"/>
      <c r="C465" s="136"/>
      <c r="D465" s="126" t="s">
        <v>367</v>
      </c>
      <c r="E465" s="136"/>
      <c r="F465" s="136"/>
      <c r="G465" s="136"/>
      <c r="H465" s="136"/>
      <c r="I465" s="136"/>
      <c r="J465" s="136"/>
      <c r="K465" s="136"/>
      <c r="L465" s="136"/>
      <c r="M465" s="136"/>
    </row>
    <row r="466" spans="1:13" ht="13.5" customHeight="1" x14ac:dyDescent="0.15">
      <c r="A466" s="134"/>
      <c r="B466" s="135"/>
      <c r="C466" s="136"/>
      <c r="D466" s="126" t="s">
        <v>367</v>
      </c>
      <c r="E466" s="136"/>
      <c r="F466" s="136"/>
      <c r="G466" s="136"/>
      <c r="H466" s="136"/>
      <c r="I466" s="136"/>
      <c r="J466" s="136"/>
      <c r="K466" s="136"/>
      <c r="L466" s="136"/>
      <c r="M466" s="136"/>
    </row>
    <row r="467" spans="1:13" ht="13.5" customHeight="1" x14ac:dyDescent="0.15">
      <c r="A467" s="134"/>
      <c r="B467" s="135"/>
      <c r="C467" s="136"/>
      <c r="D467" s="126" t="s">
        <v>367</v>
      </c>
      <c r="E467" s="136"/>
      <c r="F467" s="136"/>
      <c r="G467" s="136"/>
      <c r="H467" s="136"/>
      <c r="I467" s="136"/>
      <c r="J467" s="136"/>
      <c r="K467" s="136"/>
      <c r="L467" s="136"/>
      <c r="M467" s="136"/>
    </row>
    <row r="468" spans="1:13" ht="13.5" customHeight="1" x14ac:dyDescent="0.15">
      <c r="A468" s="134"/>
      <c r="B468" s="135"/>
      <c r="C468" s="136"/>
      <c r="D468" s="126" t="s">
        <v>367</v>
      </c>
      <c r="E468" s="136"/>
      <c r="F468" s="136"/>
      <c r="G468" s="136"/>
      <c r="H468" s="136"/>
      <c r="I468" s="136"/>
      <c r="J468" s="136"/>
      <c r="K468" s="136"/>
      <c r="L468" s="136"/>
      <c r="M468" s="136"/>
    </row>
    <row r="469" spans="1:13" ht="13.5" customHeight="1" x14ac:dyDescent="0.15">
      <c r="A469" s="134"/>
      <c r="B469" s="135"/>
      <c r="C469" s="136"/>
      <c r="D469" s="126" t="s">
        <v>367</v>
      </c>
      <c r="E469" s="136"/>
      <c r="F469" s="136"/>
      <c r="G469" s="136"/>
      <c r="H469" s="136"/>
      <c r="I469" s="136"/>
      <c r="J469" s="136"/>
      <c r="K469" s="136"/>
      <c r="L469" s="136"/>
      <c r="M469" s="136"/>
    </row>
    <row r="470" spans="1:13" ht="13.5" customHeight="1" x14ac:dyDescent="0.15">
      <c r="A470" s="134"/>
      <c r="B470" s="135"/>
      <c r="C470" s="136"/>
      <c r="D470" s="126" t="s">
        <v>367</v>
      </c>
      <c r="E470" s="136"/>
      <c r="F470" s="136"/>
      <c r="G470" s="136"/>
      <c r="H470" s="136"/>
      <c r="I470" s="136"/>
      <c r="J470" s="136"/>
      <c r="K470" s="136"/>
      <c r="L470" s="136"/>
      <c r="M470" s="136"/>
    </row>
    <row r="471" spans="1:13" ht="13.5" customHeight="1" x14ac:dyDescent="0.15">
      <c r="A471" s="134"/>
      <c r="B471" s="135"/>
      <c r="C471" s="136"/>
      <c r="D471" s="126" t="s">
        <v>367</v>
      </c>
      <c r="E471" s="136"/>
      <c r="F471" s="136"/>
      <c r="G471" s="136"/>
      <c r="H471" s="136"/>
      <c r="I471" s="136"/>
      <c r="J471" s="136"/>
      <c r="K471" s="136"/>
      <c r="L471" s="136"/>
      <c r="M471" s="136"/>
    </row>
    <row r="472" spans="1:13" ht="13.5" customHeight="1" x14ac:dyDescent="0.15">
      <c r="A472" s="134"/>
      <c r="B472" s="135"/>
      <c r="C472" s="136"/>
      <c r="D472" s="126" t="s">
        <v>367</v>
      </c>
      <c r="E472" s="136"/>
      <c r="F472" s="136"/>
      <c r="G472" s="136"/>
      <c r="H472" s="136"/>
      <c r="I472" s="136"/>
      <c r="J472" s="136"/>
      <c r="K472" s="136"/>
      <c r="L472" s="136"/>
      <c r="M472" s="136"/>
    </row>
    <row r="473" spans="1:13" ht="13.5" customHeight="1" x14ac:dyDescent="0.15">
      <c r="A473" s="134"/>
      <c r="B473" s="135"/>
      <c r="C473" s="136"/>
      <c r="D473" s="126" t="s">
        <v>367</v>
      </c>
      <c r="E473" s="136"/>
      <c r="F473" s="136"/>
      <c r="G473" s="136"/>
      <c r="H473" s="136"/>
      <c r="I473" s="136"/>
      <c r="J473" s="136"/>
      <c r="K473" s="136"/>
      <c r="L473" s="136"/>
      <c r="M473" s="136"/>
    </row>
    <row r="474" spans="1:13" ht="13.5" customHeight="1" x14ac:dyDescent="0.15">
      <c r="A474" s="134"/>
      <c r="B474" s="135"/>
      <c r="C474" s="136"/>
      <c r="D474" s="126" t="s">
        <v>367</v>
      </c>
      <c r="E474" s="136"/>
      <c r="F474" s="136"/>
      <c r="G474" s="136"/>
      <c r="H474" s="136"/>
      <c r="I474" s="136"/>
      <c r="J474" s="136"/>
      <c r="K474" s="136"/>
      <c r="L474" s="136"/>
      <c r="M474" s="136"/>
    </row>
    <row r="475" spans="1:13" ht="13.5" customHeight="1" x14ac:dyDescent="0.15">
      <c r="A475" s="134"/>
      <c r="B475" s="135"/>
      <c r="C475" s="136"/>
      <c r="D475" s="126" t="s">
        <v>367</v>
      </c>
      <c r="E475" s="136"/>
      <c r="F475" s="136"/>
      <c r="G475" s="136"/>
      <c r="H475" s="136"/>
      <c r="I475" s="136"/>
      <c r="J475" s="136"/>
      <c r="K475" s="136"/>
      <c r="L475" s="136"/>
      <c r="M475" s="136"/>
    </row>
    <row r="476" spans="1:13" ht="13.5" customHeight="1" x14ac:dyDescent="0.15">
      <c r="A476" s="134"/>
      <c r="B476" s="135"/>
      <c r="C476" s="136"/>
      <c r="D476" s="126" t="s">
        <v>367</v>
      </c>
      <c r="E476" s="136"/>
      <c r="F476" s="136"/>
      <c r="G476" s="136"/>
      <c r="H476" s="136"/>
      <c r="I476" s="136"/>
      <c r="J476" s="136"/>
      <c r="K476" s="136"/>
      <c r="L476" s="136"/>
      <c r="M476" s="136"/>
    </row>
    <row r="477" spans="1:13" ht="13.5" customHeight="1" x14ac:dyDescent="0.15">
      <c r="A477" s="134"/>
      <c r="B477" s="135"/>
      <c r="C477" s="136"/>
      <c r="D477" s="126" t="s">
        <v>367</v>
      </c>
      <c r="E477" s="136"/>
      <c r="F477" s="136"/>
      <c r="G477" s="136"/>
      <c r="H477" s="136"/>
      <c r="I477" s="136"/>
      <c r="J477" s="136"/>
      <c r="K477" s="136"/>
      <c r="L477" s="136"/>
      <c r="M477" s="136"/>
    </row>
    <row r="478" spans="1:13" ht="13.5" customHeight="1" x14ac:dyDescent="0.15">
      <c r="A478" s="134"/>
      <c r="B478" s="135"/>
      <c r="C478" s="136"/>
      <c r="D478" s="126" t="s">
        <v>367</v>
      </c>
      <c r="E478" s="136"/>
      <c r="F478" s="136"/>
      <c r="G478" s="136"/>
      <c r="H478" s="136"/>
      <c r="I478" s="136"/>
      <c r="J478" s="136"/>
      <c r="K478" s="136"/>
      <c r="L478" s="136"/>
      <c r="M478" s="136"/>
    </row>
    <row r="479" spans="1:13" ht="13.5" customHeight="1" x14ac:dyDescent="0.15">
      <c r="A479" s="134"/>
      <c r="B479" s="135"/>
      <c r="C479" s="136"/>
      <c r="D479" s="126" t="s">
        <v>367</v>
      </c>
      <c r="E479" s="136"/>
      <c r="F479" s="136"/>
      <c r="G479" s="136"/>
      <c r="H479" s="136"/>
      <c r="I479" s="136"/>
      <c r="J479" s="136"/>
      <c r="K479" s="136"/>
      <c r="L479" s="136"/>
      <c r="M479" s="136"/>
    </row>
    <row r="480" spans="1:13" ht="13.5" customHeight="1" x14ac:dyDescent="0.15">
      <c r="A480" s="134"/>
      <c r="B480" s="135"/>
      <c r="C480" s="136"/>
      <c r="D480" s="126" t="s">
        <v>367</v>
      </c>
      <c r="E480" s="136"/>
      <c r="F480" s="136"/>
      <c r="G480" s="136"/>
      <c r="H480" s="136"/>
      <c r="I480" s="136"/>
      <c r="J480" s="136"/>
      <c r="K480" s="136"/>
      <c r="L480" s="136"/>
      <c r="M480" s="136"/>
    </row>
    <row r="481" spans="1:13" ht="13.5" customHeight="1" x14ac:dyDescent="0.15">
      <c r="A481" s="134"/>
      <c r="B481" s="135"/>
      <c r="C481" s="136"/>
      <c r="D481" s="126" t="s">
        <v>367</v>
      </c>
      <c r="E481" s="136"/>
      <c r="F481" s="136"/>
      <c r="G481" s="136"/>
      <c r="H481" s="136"/>
      <c r="I481" s="136"/>
      <c r="J481" s="136"/>
      <c r="K481" s="136"/>
      <c r="L481" s="136"/>
      <c r="M481" s="136"/>
    </row>
    <row r="482" spans="1:13" ht="13.5" customHeight="1" x14ac:dyDescent="0.15">
      <c r="A482" s="134"/>
      <c r="B482" s="135"/>
      <c r="C482" s="136"/>
      <c r="D482" s="126" t="s">
        <v>367</v>
      </c>
      <c r="E482" s="136"/>
      <c r="F482" s="136"/>
      <c r="G482" s="136"/>
      <c r="H482" s="136"/>
      <c r="I482" s="136"/>
      <c r="J482" s="136"/>
      <c r="K482" s="136"/>
      <c r="L482" s="136"/>
      <c r="M482" s="136"/>
    </row>
    <row r="483" spans="1:13" ht="13.5" customHeight="1" x14ac:dyDescent="0.15">
      <c r="A483" s="134"/>
      <c r="B483" s="135"/>
      <c r="C483" s="136"/>
      <c r="D483" s="126" t="s">
        <v>367</v>
      </c>
      <c r="E483" s="136"/>
      <c r="F483" s="136"/>
      <c r="G483" s="136"/>
      <c r="H483" s="136"/>
      <c r="I483" s="136"/>
      <c r="J483" s="136"/>
      <c r="K483" s="136"/>
      <c r="L483" s="136"/>
      <c r="M483" s="136"/>
    </row>
    <row r="484" spans="1:13" ht="13.5" customHeight="1" x14ac:dyDescent="0.15">
      <c r="A484" s="134"/>
      <c r="B484" s="135"/>
      <c r="C484" s="136"/>
      <c r="D484" s="126" t="s">
        <v>367</v>
      </c>
      <c r="E484" s="136"/>
      <c r="F484" s="136"/>
      <c r="G484" s="136"/>
      <c r="H484" s="136"/>
      <c r="I484" s="136"/>
      <c r="J484" s="136"/>
      <c r="K484" s="136"/>
      <c r="L484" s="136"/>
      <c r="M484" s="136"/>
    </row>
    <row r="485" spans="1:13" ht="13.5" customHeight="1" x14ac:dyDescent="0.15">
      <c r="A485" s="134"/>
      <c r="B485" s="135"/>
      <c r="C485" s="136"/>
      <c r="D485" s="126" t="s">
        <v>367</v>
      </c>
      <c r="E485" s="136"/>
      <c r="F485" s="136"/>
      <c r="G485" s="136"/>
      <c r="H485" s="136"/>
      <c r="I485" s="136"/>
      <c r="J485" s="136"/>
      <c r="K485" s="136"/>
      <c r="L485" s="136"/>
      <c r="M485" s="136"/>
    </row>
    <row r="486" spans="1:13" ht="13.5" customHeight="1" x14ac:dyDescent="0.15">
      <c r="A486" s="134"/>
      <c r="B486" s="135"/>
      <c r="C486" s="136"/>
      <c r="D486" s="126" t="s">
        <v>367</v>
      </c>
      <c r="E486" s="136"/>
      <c r="F486" s="136"/>
      <c r="G486" s="136"/>
      <c r="H486" s="136"/>
      <c r="I486" s="136"/>
      <c r="J486" s="136"/>
      <c r="K486" s="136"/>
      <c r="L486" s="136"/>
      <c r="M486" s="136"/>
    </row>
    <row r="487" spans="1:13" ht="13.5" customHeight="1" x14ac:dyDescent="0.15">
      <c r="A487" s="134"/>
      <c r="B487" s="135"/>
      <c r="C487" s="136"/>
      <c r="D487" s="126" t="s">
        <v>367</v>
      </c>
      <c r="E487" s="136"/>
      <c r="F487" s="136"/>
      <c r="G487" s="136"/>
      <c r="H487" s="136"/>
      <c r="I487" s="136"/>
      <c r="J487" s="136"/>
      <c r="K487" s="136"/>
      <c r="L487" s="136"/>
      <c r="M487" s="136"/>
    </row>
    <row r="488" spans="1:13" ht="13.5" customHeight="1" x14ac:dyDescent="0.15">
      <c r="A488" s="134"/>
      <c r="B488" s="135"/>
      <c r="C488" s="136"/>
      <c r="D488" s="126" t="s">
        <v>367</v>
      </c>
      <c r="E488" s="136"/>
      <c r="F488" s="136"/>
      <c r="G488" s="136"/>
      <c r="H488" s="136"/>
      <c r="I488" s="136"/>
      <c r="J488" s="136"/>
      <c r="K488" s="136"/>
      <c r="L488" s="136"/>
      <c r="M488" s="136"/>
    </row>
    <row r="489" spans="1:13" ht="13.5" customHeight="1" x14ac:dyDescent="0.15">
      <c r="A489" s="134"/>
      <c r="B489" s="135"/>
      <c r="C489" s="136"/>
      <c r="D489" s="126" t="s">
        <v>367</v>
      </c>
      <c r="E489" s="136"/>
      <c r="F489" s="136"/>
      <c r="G489" s="136"/>
      <c r="H489" s="136"/>
      <c r="I489" s="136"/>
      <c r="J489" s="136"/>
      <c r="K489" s="136"/>
      <c r="L489" s="136"/>
      <c r="M489" s="136"/>
    </row>
    <row r="490" spans="1:13" ht="13.5" customHeight="1" x14ac:dyDescent="0.15">
      <c r="A490" s="134"/>
      <c r="B490" s="135"/>
      <c r="C490" s="136"/>
      <c r="D490" s="126" t="s">
        <v>367</v>
      </c>
      <c r="E490" s="136"/>
      <c r="F490" s="136"/>
      <c r="G490" s="136"/>
      <c r="H490" s="136"/>
      <c r="I490" s="136"/>
      <c r="J490" s="136"/>
      <c r="K490" s="136"/>
      <c r="L490" s="136"/>
      <c r="M490" s="136"/>
    </row>
    <row r="491" spans="1:13" ht="13.5" customHeight="1" x14ac:dyDescent="0.15">
      <c r="A491" s="134"/>
      <c r="B491" s="135"/>
      <c r="C491" s="136"/>
      <c r="D491" s="126" t="s">
        <v>367</v>
      </c>
      <c r="E491" s="136"/>
      <c r="F491" s="136"/>
      <c r="G491" s="136"/>
      <c r="H491" s="136"/>
      <c r="I491" s="136"/>
      <c r="J491" s="136"/>
      <c r="K491" s="136"/>
      <c r="L491" s="136"/>
      <c r="M491" s="136"/>
    </row>
    <row r="492" spans="1:13" ht="13.5" customHeight="1" x14ac:dyDescent="0.15">
      <c r="A492" s="134"/>
      <c r="B492" s="135"/>
      <c r="C492" s="136"/>
      <c r="D492" s="126" t="s">
        <v>367</v>
      </c>
      <c r="E492" s="136"/>
      <c r="F492" s="136"/>
      <c r="G492" s="136"/>
      <c r="H492" s="136"/>
      <c r="I492" s="136"/>
      <c r="J492" s="136"/>
      <c r="K492" s="136"/>
      <c r="L492" s="136"/>
      <c r="M492" s="136"/>
    </row>
    <row r="493" spans="1:13" ht="13.5" customHeight="1" x14ac:dyDescent="0.15">
      <c r="A493" s="134"/>
      <c r="B493" s="135"/>
      <c r="C493" s="136"/>
      <c r="D493" s="126" t="s">
        <v>367</v>
      </c>
      <c r="E493" s="136"/>
      <c r="F493" s="136"/>
      <c r="G493" s="136"/>
      <c r="H493" s="136"/>
      <c r="I493" s="136"/>
      <c r="J493" s="136"/>
      <c r="K493" s="136"/>
      <c r="L493" s="136"/>
      <c r="M493" s="136"/>
    </row>
    <row r="494" spans="1:13" ht="13.5" customHeight="1" x14ac:dyDescent="0.15">
      <c r="A494" s="134"/>
      <c r="B494" s="135"/>
      <c r="C494" s="136"/>
      <c r="D494" s="126" t="s">
        <v>367</v>
      </c>
      <c r="E494" s="136"/>
      <c r="F494" s="136"/>
      <c r="G494" s="136"/>
      <c r="H494" s="136"/>
      <c r="I494" s="136"/>
      <c r="J494" s="136"/>
      <c r="K494" s="136"/>
      <c r="L494" s="136"/>
      <c r="M494" s="136"/>
    </row>
    <row r="495" spans="1:13" ht="13.5" customHeight="1" x14ac:dyDescent="0.15">
      <c r="A495" s="134"/>
      <c r="B495" s="135"/>
      <c r="C495" s="136"/>
      <c r="D495" s="126" t="s">
        <v>367</v>
      </c>
      <c r="E495" s="136"/>
      <c r="F495" s="136"/>
      <c r="G495" s="136"/>
      <c r="H495" s="136"/>
      <c r="I495" s="136"/>
      <c r="J495" s="136"/>
      <c r="K495" s="136"/>
      <c r="L495" s="136"/>
      <c r="M495" s="136"/>
    </row>
    <row r="496" spans="1:13" ht="13.5" customHeight="1" x14ac:dyDescent="0.15">
      <c r="A496" s="134"/>
      <c r="B496" s="135"/>
      <c r="C496" s="136"/>
      <c r="D496" s="126" t="s">
        <v>367</v>
      </c>
      <c r="E496" s="136"/>
      <c r="F496" s="136"/>
      <c r="G496" s="136"/>
      <c r="H496" s="136"/>
      <c r="I496" s="136"/>
      <c r="J496" s="136"/>
      <c r="K496" s="136"/>
      <c r="L496" s="136"/>
      <c r="M496" s="136"/>
    </row>
    <row r="497" spans="1:13" ht="13.5" customHeight="1" x14ac:dyDescent="0.15">
      <c r="A497" s="134"/>
      <c r="B497" s="135"/>
      <c r="C497" s="136"/>
      <c r="D497" s="126" t="s">
        <v>367</v>
      </c>
      <c r="E497" s="136"/>
      <c r="F497" s="136"/>
      <c r="G497" s="136"/>
      <c r="H497" s="136"/>
      <c r="I497" s="136"/>
      <c r="J497" s="136"/>
      <c r="K497" s="136"/>
      <c r="L497" s="136"/>
      <c r="M497" s="136"/>
    </row>
    <row r="498" spans="1:13" ht="13.5" customHeight="1" x14ac:dyDescent="0.15">
      <c r="A498" s="134"/>
      <c r="B498" s="135"/>
      <c r="C498" s="136"/>
      <c r="D498" s="126" t="s">
        <v>367</v>
      </c>
      <c r="E498" s="136"/>
      <c r="F498" s="136"/>
      <c r="G498" s="136"/>
      <c r="H498" s="136"/>
      <c r="I498" s="136"/>
      <c r="J498" s="136"/>
      <c r="K498" s="136"/>
      <c r="L498" s="136"/>
      <c r="M498" s="136"/>
    </row>
    <row r="499" spans="1:13" ht="13.5" customHeight="1" x14ac:dyDescent="0.15">
      <c r="A499" s="134"/>
      <c r="B499" s="135"/>
      <c r="C499" s="136"/>
      <c r="D499" s="126" t="s">
        <v>367</v>
      </c>
      <c r="E499" s="136"/>
      <c r="F499" s="136"/>
      <c r="G499" s="136"/>
      <c r="H499" s="136"/>
      <c r="I499" s="136"/>
      <c r="J499" s="136"/>
      <c r="K499" s="136"/>
      <c r="L499" s="136"/>
      <c r="M499" s="136"/>
    </row>
    <row r="500" spans="1:13" ht="13.5" customHeight="1" x14ac:dyDescent="0.15">
      <c r="A500" s="134"/>
      <c r="B500" s="135"/>
      <c r="C500" s="136"/>
      <c r="D500" s="126" t="s">
        <v>367</v>
      </c>
      <c r="E500" s="136"/>
      <c r="F500" s="136"/>
      <c r="G500" s="136"/>
      <c r="H500" s="136"/>
      <c r="I500" s="136"/>
      <c r="J500" s="136"/>
      <c r="K500" s="136"/>
      <c r="L500" s="136"/>
      <c r="M500" s="136"/>
    </row>
    <row r="501" spans="1:13" ht="13.5" customHeight="1" x14ac:dyDescent="0.15">
      <c r="A501" s="134"/>
      <c r="B501" s="135"/>
      <c r="C501" s="136"/>
      <c r="D501" s="126" t="s">
        <v>367</v>
      </c>
      <c r="E501" s="136"/>
      <c r="F501" s="136"/>
      <c r="G501" s="136"/>
      <c r="H501" s="136"/>
      <c r="I501" s="136"/>
      <c r="J501" s="136"/>
      <c r="K501" s="136"/>
      <c r="L501" s="136"/>
      <c r="M501" s="136"/>
    </row>
    <row r="502" spans="1:13" ht="13.5" customHeight="1" x14ac:dyDescent="0.15">
      <c r="A502" s="134"/>
      <c r="B502" s="135"/>
      <c r="C502" s="136"/>
      <c r="D502" s="126" t="s">
        <v>367</v>
      </c>
      <c r="E502" s="136"/>
      <c r="F502" s="136"/>
      <c r="G502" s="136"/>
      <c r="H502" s="136"/>
      <c r="I502" s="136"/>
      <c r="J502" s="136"/>
      <c r="K502" s="136"/>
      <c r="L502" s="136"/>
      <c r="M502" s="136"/>
    </row>
    <row r="503" spans="1:13" ht="13.5" customHeight="1" x14ac:dyDescent="0.15">
      <c r="A503" s="134"/>
      <c r="B503" s="135"/>
      <c r="C503" s="136"/>
      <c r="D503" s="126" t="s">
        <v>367</v>
      </c>
      <c r="E503" s="136"/>
      <c r="F503" s="136"/>
      <c r="G503" s="136"/>
      <c r="H503" s="136"/>
      <c r="I503" s="136"/>
      <c r="J503" s="136"/>
      <c r="K503" s="136"/>
      <c r="L503" s="136"/>
      <c r="M503" s="136"/>
    </row>
    <row r="504" spans="1:13" ht="13.5" customHeight="1" x14ac:dyDescent="0.15">
      <c r="A504" s="134"/>
      <c r="B504" s="135"/>
      <c r="C504" s="136"/>
      <c r="D504" s="126" t="s">
        <v>367</v>
      </c>
      <c r="E504" s="136"/>
      <c r="F504" s="136"/>
      <c r="G504" s="136"/>
      <c r="H504" s="136"/>
      <c r="I504" s="136"/>
      <c r="J504" s="136"/>
      <c r="K504" s="136"/>
      <c r="L504" s="136"/>
      <c r="M504" s="136"/>
    </row>
    <row r="505" spans="1:13" ht="13.5" customHeight="1" x14ac:dyDescent="0.15">
      <c r="A505" s="134"/>
      <c r="B505" s="135"/>
      <c r="C505" s="136"/>
      <c r="D505" s="126" t="s">
        <v>367</v>
      </c>
      <c r="E505" s="136"/>
      <c r="F505" s="136"/>
      <c r="G505" s="136"/>
      <c r="H505" s="136"/>
      <c r="I505" s="136"/>
      <c r="J505" s="136"/>
      <c r="K505" s="136"/>
      <c r="L505" s="136"/>
      <c r="M505" s="136"/>
    </row>
    <row r="506" spans="1:13" ht="13.5" customHeight="1" x14ac:dyDescent="0.15">
      <c r="A506" s="134"/>
      <c r="B506" s="135"/>
      <c r="C506" s="136"/>
      <c r="D506" s="126" t="s">
        <v>367</v>
      </c>
      <c r="E506" s="136"/>
      <c r="F506" s="136"/>
      <c r="G506" s="136"/>
      <c r="H506" s="136"/>
      <c r="I506" s="136"/>
      <c r="J506" s="136"/>
      <c r="K506" s="136"/>
      <c r="L506" s="136"/>
      <c r="M506" s="136"/>
    </row>
    <row r="507" spans="1:13" ht="13.5" customHeight="1" x14ac:dyDescent="0.15">
      <c r="A507" s="134"/>
      <c r="B507" s="135"/>
      <c r="C507" s="136"/>
      <c r="D507" s="126" t="s">
        <v>367</v>
      </c>
      <c r="E507" s="136"/>
      <c r="F507" s="136"/>
      <c r="G507" s="136"/>
      <c r="H507" s="136"/>
      <c r="I507" s="136"/>
      <c r="J507" s="136"/>
      <c r="K507" s="136"/>
      <c r="L507" s="136"/>
      <c r="M507" s="136"/>
    </row>
    <row r="508" spans="1:13" ht="13.5" customHeight="1" x14ac:dyDescent="0.15">
      <c r="A508" s="134"/>
      <c r="B508" s="135"/>
      <c r="C508" s="136"/>
      <c r="D508" s="126" t="s">
        <v>367</v>
      </c>
      <c r="E508" s="136"/>
      <c r="F508" s="136"/>
      <c r="G508" s="136"/>
      <c r="H508" s="136"/>
      <c r="I508" s="136"/>
      <c r="J508" s="136"/>
      <c r="K508" s="136"/>
      <c r="L508" s="136"/>
      <c r="M508" s="136"/>
    </row>
    <row r="509" spans="1:13" ht="13.5" customHeight="1" x14ac:dyDescent="0.15">
      <c r="A509" s="134"/>
      <c r="B509" s="135"/>
      <c r="C509" s="136"/>
      <c r="D509" s="126" t="s">
        <v>367</v>
      </c>
      <c r="E509" s="136"/>
      <c r="F509" s="136"/>
      <c r="G509" s="136"/>
      <c r="H509" s="136"/>
      <c r="I509" s="136"/>
      <c r="J509" s="136"/>
      <c r="K509" s="136"/>
      <c r="L509" s="136"/>
      <c r="M509" s="136"/>
    </row>
    <row r="510" spans="1:13" ht="13.5" customHeight="1" x14ac:dyDescent="0.15">
      <c r="A510" s="134"/>
      <c r="B510" s="135"/>
      <c r="C510" s="136"/>
      <c r="D510" s="126" t="s">
        <v>367</v>
      </c>
      <c r="E510" s="136"/>
      <c r="F510" s="136"/>
      <c r="G510" s="136"/>
      <c r="H510" s="136"/>
      <c r="I510" s="136"/>
      <c r="J510" s="136"/>
      <c r="K510" s="136"/>
      <c r="L510" s="136"/>
      <c r="M510" s="136"/>
    </row>
    <row r="511" spans="1:13" ht="13.5" customHeight="1" x14ac:dyDescent="0.15">
      <c r="A511" s="134"/>
      <c r="B511" s="135"/>
      <c r="C511" s="136"/>
      <c r="D511" s="126" t="s">
        <v>367</v>
      </c>
      <c r="E511" s="136"/>
      <c r="F511" s="136"/>
      <c r="G511" s="136"/>
      <c r="H511" s="136"/>
      <c r="I511" s="136"/>
      <c r="J511" s="136"/>
      <c r="K511" s="136"/>
      <c r="L511" s="136"/>
      <c r="M511" s="136"/>
    </row>
    <row r="512" spans="1:13" ht="13.5" customHeight="1" x14ac:dyDescent="0.15">
      <c r="A512" s="134"/>
      <c r="B512" s="135"/>
      <c r="C512" s="136"/>
      <c r="D512" s="126" t="s">
        <v>367</v>
      </c>
      <c r="E512" s="136"/>
      <c r="F512" s="136"/>
      <c r="G512" s="136"/>
      <c r="H512" s="136"/>
      <c r="I512" s="136"/>
      <c r="J512" s="136"/>
      <c r="K512" s="136"/>
      <c r="L512" s="136"/>
      <c r="M512" s="136"/>
    </row>
    <row r="513" spans="1:13" ht="13.5" customHeight="1" x14ac:dyDescent="0.15">
      <c r="A513" s="134"/>
      <c r="B513" s="135"/>
      <c r="C513" s="136"/>
      <c r="D513" s="126" t="s">
        <v>367</v>
      </c>
      <c r="E513" s="136"/>
      <c r="F513" s="136"/>
      <c r="G513" s="136"/>
      <c r="H513" s="136"/>
      <c r="I513" s="136"/>
      <c r="J513" s="136"/>
      <c r="K513" s="136"/>
      <c r="L513" s="136"/>
      <c r="M513" s="136"/>
    </row>
    <row r="514" spans="1:13" ht="13.5" customHeight="1" x14ac:dyDescent="0.15">
      <c r="A514" s="134"/>
      <c r="B514" s="135"/>
      <c r="C514" s="136"/>
      <c r="D514" s="126" t="s">
        <v>367</v>
      </c>
      <c r="E514" s="136"/>
      <c r="F514" s="136"/>
      <c r="G514" s="136"/>
      <c r="H514" s="136"/>
      <c r="I514" s="136"/>
      <c r="J514" s="136"/>
      <c r="K514" s="136"/>
      <c r="L514" s="136"/>
      <c r="M514" s="136"/>
    </row>
    <row r="515" spans="1:13" ht="13.5" customHeight="1" x14ac:dyDescent="0.15">
      <c r="A515" s="134"/>
      <c r="B515" s="135"/>
      <c r="C515" s="136"/>
      <c r="D515" s="126" t="s">
        <v>367</v>
      </c>
      <c r="E515" s="136"/>
      <c r="F515" s="136"/>
      <c r="G515" s="136"/>
      <c r="H515" s="136"/>
      <c r="I515" s="136"/>
      <c r="J515" s="136"/>
      <c r="K515" s="136"/>
      <c r="L515" s="136"/>
      <c r="M515" s="136"/>
    </row>
    <row r="516" spans="1:13" ht="13.5" customHeight="1" x14ac:dyDescent="0.15">
      <c r="A516" s="134"/>
      <c r="B516" s="135"/>
      <c r="C516" s="136"/>
      <c r="D516" s="126" t="s">
        <v>367</v>
      </c>
      <c r="E516" s="136"/>
      <c r="F516" s="136"/>
      <c r="G516" s="136"/>
      <c r="H516" s="136"/>
      <c r="I516" s="136"/>
      <c r="J516" s="136"/>
      <c r="K516" s="136"/>
      <c r="L516" s="136"/>
      <c r="M516" s="136"/>
    </row>
    <row r="517" spans="1:13" ht="13.5" customHeight="1" x14ac:dyDescent="0.15">
      <c r="A517" s="134"/>
      <c r="B517" s="135"/>
      <c r="C517" s="136"/>
      <c r="D517" s="126" t="s">
        <v>367</v>
      </c>
      <c r="E517" s="136"/>
      <c r="F517" s="136"/>
      <c r="G517" s="136"/>
      <c r="H517" s="136"/>
      <c r="I517" s="136"/>
      <c r="J517" s="136"/>
      <c r="K517" s="136"/>
      <c r="L517" s="136"/>
      <c r="M517" s="136"/>
    </row>
    <row r="518" spans="1:13" ht="13.5" customHeight="1" x14ac:dyDescent="0.15">
      <c r="A518" s="134"/>
      <c r="B518" s="135"/>
      <c r="C518" s="136"/>
      <c r="D518" s="126" t="s">
        <v>367</v>
      </c>
      <c r="E518" s="136"/>
      <c r="F518" s="136"/>
      <c r="G518" s="136"/>
      <c r="H518" s="136"/>
      <c r="I518" s="136"/>
      <c r="J518" s="136"/>
      <c r="K518" s="136"/>
      <c r="L518" s="136"/>
      <c r="M518" s="136"/>
    </row>
    <row r="519" spans="1:13" ht="13.5" customHeight="1" x14ac:dyDescent="0.15">
      <c r="A519" s="134"/>
      <c r="B519" s="135"/>
      <c r="C519" s="136"/>
      <c r="D519" s="126" t="s">
        <v>367</v>
      </c>
      <c r="E519" s="136"/>
      <c r="F519" s="136"/>
      <c r="G519" s="136"/>
      <c r="H519" s="136"/>
      <c r="I519" s="136"/>
      <c r="J519" s="136"/>
      <c r="K519" s="136"/>
      <c r="L519" s="136"/>
      <c r="M519" s="136"/>
    </row>
    <row r="520" spans="1:13" ht="13.5" customHeight="1" x14ac:dyDescent="0.15">
      <c r="A520" s="134"/>
      <c r="B520" s="135"/>
      <c r="C520" s="136"/>
      <c r="D520" s="126" t="s">
        <v>367</v>
      </c>
      <c r="E520" s="136"/>
      <c r="F520" s="136"/>
      <c r="G520" s="136"/>
      <c r="H520" s="136"/>
      <c r="I520" s="136"/>
      <c r="J520" s="136"/>
      <c r="K520" s="136"/>
      <c r="L520" s="136"/>
      <c r="M520" s="136"/>
    </row>
    <row r="521" spans="1:13" ht="13.5" customHeight="1" x14ac:dyDescent="0.15">
      <c r="A521" s="134"/>
      <c r="B521" s="135"/>
      <c r="C521" s="136"/>
      <c r="D521" s="126" t="s">
        <v>367</v>
      </c>
      <c r="E521" s="136"/>
      <c r="F521" s="136"/>
      <c r="G521" s="136"/>
      <c r="H521" s="136"/>
      <c r="I521" s="136"/>
      <c r="J521" s="136"/>
      <c r="K521" s="136"/>
      <c r="L521" s="136"/>
      <c r="M521" s="136"/>
    </row>
    <row r="522" spans="1:13" ht="13.5" customHeight="1" x14ac:dyDescent="0.15">
      <c r="A522" s="134"/>
      <c r="B522" s="135"/>
      <c r="C522" s="136"/>
      <c r="D522" s="126" t="s">
        <v>367</v>
      </c>
      <c r="E522" s="136"/>
      <c r="F522" s="136"/>
      <c r="G522" s="136"/>
      <c r="H522" s="136"/>
      <c r="I522" s="136"/>
      <c r="J522" s="136"/>
      <c r="K522" s="136"/>
      <c r="L522" s="136"/>
      <c r="M522" s="136"/>
    </row>
    <row r="523" spans="1:13" ht="13.5" customHeight="1" x14ac:dyDescent="0.15">
      <c r="A523" s="134"/>
      <c r="B523" s="135"/>
      <c r="C523" s="136"/>
      <c r="D523" s="126" t="s">
        <v>367</v>
      </c>
      <c r="E523" s="136"/>
      <c r="F523" s="136"/>
      <c r="G523" s="136"/>
      <c r="H523" s="136"/>
      <c r="I523" s="136"/>
      <c r="J523" s="136"/>
      <c r="K523" s="136"/>
      <c r="L523" s="136"/>
      <c r="M523" s="136"/>
    </row>
    <row r="524" spans="1:13" ht="13.5" customHeight="1" x14ac:dyDescent="0.15">
      <c r="A524" s="134"/>
      <c r="B524" s="135"/>
      <c r="C524" s="136"/>
      <c r="D524" s="126" t="s">
        <v>367</v>
      </c>
      <c r="E524" s="136"/>
      <c r="F524" s="136"/>
      <c r="G524" s="136"/>
      <c r="H524" s="136"/>
      <c r="I524" s="136"/>
      <c r="J524" s="136"/>
      <c r="K524" s="136"/>
      <c r="L524" s="136"/>
      <c r="M524" s="136"/>
    </row>
    <row r="525" spans="1:13" ht="13.5" customHeight="1" x14ac:dyDescent="0.15">
      <c r="A525" s="134"/>
      <c r="B525" s="135"/>
      <c r="C525" s="136"/>
      <c r="D525" s="126" t="s">
        <v>367</v>
      </c>
      <c r="E525" s="136"/>
      <c r="F525" s="136"/>
      <c r="G525" s="136"/>
      <c r="H525" s="136"/>
      <c r="I525" s="136"/>
      <c r="J525" s="136"/>
      <c r="K525" s="136"/>
      <c r="L525" s="136"/>
      <c r="M525" s="136"/>
    </row>
    <row r="526" spans="1:13" ht="13.5" customHeight="1" x14ac:dyDescent="0.15">
      <c r="A526" s="134"/>
      <c r="B526" s="135"/>
      <c r="C526" s="136"/>
      <c r="D526" s="126" t="s">
        <v>367</v>
      </c>
      <c r="E526" s="136"/>
      <c r="F526" s="136"/>
      <c r="G526" s="136"/>
      <c r="H526" s="136"/>
      <c r="I526" s="136"/>
      <c r="J526" s="136"/>
      <c r="K526" s="136"/>
      <c r="L526" s="136"/>
      <c r="M526" s="136"/>
    </row>
    <row r="527" spans="1:13" ht="13.5" customHeight="1" x14ac:dyDescent="0.15">
      <c r="A527" s="134"/>
      <c r="B527" s="135"/>
      <c r="C527" s="136"/>
      <c r="D527" s="126" t="s">
        <v>367</v>
      </c>
      <c r="E527" s="136"/>
      <c r="F527" s="136"/>
      <c r="G527" s="136"/>
      <c r="H527" s="136"/>
      <c r="I527" s="136"/>
      <c r="J527" s="136"/>
      <c r="K527" s="136"/>
      <c r="L527" s="136"/>
      <c r="M527" s="136"/>
    </row>
    <row r="528" spans="1:13" ht="13.5" customHeight="1" x14ac:dyDescent="0.15">
      <c r="A528" s="134"/>
      <c r="B528" s="135"/>
      <c r="C528" s="136"/>
      <c r="D528" s="126" t="s">
        <v>367</v>
      </c>
      <c r="E528" s="136"/>
      <c r="F528" s="136"/>
      <c r="G528" s="136"/>
      <c r="H528" s="136"/>
      <c r="I528" s="136"/>
      <c r="J528" s="136"/>
      <c r="K528" s="136"/>
      <c r="L528" s="136"/>
      <c r="M528" s="136"/>
    </row>
    <row r="529" spans="1:13" ht="13.5" customHeight="1" x14ac:dyDescent="0.15">
      <c r="A529" s="134"/>
      <c r="B529" s="135"/>
      <c r="C529" s="136"/>
      <c r="D529" s="126" t="s">
        <v>367</v>
      </c>
      <c r="E529" s="136"/>
      <c r="F529" s="136"/>
      <c r="G529" s="136"/>
      <c r="H529" s="136"/>
      <c r="I529" s="136"/>
      <c r="J529" s="136"/>
      <c r="K529" s="136"/>
      <c r="L529" s="136"/>
      <c r="M529" s="136"/>
    </row>
    <row r="530" spans="1:13" ht="13.5" customHeight="1" x14ac:dyDescent="0.15">
      <c r="A530" s="134"/>
      <c r="B530" s="135"/>
      <c r="C530" s="136"/>
      <c r="D530" s="126" t="s">
        <v>367</v>
      </c>
      <c r="E530" s="136"/>
      <c r="F530" s="136"/>
      <c r="G530" s="136"/>
      <c r="H530" s="136"/>
      <c r="I530" s="136"/>
      <c r="J530" s="136"/>
      <c r="K530" s="136"/>
      <c r="L530" s="136"/>
      <c r="M530" s="136"/>
    </row>
    <row r="531" spans="1:13" ht="13.5" customHeight="1" x14ac:dyDescent="0.15">
      <c r="A531" s="134"/>
      <c r="B531" s="135"/>
      <c r="C531" s="136"/>
      <c r="D531" s="126" t="s">
        <v>367</v>
      </c>
      <c r="E531" s="136"/>
      <c r="F531" s="136"/>
      <c r="G531" s="136"/>
      <c r="H531" s="136"/>
      <c r="I531" s="136"/>
      <c r="J531" s="136"/>
      <c r="K531" s="136"/>
      <c r="L531" s="136"/>
      <c r="M531" s="136"/>
    </row>
    <row r="532" spans="1:13" ht="13.5" customHeight="1" x14ac:dyDescent="0.15">
      <c r="A532" s="134"/>
      <c r="B532" s="135"/>
      <c r="C532" s="136"/>
      <c r="D532" s="126" t="s">
        <v>367</v>
      </c>
      <c r="E532" s="136"/>
      <c r="F532" s="136"/>
      <c r="G532" s="136"/>
      <c r="H532" s="136"/>
      <c r="I532" s="136"/>
      <c r="J532" s="136"/>
      <c r="K532" s="136"/>
      <c r="L532" s="136"/>
      <c r="M532" s="136"/>
    </row>
    <row r="533" spans="1:13" ht="13.5" customHeight="1" x14ac:dyDescent="0.15">
      <c r="A533" s="134"/>
      <c r="B533" s="135"/>
      <c r="C533" s="136"/>
      <c r="D533" s="126" t="s">
        <v>367</v>
      </c>
      <c r="E533" s="136"/>
      <c r="F533" s="136"/>
      <c r="G533" s="136"/>
      <c r="H533" s="136"/>
      <c r="I533" s="136"/>
      <c r="J533" s="136"/>
      <c r="K533" s="136"/>
      <c r="L533" s="136"/>
      <c r="M533" s="136"/>
    </row>
    <row r="534" spans="1:13" ht="13.5" customHeight="1" x14ac:dyDescent="0.15">
      <c r="A534" s="134"/>
      <c r="B534" s="135"/>
      <c r="C534" s="136"/>
      <c r="D534" s="126" t="s">
        <v>367</v>
      </c>
      <c r="E534" s="136"/>
      <c r="F534" s="136"/>
      <c r="G534" s="136"/>
      <c r="H534" s="136"/>
      <c r="I534" s="136"/>
      <c r="J534" s="136"/>
      <c r="K534" s="136"/>
      <c r="L534" s="136"/>
      <c r="M534" s="136"/>
    </row>
    <row r="535" spans="1:13" ht="13.5" customHeight="1" x14ac:dyDescent="0.15">
      <c r="A535" s="134"/>
      <c r="B535" s="135"/>
      <c r="C535" s="136"/>
      <c r="D535" s="126" t="s">
        <v>367</v>
      </c>
      <c r="E535" s="136"/>
      <c r="F535" s="136"/>
      <c r="G535" s="136"/>
      <c r="H535" s="136"/>
      <c r="I535" s="136"/>
      <c r="J535" s="136"/>
      <c r="K535" s="136"/>
      <c r="L535" s="136"/>
      <c r="M535" s="136"/>
    </row>
    <row r="536" spans="1:13" ht="13.5" customHeight="1" x14ac:dyDescent="0.15">
      <c r="A536" s="134"/>
      <c r="B536" s="135"/>
      <c r="C536" s="136"/>
      <c r="D536" s="126" t="s">
        <v>367</v>
      </c>
      <c r="E536" s="136"/>
      <c r="F536" s="136"/>
      <c r="G536" s="136"/>
      <c r="H536" s="136"/>
      <c r="I536" s="136"/>
      <c r="J536" s="136"/>
      <c r="K536" s="136"/>
      <c r="L536" s="136"/>
      <c r="M536" s="136"/>
    </row>
    <row r="537" spans="1:13" ht="13.5" customHeight="1" x14ac:dyDescent="0.15">
      <c r="A537" s="134"/>
      <c r="B537" s="135"/>
      <c r="C537" s="136"/>
      <c r="D537" s="126" t="s">
        <v>367</v>
      </c>
      <c r="E537" s="136"/>
      <c r="F537" s="136"/>
      <c r="G537" s="136"/>
      <c r="H537" s="136"/>
      <c r="I537" s="136"/>
      <c r="J537" s="136"/>
      <c r="K537" s="136"/>
      <c r="L537" s="136"/>
      <c r="M537" s="136"/>
    </row>
    <row r="538" spans="1:13" ht="13.5" customHeight="1" x14ac:dyDescent="0.15">
      <c r="A538" s="134"/>
      <c r="B538" s="135"/>
      <c r="C538" s="136"/>
      <c r="D538" s="126" t="s">
        <v>367</v>
      </c>
      <c r="E538" s="136"/>
      <c r="F538" s="136"/>
      <c r="G538" s="136"/>
      <c r="H538" s="136"/>
      <c r="I538" s="136"/>
      <c r="J538" s="136"/>
      <c r="K538" s="136"/>
      <c r="L538" s="136"/>
      <c r="M538" s="136"/>
    </row>
    <row r="539" spans="1:13" ht="13.5" customHeight="1" x14ac:dyDescent="0.15">
      <c r="A539" s="134"/>
      <c r="B539" s="135"/>
      <c r="C539" s="136"/>
      <c r="D539" s="126" t="s">
        <v>367</v>
      </c>
      <c r="E539" s="136"/>
      <c r="F539" s="136"/>
      <c r="G539" s="136"/>
      <c r="H539" s="136"/>
      <c r="I539" s="136"/>
      <c r="J539" s="136"/>
      <c r="K539" s="136"/>
      <c r="L539" s="136"/>
      <c r="M539" s="136"/>
    </row>
    <row r="540" spans="1:13" ht="13.5" customHeight="1" x14ac:dyDescent="0.15">
      <c r="A540" s="134"/>
      <c r="B540" s="135"/>
      <c r="C540" s="136"/>
      <c r="D540" s="126" t="s">
        <v>367</v>
      </c>
      <c r="E540" s="136"/>
      <c r="F540" s="136"/>
      <c r="G540" s="136"/>
      <c r="H540" s="136"/>
      <c r="I540" s="136"/>
      <c r="J540" s="136"/>
      <c r="K540" s="136"/>
      <c r="L540" s="136"/>
      <c r="M540" s="136"/>
    </row>
    <row r="541" spans="1:13" ht="13.5" customHeight="1" x14ac:dyDescent="0.15">
      <c r="A541" s="134"/>
      <c r="B541" s="135"/>
      <c r="C541" s="136"/>
      <c r="D541" s="126" t="s">
        <v>367</v>
      </c>
      <c r="E541" s="136"/>
      <c r="F541" s="136"/>
      <c r="G541" s="136"/>
      <c r="H541" s="136"/>
      <c r="I541" s="136"/>
      <c r="J541" s="136"/>
      <c r="K541" s="136"/>
      <c r="L541" s="136"/>
      <c r="M541" s="136"/>
    </row>
    <row r="542" spans="1:13" ht="13.5" customHeight="1" x14ac:dyDescent="0.15">
      <c r="A542" s="134"/>
      <c r="B542" s="135"/>
      <c r="C542" s="136"/>
      <c r="D542" s="126" t="s">
        <v>367</v>
      </c>
      <c r="E542" s="136"/>
      <c r="F542" s="136"/>
      <c r="G542" s="136"/>
      <c r="H542" s="136"/>
      <c r="I542" s="136"/>
      <c r="J542" s="136"/>
      <c r="K542" s="136"/>
      <c r="L542" s="136"/>
      <c r="M542" s="136"/>
    </row>
    <row r="543" spans="1:13" ht="13.5" customHeight="1" x14ac:dyDescent="0.15">
      <c r="A543" s="134"/>
      <c r="B543" s="135"/>
      <c r="C543" s="136"/>
      <c r="D543" s="126" t="s">
        <v>367</v>
      </c>
      <c r="E543" s="136"/>
      <c r="F543" s="136"/>
      <c r="G543" s="136"/>
      <c r="H543" s="136"/>
      <c r="I543" s="136"/>
      <c r="J543" s="136"/>
      <c r="K543" s="136"/>
      <c r="L543" s="136"/>
      <c r="M543" s="136"/>
    </row>
    <row r="544" spans="1:13" ht="13.5" customHeight="1" x14ac:dyDescent="0.15">
      <c r="A544" s="134"/>
      <c r="B544" s="135"/>
      <c r="C544" s="136"/>
      <c r="D544" s="126" t="s">
        <v>367</v>
      </c>
      <c r="E544" s="136"/>
      <c r="F544" s="136"/>
      <c r="G544" s="136"/>
      <c r="H544" s="136"/>
      <c r="I544" s="136"/>
      <c r="J544" s="136"/>
      <c r="K544" s="136"/>
      <c r="L544" s="136"/>
      <c r="M544" s="136"/>
    </row>
    <row r="545" spans="1:13" ht="13.5" customHeight="1" x14ac:dyDescent="0.15">
      <c r="A545" s="134"/>
      <c r="B545" s="135"/>
      <c r="C545" s="136"/>
      <c r="D545" s="126" t="s">
        <v>367</v>
      </c>
      <c r="E545" s="136"/>
      <c r="F545" s="136"/>
      <c r="G545" s="136"/>
      <c r="H545" s="136"/>
      <c r="I545" s="136"/>
      <c r="J545" s="136"/>
      <c r="K545" s="136"/>
      <c r="L545" s="136"/>
      <c r="M545" s="136"/>
    </row>
    <row r="546" spans="1:13" ht="13.5" customHeight="1" x14ac:dyDescent="0.15">
      <c r="A546" s="134"/>
      <c r="B546" s="135"/>
      <c r="C546" s="136"/>
      <c r="D546" s="126" t="s">
        <v>367</v>
      </c>
      <c r="E546" s="136"/>
      <c r="F546" s="136"/>
      <c r="G546" s="136"/>
      <c r="H546" s="136"/>
      <c r="I546" s="136"/>
      <c r="J546" s="136"/>
      <c r="K546" s="136"/>
      <c r="L546" s="136"/>
      <c r="M546" s="136"/>
    </row>
    <row r="547" spans="1:13" ht="13.5" customHeight="1" x14ac:dyDescent="0.15">
      <c r="A547" s="134"/>
      <c r="B547" s="135"/>
      <c r="C547" s="136"/>
      <c r="D547" s="126" t="s">
        <v>367</v>
      </c>
      <c r="E547" s="136"/>
      <c r="F547" s="136"/>
      <c r="G547" s="136"/>
      <c r="H547" s="136"/>
      <c r="I547" s="136"/>
      <c r="J547" s="136"/>
      <c r="K547" s="136"/>
      <c r="L547" s="136"/>
      <c r="M547" s="136"/>
    </row>
    <row r="548" spans="1:13" ht="13.5" customHeight="1" x14ac:dyDescent="0.15">
      <c r="A548" s="134"/>
      <c r="B548" s="135"/>
      <c r="C548" s="136"/>
      <c r="D548" s="126" t="s">
        <v>367</v>
      </c>
      <c r="E548" s="136"/>
      <c r="F548" s="136"/>
      <c r="G548" s="136"/>
      <c r="H548" s="136"/>
      <c r="I548" s="136"/>
      <c r="J548" s="136"/>
      <c r="K548" s="136"/>
      <c r="L548" s="136"/>
      <c r="M548" s="136"/>
    </row>
    <row r="549" spans="1:13" ht="13.5" customHeight="1" x14ac:dyDescent="0.15">
      <c r="A549" s="134"/>
      <c r="B549" s="135"/>
      <c r="C549" s="136"/>
      <c r="D549" s="126" t="s">
        <v>367</v>
      </c>
      <c r="E549" s="136"/>
      <c r="F549" s="136"/>
      <c r="G549" s="136"/>
      <c r="H549" s="136"/>
      <c r="I549" s="136"/>
      <c r="J549" s="136"/>
      <c r="K549" s="136"/>
      <c r="L549" s="136"/>
      <c r="M549" s="136"/>
    </row>
    <row r="550" spans="1:13" ht="13.5" customHeight="1" x14ac:dyDescent="0.15">
      <c r="A550" s="134"/>
      <c r="B550" s="135"/>
      <c r="C550" s="136"/>
      <c r="D550" s="126" t="s">
        <v>367</v>
      </c>
      <c r="E550" s="136"/>
      <c r="F550" s="136"/>
      <c r="G550" s="136"/>
      <c r="H550" s="136"/>
      <c r="I550" s="136"/>
      <c r="J550" s="136"/>
      <c r="K550" s="136"/>
      <c r="L550" s="136"/>
      <c r="M550" s="136"/>
    </row>
    <row r="551" spans="1:13" ht="13.5" customHeight="1" x14ac:dyDescent="0.15">
      <c r="A551" s="134"/>
      <c r="B551" s="135"/>
      <c r="C551" s="136"/>
      <c r="D551" s="126" t="s">
        <v>367</v>
      </c>
      <c r="E551" s="136"/>
      <c r="F551" s="136"/>
      <c r="G551" s="136"/>
      <c r="H551" s="136"/>
      <c r="I551" s="136"/>
      <c r="J551" s="136"/>
      <c r="K551" s="136"/>
      <c r="L551" s="136"/>
      <c r="M551" s="136"/>
    </row>
    <row r="552" spans="1:13" ht="13.5" customHeight="1" x14ac:dyDescent="0.15">
      <c r="A552" s="134"/>
      <c r="B552" s="135"/>
      <c r="C552" s="136"/>
      <c r="D552" s="126" t="s">
        <v>367</v>
      </c>
      <c r="E552" s="136"/>
      <c r="F552" s="136"/>
      <c r="G552" s="136"/>
      <c r="H552" s="136"/>
      <c r="I552" s="136"/>
      <c r="J552" s="136"/>
      <c r="K552" s="136"/>
      <c r="L552" s="136"/>
      <c r="M552" s="136"/>
    </row>
    <row r="553" spans="1:13" ht="13.5" customHeight="1" x14ac:dyDescent="0.15">
      <c r="A553" s="134"/>
      <c r="B553" s="135"/>
      <c r="C553" s="136"/>
      <c r="D553" s="126" t="s">
        <v>367</v>
      </c>
      <c r="E553" s="136"/>
      <c r="F553" s="136"/>
      <c r="G553" s="136"/>
      <c r="H553" s="136"/>
      <c r="I553" s="136"/>
      <c r="J553" s="136"/>
      <c r="K553" s="136"/>
      <c r="L553" s="136"/>
      <c r="M553" s="136"/>
    </row>
    <row r="554" spans="1:13" ht="13.5" customHeight="1" x14ac:dyDescent="0.15">
      <c r="A554" s="134"/>
      <c r="B554" s="135"/>
      <c r="C554" s="136"/>
      <c r="D554" s="126" t="s">
        <v>367</v>
      </c>
      <c r="E554" s="136"/>
      <c r="F554" s="136"/>
      <c r="G554" s="136"/>
      <c r="H554" s="136"/>
      <c r="I554" s="136"/>
      <c r="J554" s="136"/>
      <c r="K554" s="136"/>
      <c r="L554" s="136"/>
      <c r="M554" s="136"/>
    </row>
    <row r="555" spans="1:13" ht="13.5" customHeight="1" x14ac:dyDescent="0.15">
      <c r="A555" s="134"/>
      <c r="B555" s="135"/>
      <c r="C555" s="136"/>
      <c r="D555" s="126" t="s">
        <v>367</v>
      </c>
      <c r="E555" s="136"/>
      <c r="F555" s="136"/>
      <c r="G555" s="136"/>
      <c r="H555" s="136"/>
      <c r="I555" s="136"/>
      <c r="J555" s="136"/>
      <c r="K555" s="136"/>
      <c r="L555" s="136"/>
      <c r="M555" s="136"/>
    </row>
    <row r="556" spans="1:13" ht="13.5" customHeight="1" x14ac:dyDescent="0.15">
      <c r="A556" s="134"/>
      <c r="B556" s="135"/>
      <c r="C556" s="136"/>
      <c r="D556" s="126" t="s">
        <v>367</v>
      </c>
      <c r="E556" s="136"/>
      <c r="F556" s="136"/>
      <c r="G556" s="136"/>
      <c r="H556" s="136"/>
      <c r="I556" s="136"/>
      <c r="J556" s="136"/>
      <c r="K556" s="136"/>
      <c r="L556" s="136"/>
      <c r="M556" s="136"/>
    </row>
    <row r="557" spans="1:13" ht="13.5" customHeight="1" x14ac:dyDescent="0.15">
      <c r="A557" s="134"/>
      <c r="B557" s="135"/>
      <c r="C557" s="136"/>
      <c r="D557" s="126" t="s">
        <v>367</v>
      </c>
      <c r="E557" s="136"/>
      <c r="F557" s="136"/>
      <c r="G557" s="136"/>
      <c r="H557" s="136"/>
      <c r="I557" s="136"/>
      <c r="J557" s="136"/>
      <c r="K557" s="136"/>
      <c r="L557" s="136"/>
      <c r="M557" s="136"/>
    </row>
    <row r="558" spans="1:13" ht="13.5" customHeight="1" x14ac:dyDescent="0.15">
      <c r="A558" s="134"/>
      <c r="B558" s="135"/>
      <c r="C558" s="136"/>
      <c r="D558" s="126" t="s">
        <v>367</v>
      </c>
      <c r="E558" s="136"/>
      <c r="F558" s="136"/>
      <c r="G558" s="136"/>
      <c r="H558" s="136"/>
      <c r="I558" s="136"/>
      <c r="J558" s="136"/>
      <c r="K558" s="136"/>
      <c r="L558" s="136"/>
      <c r="M558" s="136"/>
    </row>
    <row r="559" spans="1:13" ht="13.5" customHeight="1" x14ac:dyDescent="0.15">
      <c r="A559" s="134"/>
      <c r="B559" s="135"/>
      <c r="C559" s="136"/>
      <c r="D559" s="126" t="s">
        <v>367</v>
      </c>
      <c r="E559" s="136"/>
      <c r="F559" s="136"/>
      <c r="G559" s="136"/>
      <c r="H559" s="136"/>
      <c r="I559" s="136"/>
      <c r="J559" s="136"/>
      <c r="K559" s="136"/>
      <c r="L559" s="136"/>
      <c r="M559" s="136"/>
    </row>
    <row r="560" spans="1:13" ht="13.5" customHeight="1" x14ac:dyDescent="0.15">
      <c r="A560" s="134"/>
      <c r="B560" s="135"/>
      <c r="C560" s="136"/>
      <c r="D560" s="126" t="s">
        <v>367</v>
      </c>
      <c r="E560" s="136"/>
      <c r="F560" s="136"/>
      <c r="G560" s="136"/>
      <c r="H560" s="136"/>
      <c r="I560" s="136"/>
      <c r="J560" s="136"/>
      <c r="K560" s="136"/>
      <c r="L560" s="136"/>
      <c r="M560" s="136"/>
    </row>
    <row r="561" spans="1:13" ht="13.5" customHeight="1" x14ac:dyDescent="0.15">
      <c r="A561" s="134"/>
      <c r="B561" s="135"/>
      <c r="C561" s="136"/>
      <c r="D561" s="126" t="s">
        <v>367</v>
      </c>
      <c r="E561" s="136"/>
      <c r="F561" s="136"/>
      <c r="G561" s="136"/>
      <c r="H561" s="136"/>
      <c r="I561" s="136"/>
      <c r="J561" s="136"/>
      <c r="K561" s="136"/>
      <c r="L561" s="136"/>
      <c r="M561" s="136"/>
    </row>
    <row r="562" spans="1:13" ht="13.5" customHeight="1" x14ac:dyDescent="0.15">
      <c r="A562" s="134"/>
      <c r="B562" s="135"/>
      <c r="C562" s="136"/>
      <c r="D562" s="126" t="s">
        <v>367</v>
      </c>
      <c r="E562" s="136"/>
      <c r="F562" s="136"/>
      <c r="G562" s="136"/>
      <c r="H562" s="136"/>
      <c r="I562" s="136"/>
      <c r="J562" s="136"/>
      <c r="K562" s="136"/>
      <c r="L562" s="136"/>
      <c r="M562" s="136"/>
    </row>
    <row r="563" spans="1:13" ht="13.5" customHeight="1" x14ac:dyDescent="0.15">
      <c r="A563" s="134"/>
      <c r="B563" s="135"/>
      <c r="C563" s="136"/>
      <c r="D563" s="126" t="s">
        <v>367</v>
      </c>
      <c r="E563" s="136"/>
      <c r="F563" s="136"/>
      <c r="G563" s="136"/>
      <c r="H563" s="136"/>
      <c r="I563" s="136"/>
      <c r="J563" s="136"/>
      <c r="K563" s="136"/>
      <c r="L563" s="136"/>
      <c r="M563" s="136"/>
    </row>
    <row r="564" spans="1:13" ht="13.5" customHeight="1" x14ac:dyDescent="0.15">
      <c r="A564" s="134"/>
      <c r="B564" s="135"/>
      <c r="C564" s="136"/>
      <c r="D564" s="126" t="s">
        <v>367</v>
      </c>
      <c r="E564" s="136"/>
      <c r="F564" s="136"/>
      <c r="G564" s="136"/>
      <c r="H564" s="136"/>
      <c r="I564" s="136"/>
      <c r="J564" s="136"/>
      <c r="K564" s="136"/>
      <c r="L564" s="136"/>
      <c r="M564" s="136"/>
    </row>
    <row r="565" spans="1:13" ht="13.5" customHeight="1" x14ac:dyDescent="0.15">
      <c r="A565" s="134"/>
      <c r="B565" s="135"/>
      <c r="C565" s="136"/>
      <c r="D565" s="126" t="s">
        <v>367</v>
      </c>
      <c r="E565" s="136"/>
      <c r="F565" s="136"/>
      <c r="G565" s="136"/>
      <c r="H565" s="136"/>
      <c r="I565" s="136"/>
      <c r="J565" s="136"/>
      <c r="K565" s="136"/>
      <c r="L565" s="136"/>
      <c r="M565" s="136"/>
    </row>
    <row r="566" spans="1:13" ht="13.5" customHeight="1" x14ac:dyDescent="0.15">
      <c r="A566" s="134"/>
      <c r="B566" s="135"/>
      <c r="C566" s="136"/>
      <c r="D566" s="126" t="s">
        <v>367</v>
      </c>
      <c r="E566" s="136"/>
      <c r="F566" s="136"/>
      <c r="G566" s="136"/>
      <c r="H566" s="136"/>
      <c r="I566" s="136"/>
      <c r="J566" s="136"/>
      <c r="K566" s="136"/>
      <c r="L566" s="136"/>
      <c r="M566" s="136"/>
    </row>
    <row r="567" spans="1:13" ht="13.5" customHeight="1" x14ac:dyDescent="0.15">
      <c r="A567" s="134"/>
      <c r="B567" s="135"/>
      <c r="C567" s="136"/>
      <c r="D567" s="126" t="s">
        <v>367</v>
      </c>
      <c r="E567" s="136"/>
      <c r="F567" s="136"/>
      <c r="G567" s="136"/>
      <c r="H567" s="136"/>
      <c r="I567" s="136"/>
      <c r="J567" s="136"/>
      <c r="K567" s="136"/>
      <c r="L567" s="136"/>
      <c r="M567" s="136"/>
    </row>
    <row r="568" spans="1:13" ht="13.5" customHeight="1" x14ac:dyDescent="0.15">
      <c r="A568" s="134"/>
      <c r="B568" s="135"/>
      <c r="C568" s="136"/>
      <c r="D568" s="126" t="s">
        <v>367</v>
      </c>
      <c r="E568" s="136"/>
      <c r="F568" s="136"/>
      <c r="G568" s="136"/>
      <c r="H568" s="136"/>
      <c r="I568" s="136"/>
      <c r="J568" s="136"/>
      <c r="K568" s="136"/>
      <c r="L568" s="136"/>
      <c r="M568" s="136"/>
    </row>
    <row r="569" spans="1:13" ht="13.5" customHeight="1" x14ac:dyDescent="0.15">
      <c r="A569" s="134"/>
      <c r="B569" s="135"/>
      <c r="C569" s="136"/>
      <c r="D569" s="126" t="s">
        <v>367</v>
      </c>
      <c r="E569" s="136"/>
      <c r="F569" s="136"/>
      <c r="G569" s="136"/>
      <c r="H569" s="136"/>
      <c r="I569" s="136"/>
      <c r="J569" s="136"/>
      <c r="K569" s="136"/>
      <c r="L569" s="136"/>
      <c r="M569" s="136"/>
    </row>
    <row r="570" spans="1:13" ht="13.5" customHeight="1" x14ac:dyDescent="0.15">
      <c r="A570" s="134"/>
      <c r="B570" s="135"/>
      <c r="C570" s="136"/>
      <c r="D570" s="126" t="s">
        <v>367</v>
      </c>
      <c r="E570" s="136"/>
      <c r="F570" s="136"/>
      <c r="G570" s="136"/>
      <c r="H570" s="136"/>
      <c r="I570" s="136"/>
      <c r="J570" s="136"/>
      <c r="K570" s="136"/>
      <c r="L570" s="136"/>
      <c r="M570" s="136"/>
    </row>
    <row r="571" spans="1:13" ht="13.5" customHeight="1" x14ac:dyDescent="0.15">
      <c r="A571" s="134"/>
      <c r="B571" s="135"/>
      <c r="C571" s="136"/>
      <c r="D571" s="126" t="s">
        <v>367</v>
      </c>
      <c r="E571" s="136"/>
      <c r="F571" s="136"/>
      <c r="G571" s="136"/>
      <c r="H571" s="136"/>
      <c r="I571" s="136"/>
      <c r="J571" s="136"/>
      <c r="K571" s="136"/>
      <c r="L571" s="136"/>
      <c r="M571" s="136"/>
    </row>
    <row r="572" spans="1:13" ht="13.5" customHeight="1" x14ac:dyDescent="0.15">
      <c r="A572" s="134"/>
      <c r="B572" s="135"/>
      <c r="C572" s="136"/>
      <c r="D572" s="126" t="s">
        <v>367</v>
      </c>
      <c r="E572" s="136"/>
      <c r="F572" s="136"/>
      <c r="G572" s="136"/>
      <c r="H572" s="136"/>
      <c r="I572" s="136"/>
      <c r="J572" s="136"/>
      <c r="K572" s="136"/>
      <c r="L572" s="136"/>
      <c r="M572" s="136"/>
    </row>
    <row r="573" spans="1:13" ht="13.5" customHeight="1" x14ac:dyDescent="0.15">
      <c r="A573" s="134"/>
      <c r="B573" s="135"/>
      <c r="C573" s="136"/>
      <c r="D573" s="126" t="s">
        <v>367</v>
      </c>
      <c r="E573" s="136"/>
      <c r="F573" s="136"/>
      <c r="G573" s="136"/>
      <c r="H573" s="136"/>
      <c r="I573" s="136"/>
      <c r="J573" s="136"/>
      <c r="K573" s="136"/>
      <c r="L573" s="136"/>
      <c r="M573" s="136"/>
    </row>
    <row r="574" spans="1:13" ht="13.5" customHeight="1" x14ac:dyDescent="0.15">
      <c r="A574" s="134"/>
      <c r="B574" s="135"/>
      <c r="C574" s="136"/>
      <c r="D574" s="126" t="s">
        <v>367</v>
      </c>
      <c r="E574" s="136"/>
      <c r="F574" s="136"/>
      <c r="G574" s="136"/>
      <c r="H574" s="136"/>
      <c r="I574" s="136"/>
      <c r="J574" s="136"/>
      <c r="K574" s="136"/>
      <c r="L574" s="136"/>
      <c r="M574" s="136"/>
    </row>
    <row r="575" spans="1:13" ht="13.5" customHeight="1" x14ac:dyDescent="0.15">
      <c r="A575" s="134"/>
      <c r="B575" s="135"/>
      <c r="C575" s="136"/>
      <c r="D575" s="126" t="s">
        <v>367</v>
      </c>
      <c r="E575" s="136"/>
      <c r="F575" s="136"/>
      <c r="G575" s="136"/>
      <c r="H575" s="136"/>
      <c r="I575" s="136"/>
      <c r="J575" s="136"/>
      <c r="K575" s="136"/>
      <c r="L575" s="136"/>
      <c r="M575" s="136"/>
    </row>
    <row r="576" spans="1:13" ht="13.5" customHeight="1" x14ac:dyDescent="0.15">
      <c r="A576" s="134"/>
      <c r="B576" s="135"/>
      <c r="C576" s="136"/>
      <c r="D576" s="126" t="s">
        <v>367</v>
      </c>
      <c r="E576" s="136"/>
      <c r="F576" s="136"/>
      <c r="G576" s="136"/>
      <c r="H576" s="136"/>
      <c r="I576" s="136"/>
      <c r="J576" s="136"/>
      <c r="K576" s="136"/>
      <c r="L576" s="136"/>
      <c r="M576" s="136"/>
    </row>
    <row r="577" spans="1:13" ht="13.5" customHeight="1" x14ac:dyDescent="0.15">
      <c r="A577" s="134"/>
      <c r="B577" s="135"/>
      <c r="C577" s="136"/>
      <c r="D577" s="126" t="s">
        <v>367</v>
      </c>
      <c r="E577" s="136"/>
      <c r="F577" s="136"/>
      <c r="G577" s="136"/>
      <c r="H577" s="136"/>
      <c r="I577" s="136"/>
      <c r="J577" s="136"/>
      <c r="K577" s="136"/>
      <c r="L577" s="136"/>
      <c r="M577" s="136"/>
    </row>
    <row r="578" spans="1:13" ht="13.5" customHeight="1" x14ac:dyDescent="0.15">
      <c r="A578" s="134"/>
      <c r="B578" s="135"/>
      <c r="C578" s="136"/>
      <c r="D578" s="126" t="s">
        <v>367</v>
      </c>
      <c r="E578" s="136"/>
      <c r="F578" s="136"/>
      <c r="G578" s="136"/>
      <c r="H578" s="136"/>
      <c r="I578" s="136"/>
      <c r="J578" s="136"/>
      <c r="K578" s="136"/>
      <c r="L578" s="136"/>
      <c r="M578" s="136"/>
    </row>
    <row r="579" spans="1:13" ht="13.5" customHeight="1" x14ac:dyDescent="0.15">
      <c r="A579" s="134"/>
      <c r="B579" s="135"/>
      <c r="C579" s="136"/>
      <c r="D579" s="126" t="s">
        <v>367</v>
      </c>
      <c r="E579" s="136"/>
      <c r="F579" s="136"/>
      <c r="G579" s="136"/>
      <c r="H579" s="136"/>
      <c r="I579" s="136"/>
      <c r="J579" s="136"/>
      <c r="K579" s="136"/>
      <c r="L579" s="136"/>
      <c r="M579" s="136"/>
    </row>
    <row r="580" spans="1:13" ht="13.5" customHeight="1" x14ac:dyDescent="0.15">
      <c r="A580" s="134"/>
      <c r="B580" s="135"/>
      <c r="C580" s="136"/>
      <c r="D580" s="126" t="s">
        <v>367</v>
      </c>
      <c r="E580" s="136"/>
      <c r="F580" s="136"/>
      <c r="G580" s="136"/>
      <c r="H580" s="136"/>
      <c r="I580" s="136"/>
      <c r="J580" s="136"/>
      <c r="K580" s="136"/>
      <c r="L580" s="136"/>
      <c r="M580" s="136"/>
    </row>
    <row r="581" spans="1:13" ht="13.5" customHeight="1" x14ac:dyDescent="0.15">
      <c r="A581" s="134"/>
      <c r="B581" s="135"/>
      <c r="C581" s="136"/>
      <c r="D581" s="126" t="s">
        <v>367</v>
      </c>
      <c r="E581" s="136"/>
      <c r="F581" s="136"/>
      <c r="G581" s="136"/>
      <c r="H581" s="136"/>
      <c r="I581" s="136"/>
      <c r="J581" s="136"/>
      <c r="K581" s="136"/>
      <c r="L581" s="136"/>
      <c r="M581" s="136"/>
    </row>
    <row r="582" spans="1:13" ht="13.5" customHeight="1" x14ac:dyDescent="0.15">
      <c r="A582" s="134"/>
      <c r="B582" s="135"/>
      <c r="C582" s="136"/>
      <c r="D582" s="126" t="s">
        <v>367</v>
      </c>
      <c r="E582" s="136"/>
      <c r="F582" s="136"/>
      <c r="G582" s="136"/>
      <c r="H582" s="136"/>
      <c r="I582" s="136"/>
      <c r="J582" s="136"/>
      <c r="K582" s="136"/>
      <c r="L582" s="136"/>
      <c r="M582" s="136"/>
    </row>
    <row r="583" spans="1:13" ht="13.5" customHeight="1" x14ac:dyDescent="0.15">
      <c r="A583" s="134"/>
      <c r="B583" s="135"/>
      <c r="C583" s="136"/>
      <c r="D583" s="126" t="s">
        <v>367</v>
      </c>
      <c r="E583" s="136"/>
      <c r="F583" s="136"/>
      <c r="G583" s="136"/>
      <c r="H583" s="136"/>
      <c r="I583" s="136"/>
      <c r="J583" s="136"/>
      <c r="K583" s="136"/>
      <c r="L583" s="136"/>
      <c r="M583" s="136"/>
    </row>
    <row r="584" spans="1:13" ht="13.5" customHeight="1" x14ac:dyDescent="0.15">
      <c r="A584" s="134"/>
      <c r="B584" s="135"/>
      <c r="C584" s="136"/>
      <c r="D584" s="126" t="s">
        <v>367</v>
      </c>
      <c r="E584" s="136"/>
      <c r="F584" s="136"/>
      <c r="G584" s="136"/>
      <c r="H584" s="136"/>
      <c r="I584" s="136"/>
      <c r="J584" s="136"/>
      <c r="K584" s="136"/>
      <c r="L584" s="136"/>
      <c r="M584" s="136"/>
    </row>
    <row r="585" spans="1:13" ht="13.5" customHeight="1" x14ac:dyDescent="0.15">
      <c r="A585" s="134"/>
      <c r="B585" s="135"/>
      <c r="C585" s="136"/>
      <c r="D585" s="126" t="s">
        <v>367</v>
      </c>
      <c r="E585" s="136"/>
      <c r="F585" s="136"/>
      <c r="G585" s="136"/>
      <c r="H585" s="136"/>
      <c r="I585" s="136"/>
      <c r="J585" s="136"/>
      <c r="K585" s="136"/>
      <c r="L585" s="136"/>
      <c r="M585" s="136"/>
    </row>
    <row r="586" spans="1:13" ht="13.5" customHeight="1" x14ac:dyDescent="0.15">
      <c r="A586" s="134"/>
      <c r="B586" s="135"/>
      <c r="C586" s="136"/>
      <c r="D586" s="126" t="s">
        <v>367</v>
      </c>
      <c r="E586" s="136"/>
      <c r="F586" s="136"/>
      <c r="G586" s="136"/>
      <c r="H586" s="136"/>
      <c r="I586" s="136"/>
      <c r="J586" s="136"/>
      <c r="K586" s="136"/>
      <c r="L586" s="136"/>
      <c r="M586" s="136"/>
    </row>
    <row r="587" spans="1:13" ht="13.5" customHeight="1" x14ac:dyDescent="0.15">
      <c r="A587" s="134"/>
      <c r="B587" s="135"/>
      <c r="C587" s="136"/>
      <c r="D587" s="126" t="s">
        <v>367</v>
      </c>
      <c r="E587" s="136"/>
      <c r="F587" s="136"/>
      <c r="G587" s="136"/>
      <c r="H587" s="136"/>
      <c r="I587" s="136"/>
      <c r="J587" s="136"/>
      <c r="K587" s="136"/>
      <c r="L587" s="136"/>
      <c r="M587" s="136"/>
    </row>
    <row r="588" spans="1:13" ht="13.5" customHeight="1" x14ac:dyDescent="0.15">
      <c r="A588" s="134"/>
      <c r="B588" s="135"/>
      <c r="C588" s="136"/>
      <c r="D588" s="126" t="s">
        <v>367</v>
      </c>
      <c r="E588" s="136"/>
      <c r="F588" s="136"/>
      <c r="G588" s="136"/>
      <c r="H588" s="136"/>
      <c r="I588" s="136"/>
      <c r="J588" s="136"/>
      <c r="K588" s="136"/>
      <c r="L588" s="136"/>
      <c r="M588" s="136"/>
    </row>
    <row r="589" spans="1:13" ht="13.5" customHeight="1" x14ac:dyDescent="0.15">
      <c r="A589" s="134"/>
      <c r="B589" s="135"/>
      <c r="C589" s="136"/>
      <c r="D589" s="126" t="s">
        <v>367</v>
      </c>
      <c r="E589" s="136"/>
      <c r="F589" s="136"/>
      <c r="G589" s="136"/>
      <c r="H589" s="136"/>
      <c r="I589" s="136"/>
      <c r="J589" s="136"/>
      <c r="K589" s="136"/>
      <c r="L589" s="136"/>
      <c r="M589" s="136"/>
    </row>
    <row r="590" spans="1:13" ht="13.5" customHeight="1" x14ac:dyDescent="0.15">
      <c r="A590" s="134"/>
      <c r="B590" s="135"/>
      <c r="C590" s="136"/>
      <c r="D590" s="126" t="s">
        <v>367</v>
      </c>
      <c r="E590" s="136"/>
      <c r="F590" s="136"/>
      <c r="G590" s="136"/>
      <c r="H590" s="136"/>
      <c r="I590" s="136"/>
      <c r="J590" s="136"/>
      <c r="K590" s="136"/>
      <c r="L590" s="136"/>
      <c r="M590" s="136"/>
    </row>
    <row r="591" spans="1:13" ht="13.5" customHeight="1" x14ac:dyDescent="0.15">
      <c r="A591" s="134"/>
      <c r="B591" s="135"/>
      <c r="C591" s="136"/>
      <c r="D591" s="126" t="s">
        <v>367</v>
      </c>
      <c r="E591" s="136"/>
      <c r="F591" s="136"/>
      <c r="G591" s="136"/>
      <c r="H591" s="136"/>
      <c r="I591" s="136"/>
      <c r="J591" s="136"/>
      <c r="K591" s="136"/>
      <c r="L591" s="136"/>
      <c r="M591" s="136"/>
    </row>
    <row r="592" spans="1:13" ht="13.5" customHeight="1" x14ac:dyDescent="0.15">
      <c r="A592" s="134"/>
      <c r="B592" s="135"/>
      <c r="C592" s="136"/>
      <c r="D592" s="126" t="s">
        <v>367</v>
      </c>
      <c r="E592" s="136"/>
      <c r="F592" s="136"/>
      <c r="G592" s="136"/>
      <c r="H592" s="136"/>
      <c r="I592" s="136"/>
      <c r="J592" s="136"/>
      <c r="K592" s="136"/>
      <c r="L592" s="136"/>
      <c r="M592" s="136"/>
    </row>
    <row r="593" spans="1:13" ht="13.5" customHeight="1" x14ac:dyDescent="0.15">
      <c r="A593" s="134"/>
      <c r="B593" s="135"/>
      <c r="C593" s="136"/>
      <c r="D593" s="126" t="s">
        <v>367</v>
      </c>
      <c r="E593" s="136"/>
      <c r="F593" s="136"/>
      <c r="G593" s="136"/>
      <c r="H593" s="136"/>
      <c r="I593" s="136"/>
      <c r="J593" s="136"/>
      <c r="K593" s="136"/>
      <c r="L593" s="136"/>
      <c r="M593" s="136"/>
    </row>
    <row r="594" spans="1:13" ht="13.5" customHeight="1" x14ac:dyDescent="0.15">
      <c r="A594" s="134"/>
      <c r="B594" s="135"/>
      <c r="C594" s="136"/>
      <c r="D594" s="126" t="s">
        <v>367</v>
      </c>
      <c r="E594" s="136"/>
      <c r="F594" s="136"/>
      <c r="G594" s="136"/>
      <c r="H594" s="136"/>
      <c r="I594" s="136"/>
      <c r="J594" s="136"/>
      <c r="K594" s="136"/>
      <c r="L594" s="136"/>
      <c r="M594" s="136"/>
    </row>
    <row r="595" spans="1:13" ht="13.5" customHeight="1" x14ac:dyDescent="0.15">
      <c r="A595" s="134"/>
      <c r="B595" s="135"/>
      <c r="C595" s="136"/>
      <c r="D595" s="126" t="s">
        <v>367</v>
      </c>
      <c r="E595" s="136"/>
      <c r="F595" s="136"/>
      <c r="G595" s="136"/>
      <c r="H595" s="136"/>
      <c r="I595" s="136"/>
      <c r="J595" s="136"/>
      <c r="K595" s="136"/>
      <c r="L595" s="136"/>
      <c r="M595" s="136"/>
    </row>
    <row r="596" spans="1:13" ht="13.5" customHeight="1" x14ac:dyDescent="0.15">
      <c r="A596" s="134"/>
      <c r="B596" s="135"/>
      <c r="C596" s="136"/>
      <c r="D596" s="126" t="s">
        <v>367</v>
      </c>
      <c r="E596" s="136"/>
      <c r="F596" s="136"/>
      <c r="G596" s="136"/>
      <c r="H596" s="136"/>
      <c r="I596" s="136"/>
      <c r="J596" s="136"/>
      <c r="K596" s="136"/>
      <c r="L596" s="136"/>
      <c r="M596" s="136"/>
    </row>
    <row r="597" spans="1:13" ht="13.5" customHeight="1" x14ac:dyDescent="0.15">
      <c r="A597" s="134"/>
      <c r="B597" s="135"/>
      <c r="C597" s="136"/>
      <c r="D597" s="126" t="s">
        <v>367</v>
      </c>
      <c r="E597" s="136"/>
      <c r="F597" s="136"/>
      <c r="G597" s="136"/>
      <c r="H597" s="136"/>
      <c r="I597" s="136"/>
      <c r="J597" s="136"/>
      <c r="K597" s="136"/>
      <c r="L597" s="136"/>
      <c r="M597" s="136"/>
    </row>
    <row r="598" spans="1:13" ht="13.5" customHeight="1" x14ac:dyDescent="0.15">
      <c r="A598" s="134"/>
      <c r="B598" s="135"/>
      <c r="C598" s="136"/>
      <c r="D598" s="126" t="s">
        <v>367</v>
      </c>
      <c r="E598" s="136"/>
      <c r="F598" s="136"/>
      <c r="G598" s="136"/>
      <c r="H598" s="136"/>
      <c r="I598" s="136"/>
      <c r="J598" s="136"/>
      <c r="K598" s="136"/>
      <c r="L598" s="136"/>
      <c r="M598" s="136"/>
    </row>
    <row r="599" spans="1:13" ht="13.5" customHeight="1" x14ac:dyDescent="0.15">
      <c r="A599" s="134"/>
      <c r="B599" s="135"/>
      <c r="C599" s="136"/>
      <c r="D599" s="126" t="s">
        <v>367</v>
      </c>
      <c r="E599" s="136"/>
      <c r="F599" s="136"/>
      <c r="G599" s="136"/>
      <c r="H599" s="136"/>
      <c r="I599" s="136"/>
      <c r="J599" s="136"/>
      <c r="K599" s="136"/>
      <c r="L599" s="136"/>
      <c r="M599" s="136"/>
    </row>
    <row r="600" spans="1:13" ht="13.5" customHeight="1" x14ac:dyDescent="0.15">
      <c r="A600" s="134"/>
      <c r="B600" s="135"/>
      <c r="C600" s="136"/>
      <c r="D600" s="126" t="s">
        <v>367</v>
      </c>
      <c r="E600" s="136"/>
      <c r="F600" s="136"/>
      <c r="G600" s="136"/>
      <c r="H600" s="136"/>
      <c r="I600" s="136"/>
      <c r="J600" s="136"/>
      <c r="K600" s="136"/>
      <c r="L600" s="136"/>
      <c r="M600" s="136"/>
    </row>
    <row r="601" spans="1:13" ht="13.5" customHeight="1" x14ac:dyDescent="0.15">
      <c r="A601" s="134"/>
      <c r="B601" s="135"/>
      <c r="C601" s="136"/>
      <c r="D601" s="126" t="s">
        <v>367</v>
      </c>
      <c r="E601" s="136"/>
      <c r="F601" s="136"/>
      <c r="G601" s="136"/>
      <c r="H601" s="136"/>
      <c r="I601" s="136"/>
      <c r="J601" s="136"/>
      <c r="K601" s="136"/>
      <c r="L601" s="136"/>
      <c r="M601" s="136"/>
    </row>
    <row r="602" spans="1:13" ht="13.5" customHeight="1" x14ac:dyDescent="0.15">
      <c r="A602" s="134"/>
      <c r="B602" s="135"/>
      <c r="C602" s="136"/>
      <c r="D602" s="126" t="s">
        <v>367</v>
      </c>
      <c r="E602" s="136"/>
      <c r="F602" s="136"/>
      <c r="G602" s="136"/>
      <c r="H602" s="136"/>
      <c r="I602" s="136"/>
      <c r="J602" s="136"/>
      <c r="K602" s="136"/>
      <c r="L602" s="136"/>
      <c r="M602" s="136"/>
    </row>
    <row r="603" spans="1:13" ht="13.5" customHeight="1" x14ac:dyDescent="0.15">
      <c r="A603" s="134"/>
      <c r="B603" s="135"/>
      <c r="C603" s="136"/>
      <c r="D603" s="126" t="s">
        <v>367</v>
      </c>
      <c r="E603" s="136"/>
      <c r="F603" s="136"/>
      <c r="G603" s="136"/>
      <c r="H603" s="136"/>
      <c r="I603" s="136"/>
      <c r="J603" s="136"/>
      <c r="K603" s="136"/>
      <c r="L603" s="136"/>
      <c r="M603" s="136"/>
    </row>
    <row r="604" spans="1:13" ht="13.5" customHeight="1" x14ac:dyDescent="0.15">
      <c r="A604" s="134"/>
      <c r="B604" s="135"/>
      <c r="C604" s="136"/>
      <c r="D604" s="126" t="s">
        <v>367</v>
      </c>
      <c r="E604" s="136"/>
      <c r="F604" s="136"/>
      <c r="G604" s="136"/>
      <c r="H604" s="136"/>
      <c r="I604" s="136"/>
      <c r="J604" s="136"/>
      <c r="K604" s="136"/>
      <c r="L604" s="136"/>
      <c r="M604" s="136"/>
    </row>
    <row r="605" spans="1:13" ht="13.5" customHeight="1" x14ac:dyDescent="0.15">
      <c r="A605" s="134"/>
      <c r="B605" s="135"/>
      <c r="C605" s="136"/>
      <c r="D605" s="126" t="s">
        <v>367</v>
      </c>
      <c r="E605" s="136"/>
      <c r="F605" s="136"/>
      <c r="G605" s="136"/>
      <c r="H605" s="136"/>
      <c r="I605" s="136"/>
      <c r="J605" s="136"/>
      <c r="K605" s="136"/>
      <c r="L605" s="136"/>
      <c r="M605" s="136"/>
    </row>
    <row r="606" spans="1:13" ht="13.5" customHeight="1" x14ac:dyDescent="0.15">
      <c r="A606" s="134"/>
      <c r="B606" s="135"/>
      <c r="C606" s="136"/>
      <c r="D606" s="126" t="s">
        <v>367</v>
      </c>
      <c r="E606" s="136"/>
      <c r="F606" s="136"/>
      <c r="G606" s="136"/>
      <c r="H606" s="136"/>
      <c r="I606" s="136"/>
      <c r="J606" s="136"/>
      <c r="K606" s="136"/>
      <c r="L606" s="136"/>
      <c r="M606" s="136"/>
    </row>
    <row r="607" spans="1:13" ht="13.5" customHeight="1" x14ac:dyDescent="0.15">
      <c r="A607" s="134"/>
      <c r="B607" s="135"/>
      <c r="C607" s="136"/>
      <c r="D607" s="126" t="s">
        <v>367</v>
      </c>
      <c r="E607" s="136"/>
      <c r="F607" s="136"/>
      <c r="G607" s="136"/>
      <c r="H607" s="136"/>
      <c r="I607" s="136"/>
      <c r="J607" s="136"/>
      <c r="K607" s="136"/>
      <c r="L607" s="136"/>
      <c r="M607" s="136"/>
    </row>
    <row r="608" spans="1:13" ht="13.5" customHeight="1" x14ac:dyDescent="0.15">
      <c r="A608" s="134"/>
      <c r="B608" s="135"/>
      <c r="C608" s="136"/>
      <c r="D608" s="126" t="s">
        <v>367</v>
      </c>
      <c r="E608" s="136"/>
      <c r="F608" s="136"/>
      <c r="G608" s="136"/>
      <c r="H608" s="136"/>
      <c r="I608" s="136"/>
      <c r="J608" s="136"/>
      <c r="K608" s="136"/>
      <c r="L608" s="136"/>
      <c r="M608" s="136"/>
    </row>
    <row r="609" spans="1:13" ht="13.5" customHeight="1" x14ac:dyDescent="0.15">
      <c r="A609" s="134"/>
      <c r="B609" s="135"/>
      <c r="C609" s="136"/>
      <c r="D609" s="126" t="s">
        <v>367</v>
      </c>
      <c r="E609" s="136"/>
      <c r="F609" s="136"/>
      <c r="G609" s="136"/>
      <c r="H609" s="136"/>
      <c r="I609" s="136"/>
      <c r="J609" s="136"/>
      <c r="K609" s="136"/>
      <c r="L609" s="136"/>
      <c r="M609" s="136"/>
    </row>
    <row r="610" spans="1:13" ht="13.5" customHeight="1" x14ac:dyDescent="0.15">
      <c r="A610" s="134"/>
      <c r="B610" s="135"/>
      <c r="C610" s="136"/>
      <c r="D610" s="126" t="s">
        <v>367</v>
      </c>
      <c r="E610" s="136"/>
      <c r="F610" s="136"/>
      <c r="G610" s="136"/>
      <c r="H610" s="136"/>
      <c r="I610" s="136"/>
      <c r="J610" s="136"/>
      <c r="K610" s="136"/>
      <c r="L610" s="136"/>
      <c r="M610" s="136"/>
    </row>
    <row r="611" spans="1:13" ht="13.5" customHeight="1" x14ac:dyDescent="0.15">
      <c r="A611" s="134"/>
      <c r="B611" s="135"/>
      <c r="C611" s="136"/>
      <c r="D611" s="126" t="s">
        <v>367</v>
      </c>
      <c r="E611" s="136"/>
      <c r="F611" s="136"/>
      <c r="G611" s="136"/>
      <c r="H611" s="136"/>
      <c r="I611" s="136"/>
      <c r="J611" s="136"/>
      <c r="K611" s="136"/>
      <c r="L611" s="136"/>
      <c r="M611" s="136"/>
    </row>
    <row r="612" spans="1:13" ht="13.5" customHeight="1" x14ac:dyDescent="0.15">
      <c r="A612" s="134"/>
      <c r="B612" s="135"/>
      <c r="C612" s="136"/>
      <c r="D612" s="126" t="s">
        <v>367</v>
      </c>
      <c r="E612" s="136"/>
      <c r="F612" s="136"/>
      <c r="G612" s="136"/>
      <c r="H612" s="136"/>
      <c r="I612" s="136"/>
      <c r="J612" s="136"/>
      <c r="K612" s="136"/>
      <c r="L612" s="136"/>
      <c r="M612" s="136"/>
    </row>
    <row r="613" spans="1:13" ht="13.5" customHeight="1" x14ac:dyDescent="0.15">
      <c r="A613" s="134"/>
      <c r="B613" s="135"/>
      <c r="C613" s="136"/>
      <c r="D613" s="126" t="s">
        <v>367</v>
      </c>
      <c r="E613" s="136"/>
      <c r="F613" s="136"/>
      <c r="G613" s="136"/>
      <c r="H613" s="136"/>
      <c r="I613" s="136"/>
      <c r="J613" s="136"/>
      <c r="K613" s="136"/>
      <c r="L613" s="136"/>
      <c r="M613" s="136"/>
    </row>
    <row r="614" spans="1:13" ht="13.5" customHeight="1" x14ac:dyDescent="0.15">
      <c r="A614" s="134"/>
      <c r="B614" s="135"/>
      <c r="C614" s="136"/>
      <c r="D614" s="126" t="s">
        <v>367</v>
      </c>
      <c r="E614" s="136"/>
      <c r="F614" s="136"/>
      <c r="G614" s="136"/>
      <c r="H614" s="136"/>
      <c r="I614" s="136"/>
      <c r="J614" s="136"/>
      <c r="K614" s="136"/>
      <c r="L614" s="136"/>
      <c r="M614" s="136"/>
    </row>
    <row r="615" spans="1:13" ht="13.5" customHeight="1" x14ac:dyDescent="0.15">
      <c r="A615" s="134"/>
      <c r="B615" s="135"/>
      <c r="C615" s="136"/>
      <c r="D615" s="126" t="s">
        <v>367</v>
      </c>
      <c r="E615" s="136"/>
      <c r="F615" s="136"/>
      <c r="G615" s="136"/>
      <c r="H615" s="136"/>
      <c r="I615" s="136"/>
      <c r="J615" s="136"/>
      <c r="K615" s="136"/>
      <c r="L615" s="136"/>
      <c r="M615" s="136"/>
    </row>
    <row r="616" spans="1:13" ht="13.5" customHeight="1" x14ac:dyDescent="0.15">
      <c r="A616" s="134"/>
      <c r="B616" s="135"/>
      <c r="C616" s="136"/>
      <c r="D616" s="126" t="s">
        <v>367</v>
      </c>
      <c r="E616" s="136"/>
      <c r="F616" s="136"/>
      <c r="G616" s="136"/>
      <c r="H616" s="136"/>
      <c r="I616" s="136"/>
      <c r="J616" s="136"/>
      <c r="K616" s="136"/>
      <c r="L616" s="136"/>
      <c r="M616" s="136"/>
    </row>
    <row r="617" spans="1:13" ht="13.5" customHeight="1" x14ac:dyDescent="0.15">
      <c r="A617" s="134"/>
      <c r="B617" s="135"/>
      <c r="C617" s="136"/>
      <c r="D617" s="126" t="s">
        <v>367</v>
      </c>
      <c r="E617" s="136"/>
      <c r="F617" s="136"/>
      <c r="G617" s="136"/>
      <c r="H617" s="136"/>
      <c r="I617" s="136"/>
      <c r="J617" s="136"/>
      <c r="K617" s="136"/>
      <c r="L617" s="136"/>
      <c r="M617" s="136"/>
    </row>
    <row r="618" spans="1:13" ht="13.5" customHeight="1" x14ac:dyDescent="0.15">
      <c r="A618" s="134"/>
      <c r="B618" s="135"/>
      <c r="C618" s="136"/>
      <c r="D618" s="126" t="s">
        <v>367</v>
      </c>
      <c r="E618" s="136"/>
      <c r="F618" s="136"/>
      <c r="G618" s="136"/>
      <c r="H618" s="136"/>
      <c r="I618" s="136"/>
      <c r="J618" s="136"/>
      <c r="K618" s="136"/>
      <c r="L618" s="136"/>
      <c r="M618" s="136"/>
    </row>
    <row r="619" spans="1:13" ht="13.5" customHeight="1" x14ac:dyDescent="0.15">
      <c r="A619" s="134"/>
      <c r="B619" s="135"/>
      <c r="C619" s="136"/>
      <c r="D619" s="126" t="s">
        <v>367</v>
      </c>
      <c r="E619" s="136"/>
      <c r="F619" s="136"/>
      <c r="G619" s="136"/>
      <c r="H619" s="136"/>
      <c r="I619" s="136"/>
      <c r="J619" s="136"/>
      <c r="K619" s="136"/>
      <c r="L619" s="136"/>
      <c r="M619" s="136"/>
    </row>
    <row r="620" spans="1:13" ht="13.5" customHeight="1" x14ac:dyDescent="0.15">
      <c r="A620" s="134"/>
      <c r="B620" s="135"/>
      <c r="C620" s="136"/>
      <c r="D620" s="126" t="s">
        <v>367</v>
      </c>
      <c r="E620" s="136"/>
      <c r="F620" s="136"/>
      <c r="G620" s="136"/>
      <c r="H620" s="136"/>
      <c r="I620" s="136"/>
      <c r="J620" s="136"/>
      <c r="K620" s="136"/>
      <c r="L620" s="136"/>
      <c r="M620" s="136"/>
    </row>
    <row r="621" spans="1:13" ht="13.5" customHeight="1" x14ac:dyDescent="0.15">
      <c r="A621" s="134"/>
      <c r="B621" s="135"/>
      <c r="C621" s="136"/>
      <c r="D621" s="126" t="s">
        <v>367</v>
      </c>
      <c r="E621" s="136"/>
      <c r="F621" s="136"/>
      <c r="G621" s="136"/>
      <c r="H621" s="136"/>
      <c r="I621" s="136"/>
      <c r="J621" s="136"/>
      <c r="K621" s="136"/>
      <c r="L621" s="136"/>
      <c r="M621" s="136"/>
    </row>
    <row r="622" spans="1:13" ht="13.5" customHeight="1" x14ac:dyDescent="0.15">
      <c r="A622" s="134"/>
      <c r="B622" s="135"/>
      <c r="C622" s="136"/>
      <c r="D622" s="126" t="s">
        <v>367</v>
      </c>
      <c r="E622" s="136"/>
      <c r="F622" s="136"/>
      <c r="G622" s="136"/>
      <c r="H622" s="136"/>
      <c r="I622" s="136"/>
      <c r="J622" s="136"/>
      <c r="K622" s="136"/>
      <c r="L622" s="136"/>
      <c r="M622" s="136"/>
    </row>
    <row r="623" spans="1:13" ht="13.5" customHeight="1" x14ac:dyDescent="0.15">
      <c r="A623" s="134"/>
      <c r="B623" s="135"/>
      <c r="C623" s="136"/>
      <c r="D623" s="126" t="s">
        <v>367</v>
      </c>
      <c r="E623" s="136"/>
      <c r="F623" s="136"/>
      <c r="G623" s="136"/>
      <c r="H623" s="136"/>
      <c r="I623" s="136"/>
      <c r="J623" s="136"/>
      <c r="K623" s="136"/>
      <c r="L623" s="136"/>
      <c r="M623" s="136"/>
    </row>
    <row r="624" spans="1:13" ht="13.5" customHeight="1" x14ac:dyDescent="0.15">
      <c r="A624" s="134"/>
      <c r="B624" s="135"/>
      <c r="C624" s="136"/>
      <c r="D624" s="126" t="s">
        <v>367</v>
      </c>
      <c r="E624" s="136"/>
      <c r="F624" s="136"/>
      <c r="G624" s="136"/>
      <c r="H624" s="136"/>
      <c r="I624" s="136"/>
      <c r="J624" s="136"/>
      <c r="K624" s="136"/>
      <c r="L624" s="136"/>
      <c r="M624" s="136"/>
    </row>
    <row r="625" spans="1:13" ht="13.5" customHeight="1" x14ac:dyDescent="0.15">
      <c r="A625" s="134"/>
      <c r="B625" s="135"/>
      <c r="C625" s="136"/>
      <c r="D625" s="126" t="s">
        <v>367</v>
      </c>
      <c r="E625" s="136"/>
      <c r="F625" s="136"/>
      <c r="G625" s="136"/>
      <c r="H625" s="136"/>
      <c r="I625" s="136"/>
      <c r="J625" s="136"/>
      <c r="K625" s="136"/>
      <c r="L625" s="136"/>
      <c r="M625" s="136"/>
    </row>
    <row r="626" spans="1:13" ht="13.5" customHeight="1" x14ac:dyDescent="0.15">
      <c r="A626" s="134"/>
      <c r="B626" s="135"/>
      <c r="C626" s="136"/>
      <c r="D626" s="126" t="s">
        <v>367</v>
      </c>
      <c r="E626" s="136"/>
      <c r="F626" s="136"/>
      <c r="G626" s="136"/>
      <c r="H626" s="136"/>
      <c r="I626" s="136"/>
      <c r="J626" s="136"/>
      <c r="K626" s="136"/>
      <c r="L626" s="136"/>
      <c r="M626" s="136"/>
    </row>
    <row r="627" spans="1:13" ht="13.5" customHeight="1" x14ac:dyDescent="0.15">
      <c r="A627" s="134"/>
      <c r="B627" s="135"/>
      <c r="C627" s="136"/>
      <c r="D627" s="126" t="s">
        <v>367</v>
      </c>
      <c r="E627" s="136"/>
      <c r="F627" s="136"/>
      <c r="G627" s="136"/>
      <c r="H627" s="136"/>
      <c r="I627" s="136"/>
      <c r="J627" s="136"/>
      <c r="K627" s="136"/>
      <c r="L627" s="136"/>
      <c r="M627" s="136"/>
    </row>
    <row r="628" spans="1:13" ht="13.5" customHeight="1" x14ac:dyDescent="0.15">
      <c r="A628" s="134"/>
      <c r="B628" s="135"/>
      <c r="C628" s="136"/>
      <c r="D628" s="126" t="s">
        <v>367</v>
      </c>
      <c r="E628" s="136"/>
      <c r="F628" s="136"/>
      <c r="G628" s="136"/>
      <c r="H628" s="136"/>
      <c r="I628" s="136"/>
      <c r="J628" s="136"/>
      <c r="K628" s="136"/>
      <c r="L628" s="136"/>
      <c r="M628" s="136"/>
    </row>
    <row r="629" spans="1:13" ht="13.5" customHeight="1" x14ac:dyDescent="0.15">
      <c r="A629" s="134"/>
      <c r="B629" s="135"/>
      <c r="C629" s="136"/>
      <c r="D629" s="126" t="s">
        <v>367</v>
      </c>
      <c r="E629" s="136"/>
      <c r="F629" s="136"/>
      <c r="G629" s="136"/>
      <c r="H629" s="136"/>
      <c r="I629" s="136"/>
      <c r="J629" s="136"/>
      <c r="K629" s="136"/>
      <c r="L629" s="136"/>
      <c r="M629" s="136"/>
    </row>
    <row r="630" spans="1:13" ht="13.5" customHeight="1" x14ac:dyDescent="0.15">
      <c r="A630" s="134"/>
      <c r="B630" s="135"/>
      <c r="C630" s="136"/>
      <c r="D630" s="126" t="s">
        <v>367</v>
      </c>
      <c r="E630" s="136"/>
      <c r="F630" s="136"/>
      <c r="G630" s="136"/>
      <c r="H630" s="136"/>
      <c r="I630" s="136"/>
      <c r="J630" s="136"/>
      <c r="K630" s="136"/>
      <c r="L630" s="136"/>
      <c r="M630" s="136"/>
    </row>
    <row r="631" spans="1:13" ht="13.5" customHeight="1" x14ac:dyDescent="0.15">
      <c r="A631" s="134"/>
      <c r="B631" s="135"/>
      <c r="C631" s="136"/>
      <c r="D631" s="126" t="s">
        <v>367</v>
      </c>
      <c r="E631" s="136"/>
      <c r="F631" s="136"/>
      <c r="G631" s="136"/>
      <c r="H631" s="136"/>
      <c r="I631" s="136"/>
      <c r="J631" s="136"/>
      <c r="K631" s="136"/>
      <c r="L631" s="136"/>
      <c r="M631" s="136"/>
    </row>
    <row r="632" spans="1:13" ht="13.5" customHeight="1" x14ac:dyDescent="0.15">
      <c r="A632" s="134"/>
      <c r="B632" s="135"/>
      <c r="C632" s="136"/>
      <c r="D632" s="126" t="s">
        <v>367</v>
      </c>
      <c r="E632" s="136"/>
      <c r="F632" s="136"/>
      <c r="G632" s="136"/>
      <c r="H632" s="136"/>
      <c r="I632" s="136"/>
      <c r="J632" s="136"/>
      <c r="K632" s="136"/>
      <c r="L632" s="136"/>
      <c r="M632" s="136"/>
    </row>
    <row r="633" spans="1:13" ht="13.5" customHeight="1" x14ac:dyDescent="0.15">
      <c r="A633" s="134"/>
      <c r="B633" s="135"/>
      <c r="C633" s="136"/>
      <c r="D633" s="126" t="s">
        <v>367</v>
      </c>
      <c r="E633" s="136"/>
      <c r="F633" s="136"/>
      <c r="G633" s="136"/>
      <c r="H633" s="136"/>
      <c r="I633" s="136"/>
      <c r="J633" s="136"/>
      <c r="K633" s="136"/>
      <c r="L633" s="136"/>
      <c r="M633" s="136"/>
    </row>
    <row r="634" spans="1:13" ht="13.5" customHeight="1" x14ac:dyDescent="0.15">
      <c r="A634" s="134"/>
      <c r="B634" s="135"/>
      <c r="C634" s="136"/>
      <c r="D634" s="126" t="s">
        <v>367</v>
      </c>
      <c r="E634" s="136"/>
      <c r="F634" s="136"/>
      <c r="G634" s="136"/>
      <c r="H634" s="136"/>
      <c r="I634" s="136"/>
      <c r="J634" s="136"/>
      <c r="K634" s="136"/>
      <c r="L634" s="136"/>
      <c r="M634" s="136"/>
    </row>
    <row r="635" spans="1:13" ht="13.5" customHeight="1" x14ac:dyDescent="0.15">
      <c r="A635" s="134"/>
      <c r="B635" s="135"/>
      <c r="C635" s="136"/>
      <c r="D635" s="126" t="s">
        <v>367</v>
      </c>
      <c r="E635" s="136"/>
      <c r="F635" s="136"/>
      <c r="G635" s="136"/>
      <c r="H635" s="136"/>
      <c r="I635" s="136"/>
      <c r="J635" s="136"/>
      <c r="K635" s="136"/>
      <c r="L635" s="136"/>
      <c r="M635" s="136"/>
    </row>
    <row r="636" spans="1:13" ht="13.5" customHeight="1" x14ac:dyDescent="0.15">
      <c r="A636" s="134"/>
      <c r="B636" s="135"/>
      <c r="C636" s="136"/>
      <c r="D636" s="126" t="s">
        <v>367</v>
      </c>
      <c r="E636" s="136"/>
      <c r="F636" s="136"/>
      <c r="G636" s="136"/>
      <c r="H636" s="136"/>
      <c r="I636" s="136"/>
      <c r="J636" s="136"/>
      <c r="K636" s="136"/>
      <c r="L636" s="136"/>
      <c r="M636" s="136"/>
    </row>
    <row r="637" spans="1:13" ht="13.5" customHeight="1" x14ac:dyDescent="0.15">
      <c r="A637" s="134"/>
      <c r="B637" s="135"/>
      <c r="C637" s="136"/>
      <c r="D637" s="126" t="s">
        <v>367</v>
      </c>
      <c r="E637" s="136"/>
      <c r="F637" s="136"/>
      <c r="G637" s="136"/>
      <c r="H637" s="136"/>
      <c r="I637" s="136"/>
      <c r="J637" s="136"/>
      <c r="K637" s="136"/>
      <c r="L637" s="136"/>
      <c r="M637" s="136"/>
    </row>
    <row r="638" spans="1:13" ht="13.5" customHeight="1" x14ac:dyDescent="0.15">
      <c r="A638" s="134"/>
      <c r="B638" s="135"/>
      <c r="C638" s="136"/>
      <c r="D638" s="126" t="s">
        <v>367</v>
      </c>
      <c r="E638" s="136"/>
      <c r="F638" s="136"/>
      <c r="G638" s="136"/>
      <c r="H638" s="136"/>
      <c r="I638" s="136"/>
      <c r="J638" s="136"/>
      <c r="K638" s="136"/>
      <c r="L638" s="136"/>
      <c r="M638" s="136"/>
    </row>
    <row r="639" spans="1:13" ht="13.5" customHeight="1" x14ac:dyDescent="0.15">
      <c r="A639" s="134"/>
      <c r="B639" s="135"/>
      <c r="C639" s="136"/>
      <c r="D639" s="126" t="s">
        <v>367</v>
      </c>
      <c r="E639" s="136"/>
      <c r="F639" s="136"/>
      <c r="G639" s="136"/>
      <c r="H639" s="136"/>
      <c r="I639" s="136"/>
      <c r="J639" s="136"/>
      <c r="K639" s="136"/>
      <c r="L639" s="136"/>
      <c r="M639" s="136"/>
    </row>
    <row r="640" spans="1:13" ht="13.5" customHeight="1" x14ac:dyDescent="0.15">
      <c r="A640" s="134"/>
      <c r="B640" s="135"/>
      <c r="C640" s="136"/>
      <c r="D640" s="126" t="s">
        <v>367</v>
      </c>
      <c r="E640" s="136"/>
      <c r="F640" s="136"/>
      <c r="G640" s="136"/>
      <c r="H640" s="136"/>
      <c r="I640" s="136"/>
      <c r="J640" s="136"/>
      <c r="K640" s="136"/>
      <c r="L640" s="136"/>
      <c r="M640" s="136"/>
    </row>
    <row r="641" spans="1:13" ht="13.5" customHeight="1" x14ac:dyDescent="0.15">
      <c r="A641" s="134"/>
      <c r="B641" s="135"/>
      <c r="C641" s="136"/>
      <c r="D641" s="126" t="s">
        <v>367</v>
      </c>
      <c r="E641" s="136"/>
      <c r="F641" s="136"/>
      <c r="G641" s="136"/>
      <c r="H641" s="136"/>
      <c r="I641" s="136"/>
      <c r="J641" s="136"/>
      <c r="K641" s="136"/>
      <c r="L641" s="136"/>
      <c r="M641" s="136"/>
    </row>
    <row r="642" spans="1:13" ht="13.5" customHeight="1" x14ac:dyDescent="0.15">
      <c r="A642" s="134"/>
      <c r="B642" s="135"/>
      <c r="C642" s="136"/>
      <c r="D642" s="126" t="s">
        <v>367</v>
      </c>
      <c r="E642" s="136"/>
      <c r="F642" s="136"/>
      <c r="G642" s="136"/>
      <c r="H642" s="136"/>
      <c r="I642" s="136"/>
      <c r="J642" s="136"/>
      <c r="K642" s="136"/>
      <c r="L642" s="136"/>
      <c r="M642" s="136"/>
    </row>
    <row r="643" spans="1:13" ht="13.5" customHeight="1" x14ac:dyDescent="0.15">
      <c r="A643" s="134"/>
      <c r="B643" s="135"/>
      <c r="C643" s="136"/>
      <c r="D643" s="126" t="s">
        <v>367</v>
      </c>
      <c r="E643" s="136"/>
      <c r="F643" s="136"/>
      <c r="G643" s="136"/>
      <c r="H643" s="136"/>
      <c r="I643" s="136"/>
      <c r="J643" s="136"/>
      <c r="K643" s="136"/>
      <c r="L643" s="136"/>
      <c r="M643" s="136"/>
    </row>
    <row r="644" spans="1:13" ht="13.5" customHeight="1" x14ac:dyDescent="0.15">
      <c r="A644" s="134"/>
      <c r="B644" s="135"/>
      <c r="C644" s="136"/>
      <c r="D644" s="126" t="s">
        <v>367</v>
      </c>
      <c r="E644" s="136"/>
      <c r="F644" s="136"/>
      <c r="G644" s="136"/>
      <c r="H644" s="136"/>
      <c r="I644" s="136"/>
      <c r="J644" s="136"/>
      <c r="K644" s="136"/>
      <c r="L644" s="136"/>
      <c r="M644" s="136"/>
    </row>
    <row r="645" spans="1:13" ht="13.5" customHeight="1" x14ac:dyDescent="0.15">
      <c r="A645" s="134"/>
      <c r="B645" s="135"/>
      <c r="C645" s="136"/>
      <c r="D645" s="126" t="s">
        <v>367</v>
      </c>
      <c r="E645" s="136"/>
      <c r="F645" s="136"/>
      <c r="G645" s="136"/>
      <c r="H645" s="136"/>
      <c r="I645" s="136"/>
      <c r="J645" s="136"/>
      <c r="K645" s="136"/>
      <c r="L645" s="136"/>
      <c r="M645" s="136"/>
    </row>
    <row r="646" spans="1:13" ht="13.5" customHeight="1" x14ac:dyDescent="0.15">
      <c r="A646" s="134"/>
      <c r="B646" s="135"/>
      <c r="C646" s="136"/>
      <c r="D646" s="126" t="s">
        <v>367</v>
      </c>
      <c r="E646" s="136"/>
      <c r="F646" s="136"/>
      <c r="G646" s="136"/>
      <c r="H646" s="136"/>
      <c r="I646" s="136"/>
      <c r="J646" s="136"/>
      <c r="K646" s="136"/>
      <c r="L646" s="136"/>
      <c r="M646" s="136"/>
    </row>
    <row r="647" spans="1:13" ht="13.5" customHeight="1" x14ac:dyDescent="0.15">
      <c r="A647" s="134"/>
      <c r="B647" s="135"/>
      <c r="C647" s="136"/>
      <c r="D647" s="126" t="s">
        <v>367</v>
      </c>
      <c r="E647" s="136"/>
      <c r="F647" s="136"/>
      <c r="G647" s="136"/>
      <c r="H647" s="136"/>
      <c r="I647" s="136"/>
      <c r="J647" s="136"/>
      <c r="K647" s="136"/>
      <c r="L647" s="136"/>
      <c r="M647" s="136"/>
    </row>
    <row r="648" spans="1:13" ht="13.5" customHeight="1" x14ac:dyDescent="0.15">
      <c r="A648" s="134"/>
      <c r="B648" s="135"/>
      <c r="C648" s="136"/>
      <c r="D648" s="126" t="s">
        <v>367</v>
      </c>
      <c r="E648" s="136"/>
      <c r="F648" s="136"/>
      <c r="G648" s="136"/>
      <c r="H648" s="136"/>
      <c r="I648" s="136"/>
      <c r="J648" s="136"/>
      <c r="K648" s="136"/>
      <c r="L648" s="136"/>
      <c r="M648" s="136"/>
    </row>
    <row r="649" spans="1:13" ht="13.5" customHeight="1" x14ac:dyDescent="0.15">
      <c r="A649" s="134"/>
      <c r="B649" s="135"/>
      <c r="C649" s="136"/>
      <c r="D649" s="126" t="s">
        <v>367</v>
      </c>
      <c r="E649" s="136"/>
      <c r="F649" s="136"/>
      <c r="G649" s="136"/>
      <c r="H649" s="136"/>
      <c r="I649" s="136"/>
      <c r="J649" s="136"/>
      <c r="K649" s="136"/>
      <c r="L649" s="136"/>
      <c r="M649" s="136"/>
    </row>
    <row r="650" spans="1:13" ht="13.5" customHeight="1" x14ac:dyDescent="0.15">
      <c r="A650" s="134"/>
      <c r="B650" s="135"/>
      <c r="C650" s="136"/>
      <c r="D650" s="126" t="s">
        <v>367</v>
      </c>
      <c r="E650" s="136"/>
      <c r="F650" s="136"/>
      <c r="G650" s="136"/>
      <c r="H650" s="136"/>
      <c r="I650" s="136"/>
      <c r="J650" s="136"/>
      <c r="K650" s="136"/>
      <c r="L650" s="136"/>
      <c r="M650" s="136"/>
    </row>
    <row r="651" spans="1:13" ht="13.5" customHeight="1" x14ac:dyDescent="0.15">
      <c r="A651" s="134"/>
      <c r="B651" s="135"/>
      <c r="C651" s="136"/>
      <c r="D651" s="126" t="s">
        <v>367</v>
      </c>
      <c r="E651" s="136"/>
      <c r="F651" s="136"/>
      <c r="G651" s="136"/>
      <c r="H651" s="136"/>
      <c r="I651" s="136"/>
      <c r="J651" s="136"/>
      <c r="K651" s="136"/>
      <c r="L651" s="136"/>
      <c r="M651" s="136"/>
    </row>
    <row r="652" spans="1:13" ht="13.5" customHeight="1" x14ac:dyDescent="0.15">
      <c r="A652" s="134"/>
      <c r="B652" s="135"/>
      <c r="C652" s="136"/>
      <c r="D652" s="126" t="s">
        <v>367</v>
      </c>
      <c r="E652" s="136"/>
      <c r="F652" s="136"/>
      <c r="G652" s="136"/>
      <c r="H652" s="136"/>
      <c r="I652" s="136"/>
      <c r="J652" s="136"/>
      <c r="K652" s="136"/>
      <c r="L652" s="136"/>
      <c r="M652" s="136"/>
    </row>
    <row r="653" spans="1:13" ht="13.5" customHeight="1" x14ac:dyDescent="0.15">
      <c r="A653" s="134"/>
      <c r="B653" s="135"/>
      <c r="C653" s="136"/>
      <c r="D653" s="126" t="s">
        <v>367</v>
      </c>
      <c r="E653" s="136"/>
      <c r="F653" s="136"/>
      <c r="G653" s="136"/>
      <c r="H653" s="136"/>
      <c r="I653" s="136"/>
      <c r="J653" s="136"/>
      <c r="K653" s="136"/>
      <c r="L653" s="136"/>
      <c r="M653" s="136"/>
    </row>
    <row r="654" spans="1:13" ht="13.5" customHeight="1" x14ac:dyDescent="0.15">
      <c r="A654" s="134"/>
      <c r="B654" s="135"/>
      <c r="C654" s="136"/>
      <c r="D654" s="126" t="s">
        <v>367</v>
      </c>
      <c r="E654" s="136"/>
      <c r="F654" s="136"/>
      <c r="G654" s="136"/>
      <c r="H654" s="136"/>
      <c r="I654" s="136"/>
      <c r="J654" s="136"/>
      <c r="K654" s="136"/>
      <c r="L654" s="136"/>
      <c r="M654" s="136"/>
    </row>
    <row r="655" spans="1:13" ht="13.5" customHeight="1" x14ac:dyDescent="0.15">
      <c r="A655" s="134"/>
      <c r="B655" s="135"/>
      <c r="C655" s="136"/>
      <c r="D655" s="126" t="s">
        <v>367</v>
      </c>
      <c r="E655" s="136"/>
      <c r="F655" s="136"/>
      <c r="G655" s="136"/>
      <c r="H655" s="136"/>
      <c r="I655" s="136"/>
      <c r="J655" s="136"/>
      <c r="K655" s="136"/>
      <c r="L655" s="136"/>
      <c r="M655" s="136"/>
    </row>
    <row r="656" spans="1:13" ht="13.5" customHeight="1" x14ac:dyDescent="0.15">
      <c r="A656" s="134"/>
      <c r="B656" s="135"/>
      <c r="C656" s="136"/>
      <c r="D656" s="126" t="s">
        <v>367</v>
      </c>
      <c r="E656" s="136"/>
      <c r="F656" s="136"/>
      <c r="G656" s="136"/>
      <c r="H656" s="136"/>
      <c r="I656" s="136"/>
      <c r="J656" s="136"/>
      <c r="K656" s="136"/>
      <c r="L656" s="136"/>
      <c r="M656" s="136"/>
    </row>
    <row r="657" spans="1:13" ht="13.5" customHeight="1" x14ac:dyDescent="0.15">
      <c r="A657" s="134"/>
      <c r="B657" s="135"/>
      <c r="C657" s="136"/>
      <c r="D657" s="126" t="s">
        <v>367</v>
      </c>
      <c r="E657" s="136"/>
      <c r="F657" s="136"/>
      <c r="G657" s="136"/>
      <c r="H657" s="136"/>
      <c r="I657" s="136"/>
      <c r="J657" s="136"/>
      <c r="K657" s="136"/>
      <c r="L657" s="136"/>
      <c r="M657" s="136"/>
    </row>
    <row r="658" spans="1:13" ht="13.5" customHeight="1" x14ac:dyDescent="0.15">
      <c r="A658" s="134"/>
      <c r="B658" s="135"/>
      <c r="C658" s="136"/>
      <c r="D658" s="126" t="s">
        <v>367</v>
      </c>
      <c r="E658" s="136"/>
      <c r="F658" s="136"/>
      <c r="G658" s="136"/>
      <c r="H658" s="136"/>
      <c r="I658" s="136"/>
      <c r="J658" s="136"/>
      <c r="K658" s="136"/>
      <c r="L658" s="136"/>
      <c r="M658" s="136"/>
    </row>
    <row r="659" spans="1:13" ht="13.5" customHeight="1" x14ac:dyDescent="0.15">
      <c r="A659" s="134"/>
      <c r="B659" s="135"/>
      <c r="C659" s="136"/>
      <c r="D659" s="126" t="s">
        <v>367</v>
      </c>
      <c r="E659" s="136"/>
      <c r="F659" s="136"/>
      <c r="G659" s="136"/>
      <c r="H659" s="136"/>
      <c r="I659" s="136"/>
      <c r="J659" s="136"/>
      <c r="K659" s="136"/>
      <c r="L659" s="136"/>
      <c r="M659" s="136"/>
    </row>
    <row r="660" spans="1:13" ht="13.5" customHeight="1" x14ac:dyDescent="0.15">
      <c r="A660" s="134"/>
      <c r="B660" s="135"/>
      <c r="C660" s="136"/>
      <c r="D660" s="126" t="s">
        <v>367</v>
      </c>
      <c r="E660" s="136"/>
      <c r="F660" s="136"/>
      <c r="G660" s="136"/>
      <c r="H660" s="136"/>
      <c r="I660" s="136"/>
      <c r="J660" s="136"/>
      <c r="K660" s="136"/>
      <c r="L660" s="136"/>
      <c r="M660" s="136"/>
    </row>
    <row r="661" spans="1:13" ht="13.5" customHeight="1" x14ac:dyDescent="0.15">
      <c r="A661" s="134"/>
      <c r="B661" s="135"/>
      <c r="C661" s="136"/>
      <c r="D661" s="126" t="s">
        <v>367</v>
      </c>
      <c r="E661" s="136"/>
      <c r="F661" s="136"/>
      <c r="G661" s="136"/>
      <c r="H661" s="136"/>
      <c r="I661" s="136"/>
      <c r="J661" s="136"/>
      <c r="K661" s="136"/>
      <c r="L661" s="136"/>
      <c r="M661" s="136"/>
    </row>
    <row r="662" spans="1:13" ht="13.5" customHeight="1" x14ac:dyDescent="0.15">
      <c r="A662" s="134"/>
      <c r="B662" s="135"/>
      <c r="C662" s="136"/>
      <c r="D662" s="126" t="s">
        <v>367</v>
      </c>
      <c r="E662" s="136"/>
      <c r="F662" s="136"/>
      <c r="G662" s="136"/>
      <c r="H662" s="136"/>
      <c r="I662" s="136"/>
      <c r="J662" s="136"/>
      <c r="K662" s="136"/>
      <c r="L662" s="136"/>
      <c r="M662" s="136"/>
    </row>
    <row r="663" spans="1:13" ht="13.5" customHeight="1" x14ac:dyDescent="0.15">
      <c r="A663" s="134"/>
      <c r="B663" s="135"/>
      <c r="C663" s="136"/>
      <c r="D663" s="126" t="s">
        <v>367</v>
      </c>
      <c r="E663" s="136"/>
      <c r="F663" s="136"/>
      <c r="G663" s="136"/>
      <c r="H663" s="136"/>
      <c r="I663" s="136"/>
      <c r="J663" s="136"/>
      <c r="K663" s="136"/>
      <c r="L663" s="136"/>
      <c r="M663" s="136"/>
    </row>
    <row r="664" spans="1:13" ht="13.5" customHeight="1" x14ac:dyDescent="0.15">
      <c r="A664" s="134"/>
      <c r="B664" s="135"/>
      <c r="C664" s="136"/>
      <c r="D664" s="126" t="s">
        <v>367</v>
      </c>
      <c r="E664" s="136"/>
      <c r="F664" s="136"/>
      <c r="G664" s="136"/>
      <c r="H664" s="136"/>
      <c r="I664" s="136"/>
      <c r="J664" s="136"/>
      <c r="K664" s="136"/>
      <c r="L664" s="136"/>
      <c r="M664" s="136"/>
    </row>
    <row r="665" spans="1:13" ht="13.5" customHeight="1" x14ac:dyDescent="0.15">
      <c r="A665" s="134"/>
      <c r="B665" s="135"/>
      <c r="C665" s="136"/>
      <c r="D665" s="126" t="s">
        <v>367</v>
      </c>
      <c r="E665" s="136"/>
      <c r="F665" s="136"/>
      <c r="G665" s="136"/>
      <c r="H665" s="136"/>
      <c r="I665" s="136"/>
      <c r="J665" s="136"/>
      <c r="K665" s="136"/>
      <c r="L665" s="136"/>
      <c r="M665" s="136"/>
    </row>
    <row r="666" spans="1:13" ht="13.5" customHeight="1" x14ac:dyDescent="0.15">
      <c r="A666" s="134"/>
      <c r="B666" s="135"/>
      <c r="C666" s="136"/>
      <c r="D666" s="126" t="s">
        <v>367</v>
      </c>
      <c r="E666" s="136"/>
      <c r="F666" s="136"/>
      <c r="G666" s="136"/>
      <c r="H666" s="136"/>
      <c r="I666" s="136"/>
      <c r="J666" s="136"/>
      <c r="K666" s="136"/>
      <c r="L666" s="136"/>
      <c r="M666" s="136"/>
    </row>
    <row r="667" spans="1:13" ht="13.5" customHeight="1" x14ac:dyDescent="0.15">
      <c r="A667" s="134"/>
      <c r="B667" s="135"/>
      <c r="C667" s="136"/>
      <c r="D667" s="126" t="s">
        <v>367</v>
      </c>
      <c r="E667" s="136"/>
      <c r="F667" s="136"/>
      <c r="G667" s="136"/>
      <c r="H667" s="136"/>
      <c r="I667" s="136"/>
      <c r="J667" s="136"/>
      <c r="K667" s="136"/>
      <c r="L667" s="136"/>
      <c r="M667" s="136"/>
    </row>
    <row r="668" spans="1:13" ht="13.5" customHeight="1" x14ac:dyDescent="0.15">
      <c r="A668" s="134"/>
      <c r="B668" s="135"/>
      <c r="C668" s="136"/>
      <c r="D668" s="126" t="s">
        <v>367</v>
      </c>
      <c r="E668" s="136"/>
      <c r="F668" s="136"/>
      <c r="G668" s="136"/>
      <c r="H668" s="136"/>
      <c r="I668" s="136"/>
      <c r="J668" s="136"/>
      <c r="K668" s="136"/>
      <c r="L668" s="136"/>
      <c r="M668" s="136"/>
    </row>
    <row r="669" spans="1:13" ht="13.5" customHeight="1" x14ac:dyDescent="0.15">
      <c r="A669" s="134"/>
      <c r="B669" s="135"/>
      <c r="C669" s="136"/>
      <c r="D669" s="126" t="s">
        <v>367</v>
      </c>
      <c r="E669" s="136"/>
      <c r="F669" s="136"/>
      <c r="G669" s="136"/>
      <c r="H669" s="136"/>
      <c r="I669" s="136"/>
      <c r="J669" s="136"/>
      <c r="K669" s="136"/>
      <c r="L669" s="136"/>
      <c r="M669" s="136"/>
    </row>
    <row r="670" spans="1:13" ht="13.5" customHeight="1" x14ac:dyDescent="0.15">
      <c r="A670" s="134"/>
      <c r="B670" s="135"/>
      <c r="C670" s="136"/>
      <c r="D670" s="126" t="s">
        <v>367</v>
      </c>
      <c r="E670" s="136"/>
      <c r="F670" s="136"/>
      <c r="G670" s="136"/>
      <c r="H670" s="136"/>
      <c r="I670" s="136"/>
      <c r="J670" s="136"/>
      <c r="K670" s="136"/>
      <c r="L670" s="136"/>
      <c r="M670" s="136"/>
    </row>
    <row r="671" spans="1:13" ht="13.5" customHeight="1" x14ac:dyDescent="0.15">
      <c r="A671" s="134"/>
      <c r="B671" s="135"/>
      <c r="C671" s="136"/>
      <c r="D671" s="126" t="s">
        <v>367</v>
      </c>
      <c r="E671" s="136"/>
      <c r="F671" s="136"/>
      <c r="G671" s="136"/>
      <c r="H671" s="136"/>
      <c r="I671" s="136"/>
      <c r="J671" s="136"/>
      <c r="K671" s="136"/>
      <c r="L671" s="136"/>
      <c r="M671" s="136"/>
    </row>
    <row r="672" spans="1:13" ht="13.5" customHeight="1" x14ac:dyDescent="0.15">
      <c r="A672" s="134"/>
      <c r="B672" s="135"/>
      <c r="C672" s="136"/>
      <c r="D672" s="126" t="s">
        <v>367</v>
      </c>
      <c r="E672" s="136"/>
      <c r="F672" s="136"/>
      <c r="G672" s="136"/>
      <c r="H672" s="136"/>
      <c r="I672" s="136"/>
      <c r="J672" s="136"/>
      <c r="K672" s="136"/>
      <c r="L672" s="136"/>
      <c r="M672" s="136"/>
    </row>
    <row r="673" spans="1:13" ht="13.5" customHeight="1" x14ac:dyDescent="0.15">
      <c r="A673" s="134"/>
      <c r="B673" s="135"/>
      <c r="C673" s="136"/>
      <c r="D673" s="126" t="s">
        <v>367</v>
      </c>
      <c r="E673" s="136"/>
      <c r="F673" s="136"/>
      <c r="G673" s="136"/>
      <c r="H673" s="136"/>
      <c r="I673" s="136"/>
      <c r="J673" s="136"/>
      <c r="K673" s="136"/>
      <c r="L673" s="136"/>
      <c r="M673" s="136"/>
    </row>
    <row r="674" spans="1:13" ht="13.5" customHeight="1" x14ac:dyDescent="0.15">
      <c r="A674" s="134"/>
      <c r="B674" s="135"/>
      <c r="C674" s="136"/>
      <c r="D674" s="126" t="s">
        <v>367</v>
      </c>
      <c r="E674" s="136"/>
      <c r="F674" s="136"/>
      <c r="G674" s="136"/>
      <c r="H674" s="136"/>
      <c r="I674" s="136"/>
      <c r="J674" s="136"/>
      <c r="K674" s="136"/>
      <c r="L674" s="136"/>
      <c r="M674" s="136"/>
    </row>
    <row r="675" spans="1:13" ht="13.5" customHeight="1" x14ac:dyDescent="0.15">
      <c r="A675" s="134"/>
      <c r="B675" s="135"/>
      <c r="C675" s="136"/>
      <c r="D675" s="126" t="s">
        <v>367</v>
      </c>
      <c r="E675" s="136"/>
      <c r="F675" s="136"/>
      <c r="G675" s="136"/>
      <c r="H675" s="136"/>
      <c r="I675" s="136"/>
      <c r="J675" s="136"/>
      <c r="K675" s="136"/>
      <c r="L675" s="136"/>
      <c r="M675" s="136"/>
    </row>
    <row r="676" spans="1:13" ht="13.5" customHeight="1" x14ac:dyDescent="0.15">
      <c r="A676" s="134"/>
      <c r="B676" s="135"/>
      <c r="C676" s="136"/>
      <c r="D676" s="126" t="s">
        <v>367</v>
      </c>
      <c r="E676" s="136"/>
      <c r="F676" s="136"/>
      <c r="G676" s="136"/>
      <c r="H676" s="136"/>
      <c r="I676" s="136"/>
      <c r="J676" s="136"/>
      <c r="K676" s="136"/>
      <c r="L676" s="136"/>
      <c r="M676" s="136"/>
    </row>
    <row r="677" spans="1:13" ht="13.5" customHeight="1" x14ac:dyDescent="0.15">
      <c r="A677" s="134"/>
      <c r="B677" s="135"/>
      <c r="C677" s="136"/>
      <c r="D677" s="126" t="s">
        <v>367</v>
      </c>
      <c r="E677" s="136"/>
      <c r="F677" s="136"/>
      <c r="G677" s="136"/>
      <c r="H677" s="136"/>
      <c r="I677" s="136"/>
      <c r="J677" s="136"/>
      <c r="K677" s="136"/>
      <c r="L677" s="136"/>
      <c r="M677" s="136"/>
    </row>
    <row r="678" spans="1:13" ht="13.5" customHeight="1" x14ac:dyDescent="0.15">
      <c r="A678" s="134"/>
      <c r="B678" s="135"/>
      <c r="C678" s="136"/>
      <c r="D678" s="126" t="s">
        <v>367</v>
      </c>
      <c r="E678" s="136"/>
      <c r="F678" s="136"/>
      <c r="G678" s="136"/>
      <c r="H678" s="136"/>
      <c r="I678" s="136"/>
      <c r="J678" s="136"/>
      <c r="K678" s="136"/>
      <c r="L678" s="136"/>
      <c r="M678" s="136"/>
    </row>
    <row r="679" spans="1:13" ht="13.5" customHeight="1" x14ac:dyDescent="0.15">
      <c r="A679" s="134"/>
      <c r="B679" s="135"/>
      <c r="C679" s="136"/>
      <c r="D679" s="126" t="s">
        <v>367</v>
      </c>
      <c r="E679" s="136"/>
      <c r="F679" s="136"/>
      <c r="G679" s="136"/>
      <c r="H679" s="136"/>
      <c r="I679" s="136"/>
      <c r="J679" s="136"/>
      <c r="K679" s="136"/>
      <c r="L679" s="136"/>
      <c r="M679" s="136"/>
    </row>
    <row r="680" spans="1:13" ht="13.5" customHeight="1" x14ac:dyDescent="0.15">
      <c r="A680" s="134"/>
      <c r="B680" s="135"/>
      <c r="C680" s="136"/>
      <c r="D680" s="126" t="s">
        <v>367</v>
      </c>
      <c r="E680" s="136"/>
      <c r="F680" s="136"/>
      <c r="G680" s="136"/>
      <c r="H680" s="136"/>
      <c r="I680" s="136"/>
      <c r="J680" s="136"/>
      <c r="K680" s="136"/>
      <c r="L680" s="136"/>
      <c r="M680" s="136"/>
    </row>
    <row r="681" spans="1:13" ht="13.5" customHeight="1" x14ac:dyDescent="0.15">
      <c r="A681" s="134"/>
      <c r="B681" s="135"/>
      <c r="C681" s="136"/>
      <c r="D681" s="126" t="s">
        <v>367</v>
      </c>
      <c r="E681" s="136"/>
      <c r="F681" s="136"/>
      <c r="G681" s="136"/>
      <c r="H681" s="136"/>
      <c r="I681" s="136"/>
      <c r="J681" s="136"/>
      <c r="K681" s="136"/>
      <c r="L681" s="136"/>
      <c r="M681" s="136"/>
    </row>
    <row r="682" spans="1:13" ht="13.5" customHeight="1" x14ac:dyDescent="0.15">
      <c r="A682" s="134"/>
      <c r="B682" s="135"/>
      <c r="C682" s="136"/>
      <c r="D682" s="126" t="s">
        <v>367</v>
      </c>
      <c r="E682" s="136"/>
      <c r="F682" s="136"/>
      <c r="G682" s="136"/>
      <c r="H682" s="136"/>
      <c r="I682" s="136"/>
      <c r="J682" s="136"/>
      <c r="K682" s="136"/>
      <c r="L682" s="136"/>
      <c r="M682" s="136"/>
    </row>
    <row r="683" spans="1:13" ht="13.5" customHeight="1" x14ac:dyDescent="0.15">
      <c r="A683" s="134"/>
      <c r="B683" s="135"/>
      <c r="C683" s="136"/>
      <c r="D683" s="126" t="s">
        <v>367</v>
      </c>
      <c r="E683" s="136"/>
      <c r="F683" s="136"/>
      <c r="G683" s="136"/>
      <c r="H683" s="136"/>
      <c r="I683" s="136"/>
      <c r="J683" s="136"/>
      <c r="K683" s="136"/>
      <c r="L683" s="136"/>
      <c r="M683" s="136"/>
    </row>
    <row r="684" spans="1:13" ht="13.5" customHeight="1" x14ac:dyDescent="0.15">
      <c r="A684" s="134"/>
      <c r="B684" s="135"/>
      <c r="C684" s="136"/>
      <c r="D684" s="126" t="s">
        <v>367</v>
      </c>
      <c r="E684" s="136"/>
      <c r="F684" s="136"/>
      <c r="G684" s="136"/>
      <c r="H684" s="136"/>
      <c r="I684" s="136"/>
      <c r="J684" s="136"/>
      <c r="K684" s="136"/>
      <c r="L684" s="136"/>
      <c r="M684" s="136"/>
    </row>
    <row r="685" spans="1:13" ht="13.5" customHeight="1" x14ac:dyDescent="0.15">
      <c r="A685" s="134"/>
      <c r="B685" s="135"/>
      <c r="C685" s="136"/>
      <c r="D685" s="126" t="s">
        <v>367</v>
      </c>
      <c r="E685" s="136"/>
      <c r="F685" s="136"/>
      <c r="G685" s="136"/>
      <c r="H685" s="136"/>
      <c r="I685" s="136"/>
      <c r="J685" s="136"/>
      <c r="K685" s="136"/>
      <c r="L685" s="136"/>
      <c r="M685" s="136"/>
    </row>
    <row r="686" spans="1:13" ht="13.5" customHeight="1" x14ac:dyDescent="0.15">
      <c r="A686" s="134"/>
      <c r="B686" s="135"/>
      <c r="C686" s="136"/>
      <c r="D686" s="126" t="s">
        <v>367</v>
      </c>
      <c r="E686" s="136"/>
      <c r="F686" s="136"/>
      <c r="G686" s="136"/>
      <c r="H686" s="136"/>
      <c r="I686" s="136"/>
      <c r="J686" s="136"/>
      <c r="K686" s="136"/>
      <c r="L686" s="136"/>
      <c r="M686" s="136"/>
    </row>
    <row r="687" spans="1:13" ht="13.5" customHeight="1" x14ac:dyDescent="0.15">
      <c r="A687" s="134"/>
      <c r="B687" s="135"/>
      <c r="C687" s="136"/>
      <c r="D687" s="126" t="s">
        <v>367</v>
      </c>
      <c r="E687" s="136"/>
      <c r="F687" s="136"/>
      <c r="G687" s="136"/>
      <c r="H687" s="136"/>
      <c r="I687" s="136"/>
      <c r="J687" s="136"/>
      <c r="K687" s="136"/>
      <c r="L687" s="136"/>
      <c r="M687" s="136"/>
    </row>
    <row r="688" spans="1:13" ht="13.5" customHeight="1" x14ac:dyDescent="0.15">
      <c r="A688" s="134"/>
      <c r="B688" s="135"/>
      <c r="C688" s="136"/>
      <c r="D688" s="126" t="s">
        <v>367</v>
      </c>
      <c r="E688" s="136"/>
      <c r="F688" s="136"/>
      <c r="G688" s="136"/>
      <c r="H688" s="136"/>
      <c r="I688" s="136"/>
      <c r="J688" s="136"/>
      <c r="K688" s="136"/>
      <c r="L688" s="136"/>
      <c r="M688" s="136"/>
    </row>
    <row r="689" spans="1:13" ht="13.5" customHeight="1" x14ac:dyDescent="0.15">
      <c r="A689" s="134"/>
      <c r="B689" s="135"/>
      <c r="C689" s="136"/>
      <c r="D689" s="126" t="s">
        <v>367</v>
      </c>
      <c r="E689" s="136"/>
      <c r="F689" s="136"/>
      <c r="G689" s="136"/>
      <c r="H689" s="136"/>
      <c r="I689" s="136"/>
      <c r="J689" s="136"/>
      <c r="K689" s="136"/>
      <c r="L689" s="136"/>
      <c r="M689" s="136"/>
    </row>
    <row r="690" spans="1:13" ht="13.5" customHeight="1" x14ac:dyDescent="0.15">
      <c r="A690" s="134"/>
      <c r="B690" s="135"/>
      <c r="C690" s="136"/>
      <c r="D690" s="126" t="s">
        <v>367</v>
      </c>
      <c r="E690" s="136"/>
      <c r="F690" s="136"/>
      <c r="G690" s="136"/>
      <c r="H690" s="136"/>
      <c r="I690" s="136"/>
      <c r="J690" s="136"/>
      <c r="K690" s="136"/>
      <c r="L690" s="136"/>
      <c r="M690" s="136"/>
    </row>
    <row r="691" spans="1:13" ht="13.5" customHeight="1" x14ac:dyDescent="0.15">
      <c r="A691" s="134"/>
      <c r="B691" s="135"/>
      <c r="C691" s="136"/>
      <c r="D691" s="126" t="s">
        <v>367</v>
      </c>
      <c r="E691" s="136"/>
      <c r="F691" s="136"/>
      <c r="G691" s="136"/>
      <c r="H691" s="136"/>
      <c r="I691" s="136"/>
      <c r="J691" s="136"/>
      <c r="K691" s="136"/>
      <c r="L691" s="136"/>
      <c r="M691" s="136"/>
    </row>
    <row r="692" spans="1:13" ht="13.5" customHeight="1" x14ac:dyDescent="0.15">
      <c r="A692" s="134"/>
      <c r="B692" s="135"/>
      <c r="C692" s="136"/>
      <c r="D692" s="126" t="s">
        <v>367</v>
      </c>
      <c r="E692" s="136"/>
      <c r="F692" s="136"/>
      <c r="G692" s="136"/>
      <c r="H692" s="136"/>
      <c r="I692" s="136"/>
      <c r="J692" s="136"/>
      <c r="K692" s="136"/>
      <c r="L692" s="136"/>
      <c r="M692" s="136"/>
    </row>
    <row r="693" spans="1:13" ht="13.5" customHeight="1" x14ac:dyDescent="0.15">
      <c r="A693" s="134"/>
      <c r="B693" s="135"/>
      <c r="C693" s="136"/>
      <c r="D693" s="126" t="s">
        <v>367</v>
      </c>
      <c r="E693" s="136"/>
      <c r="F693" s="136"/>
      <c r="G693" s="136"/>
      <c r="H693" s="136"/>
      <c r="I693" s="136"/>
      <c r="J693" s="136"/>
      <c r="K693" s="136"/>
      <c r="L693" s="136"/>
      <c r="M693" s="136"/>
    </row>
    <row r="694" spans="1:13" ht="13.5" customHeight="1" x14ac:dyDescent="0.15">
      <c r="A694" s="134"/>
      <c r="B694" s="135"/>
      <c r="C694" s="136"/>
      <c r="D694" s="126" t="s">
        <v>367</v>
      </c>
      <c r="E694" s="136"/>
      <c r="F694" s="136"/>
      <c r="G694" s="136"/>
      <c r="H694" s="136"/>
      <c r="I694" s="136"/>
      <c r="J694" s="136"/>
      <c r="K694" s="136"/>
      <c r="L694" s="136"/>
      <c r="M694" s="136"/>
    </row>
    <row r="695" spans="1:13" ht="13.5" customHeight="1" x14ac:dyDescent="0.15">
      <c r="A695" s="134"/>
      <c r="B695" s="135"/>
      <c r="C695" s="136"/>
      <c r="D695" s="126" t="s">
        <v>367</v>
      </c>
      <c r="E695" s="136"/>
      <c r="F695" s="136"/>
      <c r="G695" s="136"/>
      <c r="H695" s="136"/>
      <c r="I695" s="136"/>
      <c r="J695" s="136"/>
      <c r="K695" s="136"/>
      <c r="L695" s="136"/>
      <c r="M695" s="136"/>
    </row>
    <row r="696" spans="1:13" ht="13.5" customHeight="1" x14ac:dyDescent="0.15">
      <c r="A696" s="134"/>
      <c r="B696" s="135"/>
      <c r="C696" s="136"/>
      <c r="D696" s="126" t="s">
        <v>367</v>
      </c>
      <c r="E696" s="136"/>
      <c r="F696" s="136"/>
      <c r="G696" s="136"/>
      <c r="H696" s="136"/>
      <c r="I696" s="136"/>
      <c r="J696" s="136"/>
      <c r="K696" s="136"/>
      <c r="L696" s="136"/>
      <c r="M696" s="136"/>
    </row>
    <row r="697" spans="1:13" ht="13.5" customHeight="1" x14ac:dyDescent="0.15">
      <c r="A697" s="134"/>
      <c r="B697" s="135"/>
      <c r="C697" s="136"/>
      <c r="D697" s="126" t="s">
        <v>367</v>
      </c>
      <c r="E697" s="136"/>
      <c r="F697" s="136"/>
      <c r="G697" s="136"/>
      <c r="H697" s="136"/>
      <c r="I697" s="136"/>
      <c r="J697" s="136"/>
      <c r="K697" s="136"/>
      <c r="L697" s="136"/>
      <c r="M697" s="136"/>
    </row>
    <row r="698" spans="1:13" ht="13.5" customHeight="1" x14ac:dyDescent="0.15">
      <c r="A698" s="134"/>
      <c r="B698" s="135"/>
      <c r="C698" s="136"/>
      <c r="D698" s="126" t="s">
        <v>367</v>
      </c>
      <c r="E698" s="136"/>
      <c r="F698" s="136"/>
      <c r="G698" s="136"/>
      <c r="H698" s="136"/>
      <c r="I698" s="136"/>
      <c r="J698" s="136"/>
      <c r="K698" s="136"/>
      <c r="L698" s="136"/>
      <c r="M698" s="136"/>
    </row>
    <row r="699" spans="1:13" ht="13.5" customHeight="1" x14ac:dyDescent="0.15">
      <c r="A699" s="134"/>
      <c r="B699" s="135"/>
      <c r="C699" s="136"/>
      <c r="D699" s="126" t="s">
        <v>367</v>
      </c>
      <c r="E699" s="136"/>
      <c r="F699" s="136"/>
      <c r="G699" s="136"/>
      <c r="H699" s="136"/>
      <c r="I699" s="136"/>
      <c r="J699" s="136"/>
      <c r="K699" s="136"/>
      <c r="L699" s="136"/>
      <c r="M699" s="136"/>
    </row>
    <row r="700" spans="1:13" ht="13.5" customHeight="1" x14ac:dyDescent="0.15">
      <c r="A700" s="134"/>
      <c r="B700" s="135"/>
      <c r="C700" s="136"/>
      <c r="D700" s="126" t="s">
        <v>367</v>
      </c>
      <c r="E700" s="136"/>
      <c r="F700" s="136"/>
      <c r="G700" s="136"/>
      <c r="H700" s="136"/>
      <c r="I700" s="136"/>
      <c r="J700" s="136"/>
      <c r="K700" s="136"/>
      <c r="L700" s="136"/>
      <c r="M700" s="136"/>
    </row>
    <row r="701" spans="1:13" ht="13.5" customHeight="1" x14ac:dyDescent="0.15">
      <c r="A701" s="134"/>
      <c r="B701" s="135"/>
      <c r="C701" s="136"/>
      <c r="D701" s="126" t="s">
        <v>367</v>
      </c>
      <c r="E701" s="136"/>
      <c r="F701" s="136"/>
      <c r="G701" s="136"/>
      <c r="H701" s="136"/>
      <c r="I701" s="136"/>
      <c r="J701" s="136"/>
      <c r="K701" s="136"/>
      <c r="L701" s="136"/>
      <c r="M701" s="136"/>
    </row>
    <row r="702" spans="1:13" ht="13.5" customHeight="1" x14ac:dyDescent="0.15">
      <c r="A702" s="134"/>
      <c r="B702" s="135"/>
      <c r="C702" s="136"/>
      <c r="D702" s="126" t="s">
        <v>367</v>
      </c>
      <c r="E702" s="136"/>
      <c r="F702" s="136"/>
      <c r="G702" s="136"/>
      <c r="H702" s="136"/>
      <c r="I702" s="136"/>
      <c r="J702" s="136"/>
      <c r="K702" s="136"/>
      <c r="L702" s="136"/>
      <c r="M702" s="136"/>
    </row>
    <row r="703" spans="1:13" ht="13.5" customHeight="1" x14ac:dyDescent="0.15">
      <c r="A703" s="134"/>
      <c r="B703" s="135"/>
      <c r="C703" s="136"/>
      <c r="D703" s="126" t="s">
        <v>367</v>
      </c>
      <c r="E703" s="136"/>
      <c r="F703" s="136"/>
      <c r="G703" s="136"/>
      <c r="H703" s="136"/>
      <c r="I703" s="136"/>
      <c r="J703" s="136"/>
      <c r="K703" s="136"/>
      <c r="L703" s="136"/>
      <c r="M703" s="136"/>
    </row>
    <row r="704" spans="1:13" ht="13.5" customHeight="1" x14ac:dyDescent="0.15">
      <c r="A704" s="134"/>
      <c r="B704" s="135"/>
      <c r="C704" s="136"/>
      <c r="D704" s="126" t="s">
        <v>367</v>
      </c>
      <c r="E704" s="136"/>
      <c r="F704" s="136"/>
      <c r="G704" s="136"/>
      <c r="H704" s="136"/>
      <c r="I704" s="136"/>
      <c r="J704" s="136"/>
      <c r="K704" s="136"/>
      <c r="L704" s="136"/>
      <c r="M704" s="136"/>
    </row>
    <row r="705" spans="1:13" ht="13.5" customHeight="1" x14ac:dyDescent="0.15">
      <c r="A705" s="134"/>
      <c r="B705" s="135"/>
      <c r="C705" s="136"/>
      <c r="D705" s="126" t="s">
        <v>367</v>
      </c>
      <c r="E705" s="136"/>
      <c r="F705" s="136"/>
      <c r="G705" s="136"/>
      <c r="H705" s="136"/>
      <c r="I705" s="136"/>
      <c r="J705" s="136"/>
      <c r="K705" s="136"/>
      <c r="L705" s="136"/>
      <c r="M705" s="136"/>
    </row>
    <row r="706" spans="1:13" ht="13.5" customHeight="1" x14ac:dyDescent="0.15">
      <c r="A706" s="134"/>
      <c r="B706" s="135"/>
      <c r="C706" s="136"/>
      <c r="D706" s="126" t="s">
        <v>367</v>
      </c>
      <c r="E706" s="136"/>
      <c r="F706" s="136"/>
      <c r="G706" s="136"/>
      <c r="H706" s="136"/>
      <c r="I706" s="136"/>
      <c r="J706" s="136"/>
      <c r="K706" s="136"/>
      <c r="L706" s="136"/>
      <c r="M706" s="136"/>
    </row>
    <row r="707" spans="1:13" ht="13.5" customHeight="1" x14ac:dyDescent="0.15">
      <c r="A707" s="134"/>
      <c r="B707" s="135"/>
      <c r="C707" s="136"/>
      <c r="D707" s="126" t="s">
        <v>367</v>
      </c>
      <c r="E707" s="136"/>
      <c r="F707" s="136"/>
      <c r="G707" s="136"/>
      <c r="H707" s="136"/>
      <c r="I707" s="136"/>
      <c r="J707" s="136"/>
      <c r="K707" s="136"/>
      <c r="L707" s="136"/>
      <c r="M707" s="136"/>
    </row>
    <row r="708" spans="1:13" ht="13.5" customHeight="1" x14ac:dyDescent="0.15">
      <c r="A708" s="134"/>
      <c r="B708" s="135"/>
      <c r="C708" s="136"/>
      <c r="D708" s="126" t="s">
        <v>367</v>
      </c>
      <c r="E708" s="136"/>
      <c r="F708" s="136"/>
      <c r="G708" s="136"/>
      <c r="H708" s="136"/>
      <c r="I708" s="136"/>
      <c r="J708" s="136"/>
      <c r="K708" s="136"/>
      <c r="L708" s="136"/>
      <c r="M708" s="136"/>
    </row>
    <row r="709" spans="1:13" ht="13.5" customHeight="1" x14ac:dyDescent="0.15">
      <c r="A709" s="134"/>
      <c r="B709" s="135"/>
      <c r="C709" s="136"/>
      <c r="D709" s="126" t="s">
        <v>367</v>
      </c>
      <c r="E709" s="136"/>
      <c r="F709" s="136"/>
      <c r="G709" s="136"/>
      <c r="H709" s="136"/>
      <c r="I709" s="136"/>
      <c r="J709" s="136"/>
      <c r="K709" s="136"/>
      <c r="L709" s="136"/>
      <c r="M709" s="136"/>
    </row>
    <row r="710" spans="1:13" ht="13.5" customHeight="1" x14ac:dyDescent="0.15">
      <c r="A710" s="134"/>
      <c r="B710" s="135"/>
      <c r="C710" s="136"/>
      <c r="D710" s="126" t="s">
        <v>367</v>
      </c>
      <c r="E710" s="136"/>
      <c r="F710" s="136"/>
      <c r="G710" s="136"/>
      <c r="H710" s="136"/>
      <c r="I710" s="136"/>
      <c r="J710" s="136"/>
      <c r="K710" s="136"/>
      <c r="L710" s="136"/>
      <c r="M710" s="136"/>
    </row>
    <row r="711" spans="1:13" ht="13.5" customHeight="1" x14ac:dyDescent="0.15">
      <c r="A711" s="134"/>
      <c r="B711" s="135"/>
      <c r="C711" s="136"/>
      <c r="D711" s="126" t="s">
        <v>367</v>
      </c>
      <c r="E711" s="136"/>
      <c r="F711" s="136"/>
      <c r="G711" s="136"/>
      <c r="H711" s="136"/>
      <c r="I711" s="136"/>
      <c r="J711" s="136"/>
      <c r="K711" s="136"/>
      <c r="L711" s="136"/>
      <c r="M711" s="136"/>
    </row>
    <row r="712" spans="1:13" ht="13.5" customHeight="1" x14ac:dyDescent="0.15">
      <c r="A712" s="134"/>
      <c r="B712" s="135"/>
      <c r="C712" s="136"/>
      <c r="D712" s="126" t="s">
        <v>367</v>
      </c>
      <c r="E712" s="136"/>
      <c r="F712" s="136"/>
      <c r="G712" s="136"/>
      <c r="H712" s="136"/>
      <c r="I712" s="136"/>
      <c r="J712" s="136"/>
      <c r="K712" s="136"/>
      <c r="L712" s="136"/>
      <c r="M712" s="136"/>
    </row>
    <row r="713" spans="1:13" ht="13.5" customHeight="1" x14ac:dyDescent="0.15">
      <c r="A713" s="134"/>
      <c r="B713" s="135"/>
      <c r="C713" s="136"/>
      <c r="D713" s="126" t="s">
        <v>367</v>
      </c>
      <c r="E713" s="136"/>
      <c r="F713" s="136"/>
      <c r="G713" s="136"/>
      <c r="H713" s="136"/>
      <c r="I713" s="136"/>
      <c r="J713" s="136"/>
      <c r="K713" s="136"/>
      <c r="L713" s="136"/>
      <c r="M713" s="136"/>
    </row>
    <row r="714" spans="1:13" ht="13.5" customHeight="1" x14ac:dyDescent="0.15">
      <c r="A714" s="134"/>
      <c r="B714" s="135"/>
      <c r="C714" s="136"/>
      <c r="D714" s="126" t="s">
        <v>367</v>
      </c>
      <c r="E714" s="136"/>
      <c r="F714" s="136"/>
      <c r="G714" s="136"/>
      <c r="H714" s="136"/>
      <c r="I714" s="136"/>
      <c r="J714" s="136"/>
      <c r="K714" s="136"/>
      <c r="L714" s="136"/>
      <c r="M714" s="136"/>
    </row>
    <row r="715" spans="1:13" ht="13.5" customHeight="1" x14ac:dyDescent="0.15">
      <c r="A715" s="134"/>
      <c r="B715" s="135"/>
      <c r="C715" s="136"/>
      <c r="D715" s="126" t="s">
        <v>367</v>
      </c>
      <c r="E715" s="136"/>
      <c r="F715" s="136"/>
      <c r="G715" s="136"/>
      <c r="H715" s="136"/>
      <c r="I715" s="136"/>
      <c r="J715" s="136"/>
      <c r="K715" s="136"/>
      <c r="L715" s="136"/>
      <c r="M715" s="136"/>
    </row>
    <row r="716" spans="1:13" ht="13.5" customHeight="1" x14ac:dyDescent="0.15">
      <c r="A716" s="134"/>
      <c r="B716" s="135"/>
      <c r="C716" s="136"/>
      <c r="D716" s="126" t="s">
        <v>367</v>
      </c>
      <c r="E716" s="136"/>
      <c r="F716" s="136"/>
      <c r="G716" s="136"/>
      <c r="H716" s="136"/>
      <c r="I716" s="136"/>
      <c r="J716" s="136"/>
      <c r="K716" s="136"/>
      <c r="L716" s="136"/>
      <c r="M716" s="136"/>
    </row>
    <row r="717" spans="1:13" ht="13.5" customHeight="1" x14ac:dyDescent="0.15">
      <c r="A717" s="134"/>
      <c r="B717" s="135"/>
      <c r="C717" s="136"/>
      <c r="D717" s="126" t="s">
        <v>367</v>
      </c>
      <c r="E717" s="136"/>
      <c r="F717" s="136"/>
      <c r="G717" s="136"/>
      <c r="H717" s="136"/>
      <c r="I717" s="136"/>
      <c r="J717" s="136"/>
      <c r="K717" s="136"/>
      <c r="L717" s="136"/>
      <c r="M717" s="136"/>
    </row>
    <row r="718" spans="1:13" ht="13.5" customHeight="1" x14ac:dyDescent="0.15">
      <c r="A718" s="134"/>
      <c r="B718" s="135"/>
      <c r="C718" s="136"/>
      <c r="D718" s="126" t="s">
        <v>367</v>
      </c>
      <c r="E718" s="136"/>
      <c r="F718" s="136"/>
      <c r="G718" s="136"/>
      <c r="H718" s="136"/>
      <c r="I718" s="136"/>
      <c r="J718" s="136"/>
      <c r="K718" s="136"/>
      <c r="L718" s="136"/>
      <c r="M718" s="136"/>
    </row>
    <row r="719" spans="1:13" ht="13.5" customHeight="1" x14ac:dyDescent="0.15">
      <c r="A719" s="134"/>
      <c r="B719" s="135"/>
      <c r="C719" s="136"/>
      <c r="D719" s="126" t="s">
        <v>367</v>
      </c>
      <c r="E719" s="136"/>
      <c r="F719" s="136"/>
      <c r="G719" s="136"/>
      <c r="H719" s="136"/>
      <c r="I719" s="136"/>
      <c r="J719" s="136"/>
      <c r="K719" s="136"/>
      <c r="L719" s="136"/>
      <c r="M719" s="136"/>
    </row>
    <row r="720" spans="1:13" ht="13.5" customHeight="1" x14ac:dyDescent="0.15">
      <c r="A720" s="134"/>
      <c r="B720" s="135"/>
      <c r="C720" s="136"/>
      <c r="D720" s="126" t="s">
        <v>367</v>
      </c>
      <c r="E720" s="136"/>
      <c r="F720" s="136"/>
      <c r="G720" s="136"/>
      <c r="H720" s="136"/>
      <c r="I720" s="136"/>
      <c r="J720" s="136"/>
      <c r="K720" s="136"/>
      <c r="L720" s="136"/>
      <c r="M720" s="136"/>
    </row>
    <row r="721" spans="1:13" ht="13.5" customHeight="1" x14ac:dyDescent="0.15">
      <c r="A721" s="134"/>
      <c r="B721" s="135"/>
      <c r="C721" s="136"/>
      <c r="D721" s="126" t="s">
        <v>367</v>
      </c>
      <c r="E721" s="136"/>
      <c r="F721" s="136"/>
      <c r="G721" s="136"/>
      <c r="H721" s="136"/>
      <c r="I721" s="136"/>
      <c r="J721" s="136"/>
      <c r="K721" s="136"/>
      <c r="L721" s="136"/>
      <c r="M721" s="136"/>
    </row>
    <row r="722" spans="1:13" ht="13.5" customHeight="1" x14ac:dyDescent="0.15">
      <c r="A722" s="134"/>
      <c r="B722" s="135"/>
      <c r="C722" s="136"/>
      <c r="D722" s="126" t="s">
        <v>367</v>
      </c>
      <c r="E722" s="136"/>
      <c r="F722" s="136"/>
      <c r="G722" s="136"/>
      <c r="H722" s="136"/>
      <c r="I722" s="136"/>
      <c r="J722" s="136"/>
      <c r="K722" s="136"/>
      <c r="L722" s="136"/>
      <c r="M722" s="136"/>
    </row>
    <row r="723" spans="1:13" ht="13.5" customHeight="1" x14ac:dyDescent="0.15">
      <c r="A723" s="134"/>
      <c r="B723" s="135"/>
      <c r="C723" s="136"/>
      <c r="D723" s="126" t="s">
        <v>367</v>
      </c>
      <c r="E723" s="136"/>
      <c r="F723" s="136"/>
      <c r="G723" s="136"/>
      <c r="H723" s="136"/>
      <c r="I723" s="136"/>
      <c r="J723" s="136"/>
      <c r="K723" s="136"/>
      <c r="L723" s="136"/>
      <c r="M723" s="136"/>
    </row>
    <row r="724" spans="1:13" ht="13.5" customHeight="1" x14ac:dyDescent="0.15">
      <c r="A724" s="134"/>
      <c r="B724" s="135"/>
      <c r="C724" s="136"/>
      <c r="D724" s="126" t="s">
        <v>367</v>
      </c>
      <c r="E724" s="136"/>
      <c r="F724" s="136"/>
      <c r="G724" s="136"/>
      <c r="H724" s="136"/>
      <c r="I724" s="136"/>
      <c r="J724" s="136"/>
      <c r="K724" s="136"/>
      <c r="L724" s="136"/>
      <c r="M724" s="136"/>
    </row>
    <row r="725" spans="1:13" ht="13.5" customHeight="1" x14ac:dyDescent="0.15">
      <c r="A725" s="134"/>
      <c r="B725" s="135"/>
      <c r="C725" s="136"/>
      <c r="D725" s="126" t="s">
        <v>367</v>
      </c>
      <c r="E725" s="136"/>
      <c r="F725" s="136"/>
      <c r="G725" s="136"/>
      <c r="H725" s="136"/>
      <c r="I725" s="136"/>
      <c r="J725" s="136"/>
      <c r="K725" s="136"/>
      <c r="L725" s="136"/>
      <c r="M725" s="136"/>
    </row>
    <row r="726" spans="1:13" ht="13.5" customHeight="1" x14ac:dyDescent="0.15">
      <c r="A726" s="134"/>
      <c r="B726" s="135"/>
      <c r="C726" s="136"/>
      <c r="D726" s="126" t="s">
        <v>367</v>
      </c>
      <c r="E726" s="136"/>
      <c r="F726" s="136"/>
      <c r="G726" s="136"/>
      <c r="H726" s="136"/>
      <c r="I726" s="136"/>
      <c r="J726" s="136"/>
      <c r="K726" s="136"/>
      <c r="L726" s="136"/>
      <c r="M726" s="136"/>
    </row>
    <row r="727" spans="1:13" ht="13.5" customHeight="1" x14ac:dyDescent="0.15">
      <c r="A727" s="134"/>
      <c r="B727" s="135"/>
      <c r="C727" s="136"/>
      <c r="D727" s="126" t="s">
        <v>367</v>
      </c>
      <c r="E727" s="136"/>
      <c r="F727" s="136"/>
      <c r="G727" s="136"/>
      <c r="H727" s="136"/>
      <c r="I727" s="136"/>
      <c r="J727" s="136"/>
      <c r="K727" s="136"/>
      <c r="L727" s="136"/>
      <c r="M727" s="136"/>
    </row>
    <row r="728" spans="1:13" ht="13.5" customHeight="1" x14ac:dyDescent="0.15">
      <c r="A728" s="134"/>
      <c r="B728" s="135"/>
      <c r="C728" s="136"/>
      <c r="D728" s="126" t="s">
        <v>367</v>
      </c>
      <c r="E728" s="136"/>
      <c r="F728" s="136"/>
      <c r="G728" s="136"/>
      <c r="H728" s="136"/>
      <c r="I728" s="136"/>
      <c r="J728" s="136"/>
      <c r="K728" s="136"/>
      <c r="L728" s="136"/>
      <c r="M728" s="136"/>
    </row>
    <row r="729" spans="1:13" ht="13.5" customHeight="1" x14ac:dyDescent="0.15">
      <c r="A729" s="134"/>
      <c r="B729" s="135"/>
      <c r="C729" s="136"/>
      <c r="D729" s="126" t="s">
        <v>367</v>
      </c>
      <c r="E729" s="136"/>
      <c r="F729" s="136"/>
      <c r="G729" s="136"/>
      <c r="H729" s="136"/>
      <c r="I729" s="136"/>
      <c r="J729" s="136"/>
      <c r="K729" s="136"/>
      <c r="L729" s="136"/>
      <c r="M729" s="136"/>
    </row>
    <row r="730" spans="1:13" ht="13.5" customHeight="1" x14ac:dyDescent="0.15">
      <c r="A730" s="134"/>
      <c r="B730" s="135"/>
      <c r="C730" s="136"/>
      <c r="D730" s="126" t="s">
        <v>367</v>
      </c>
      <c r="E730" s="136"/>
      <c r="F730" s="136"/>
      <c r="G730" s="136"/>
      <c r="H730" s="136"/>
      <c r="I730" s="136"/>
      <c r="J730" s="136"/>
      <c r="K730" s="136"/>
      <c r="L730" s="136"/>
      <c r="M730" s="136"/>
    </row>
    <row r="731" spans="1:13" ht="13.5" customHeight="1" x14ac:dyDescent="0.15">
      <c r="A731" s="134"/>
      <c r="B731" s="135"/>
      <c r="C731" s="136"/>
      <c r="D731" s="126" t="s">
        <v>367</v>
      </c>
      <c r="E731" s="136"/>
      <c r="F731" s="136"/>
      <c r="G731" s="136"/>
      <c r="H731" s="136"/>
      <c r="I731" s="136"/>
      <c r="J731" s="136"/>
      <c r="K731" s="136"/>
      <c r="L731" s="136"/>
      <c r="M731" s="136"/>
    </row>
    <row r="732" spans="1:13" ht="13.5" customHeight="1" x14ac:dyDescent="0.15">
      <c r="A732" s="134"/>
      <c r="B732" s="135"/>
      <c r="C732" s="136"/>
      <c r="D732" s="126" t="s">
        <v>367</v>
      </c>
      <c r="E732" s="136"/>
      <c r="F732" s="136"/>
      <c r="G732" s="136"/>
      <c r="H732" s="136"/>
      <c r="I732" s="136"/>
      <c r="J732" s="136"/>
      <c r="K732" s="136"/>
      <c r="L732" s="136"/>
      <c r="M732" s="136"/>
    </row>
    <row r="733" spans="1:13" ht="13.5" customHeight="1" x14ac:dyDescent="0.15">
      <c r="A733" s="134"/>
      <c r="B733" s="135"/>
      <c r="C733" s="136"/>
      <c r="D733" s="126" t="s">
        <v>367</v>
      </c>
      <c r="E733" s="136"/>
      <c r="F733" s="136"/>
      <c r="G733" s="136"/>
      <c r="H733" s="136"/>
      <c r="I733" s="136"/>
      <c r="J733" s="136"/>
      <c r="K733" s="136"/>
      <c r="L733" s="136"/>
      <c r="M733" s="136"/>
    </row>
    <row r="734" spans="1:13" ht="13.5" customHeight="1" x14ac:dyDescent="0.15">
      <c r="A734" s="134"/>
      <c r="B734" s="135"/>
      <c r="C734" s="136"/>
      <c r="D734" s="126" t="s">
        <v>367</v>
      </c>
      <c r="E734" s="136"/>
      <c r="F734" s="136"/>
      <c r="G734" s="136"/>
      <c r="H734" s="136"/>
      <c r="I734" s="136"/>
      <c r="J734" s="136"/>
      <c r="K734" s="136"/>
      <c r="L734" s="136"/>
      <c r="M734" s="136"/>
    </row>
    <row r="735" spans="1:13" ht="13.5" customHeight="1" x14ac:dyDescent="0.15">
      <c r="A735" s="134"/>
      <c r="B735" s="135"/>
      <c r="C735" s="136"/>
      <c r="D735" s="126" t="s">
        <v>367</v>
      </c>
      <c r="E735" s="136"/>
      <c r="F735" s="136"/>
      <c r="G735" s="136"/>
      <c r="H735" s="136"/>
      <c r="I735" s="136"/>
      <c r="J735" s="136"/>
      <c r="K735" s="136"/>
      <c r="L735" s="136"/>
      <c r="M735" s="136"/>
    </row>
    <row r="736" spans="1:13" ht="13.5" customHeight="1" x14ac:dyDescent="0.15">
      <c r="A736" s="134"/>
      <c r="B736" s="135"/>
      <c r="C736" s="136"/>
      <c r="D736" s="126" t="s">
        <v>367</v>
      </c>
      <c r="E736" s="136"/>
      <c r="F736" s="136"/>
      <c r="G736" s="136"/>
      <c r="H736" s="136"/>
      <c r="I736" s="136"/>
      <c r="J736" s="136"/>
      <c r="K736" s="136"/>
      <c r="L736" s="136"/>
      <c r="M736" s="136"/>
    </row>
    <row r="737" spans="1:13" ht="13.5" customHeight="1" x14ac:dyDescent="0.15">
      <c r="A737" s="134"/>
      <c r="B737" s="135"/>
      <c r="C737" s="136"/>
      <c r="D737" s="126" t="s">
        <v>367</v>
      </c>
      <c r="E737" s="136"/>
      <c r="F737" s="136"/>
      <c r="G737" s="136"/>
      <c r="H737" s="136"/>
      <c r="I737" s="136"/>
      <c r="J737" s="136"/>
      <c r="K737" s="136"/>
      <c r="L737" s="136"/>
      <c r="M737" s="136"/>
    </row>
    <row r="738" spans="1:13" ht="13.5" customHeight="1" x14ac:dyDescent="0.15">
      <c r="A738" s="134"/>
      <c r="B738" s="135"/>
      <c r="C738" s="136"/>
      <c r="D738" s="126" t="s">
        <v>367</v>
      </c>
      <c r="E738" s="136"/>
      <c r="F738" s="136"/>
      <c r="G738" s="136"/>
      <c r="H738" s="136"/>
      <c r="I738" s="136"/>
      <c r="J738" s="136"/>
      <c r="K738" s="136"/>
      <c r="L738" s="136"/>
      <c r="M738" s="136"/>
    </row>
    <row r="739" spans="1:13" ht="13.5" customHeight="1" x14ac:dyDescent="0.15">
      <c r="A739" s="134"/>
      <c r="B739" s="135"/>
      <c r="C739" s="136"/>
      <c r="D739" s="126" t="s">
        <v>367</v>
      </c>
      <c r="E739" s="136"/>
      <c r="F739" s="136"/>
      <c r="G739" s="136"/>
      <c r="H739" s="136"/>
      <c r="I739" s="136"/>
      <c r="J739" s="136"/>
      <c r="K739" s="136"/>
      <c r="L739" s="136"/>
      <c r="M739" s="136"/>
    </row>
    <row r="740" spans="1:13" ht="13.5" customHeight="1" x14ac:dyDescent="0.15">
      <c r="A740" s="134"/>
      <c r="B740" s="135"/>
      <c r="C740" s="136"/>
      <c r="D740" s="126" t="s">
        <v>367</v>
      </c>
      <c r="E740" s="136"/>
      <c r="F740" s="136"/>
      <c r="G740" s="136"/>
      <c r="H740" s="136"/>
      <c r="I740" s="136"/>
      <c r="J740" s="136"/>
      <c r="K740" s="136"/>
      <c r="L740" s="136"/>
      <c r="M740" s="136"/>
    </row>
    <row r="741" spans="1:13" ht="13.5" customHeight="1" x14ac:dyDescent="0.15">
      <c r="A741" s="134"/>
      <c r="B741" s="135"/>
      <c r="C741" s="136"/>
      <c r="D741" s="126" t="s">
        <v>367</v>
      </c>
      <c r="E741" s="136"/>
      <c r="F741" s="136"/>
      <c r="G741" s="136"/>
      <c r="H741" s="136"/>
      <c r="I741" s="136"/>
      <c r="J741" s="136"/>
      <c r="K741" s="136"/>
      <c r="L741" s="136"/>
      <c r="M741" s="136"/>
    </row>
    <row r="742" spans="1:13" ht="13.5" customHeight="1" x14ac:dyDescent="0.15">
      <c r="A742" s="134"/>
      <c r="B742" s="135"/>
      <c r="C742" s="136"/>
      <c r="D742" s="126" t="s">
        <v>367</v>
      </c>
      <c r="E742" s="136"/>
      <c r="F742" s="136"/>
      <c r="G742" s="136"/>
      <c r="H742" s="136"/>
      <c r="I742" s="136"/>
      <c r="J742" s="136"/>
      <c r="K742" s="136"/>
      <c r="L742" s="136"/>
      <c r="M742" s="136"/>
    </row>
    <row r="743" spans="1:13" ht="13.5" customHeight="1" x14ac:dyDescent="0.15">
      <c r="A743" s="134"/>
      <c r="B743" s="135"/>
      <c r="C743" s="136"/>
      <c r="D743" s="126" t="s">
        <v>367</v>
      </c>
      <c r="E743" s="136"/>
      <c r="F743" s="136"/>
      <c r="G743" s="136"/>
      <c r="H743" s="136"/>
      <c r="I743" s="136"/>
      <c r="J743" s="136"/>
      <c r="K743" s="136"/>
      <c r="L743" s="136"/>
      <c r="M743" s="136"/>
    </row>
    <row r="744" spans="1:13" ht="13.5" customHeight="1" x14ac:dyDescent="0.15">
      <c r="A744" s="134"/>
      <c r="B744" s="135"/>
      <c r="C744" s="136"/>
      <c r="D744" s="126" t="s">
        <v>367</v>
      </c>
      <c r="E744" s="136"/>
      <c r="F744" s="136"/>
      <c r="G744" s="136"/>
      <c r="H744" s="136"/>
      <c r="I744" s="136"/>
      <c r="J744" s="136"/>
      <c r="K744" s="136"/>
      <c r="L744" s="136"/>
      <c r="M744" s="136"/>
    </row>
    <row r="745" spans="1:13" ht="13.5" customHeight="1" x14ac:dyDescent="0.15">
      <c r="A745" s="134"/>
      <c r="B745" s="135"/>
      <c r="C745" s="136"/>
      <c r="D745" s="126" t="s">
        <v>367</v>
      </c>
      <c r="E745" s="136"/>
      <c r="F745" s="136"/>
      <c r="G745" s="136"/>
      <c r="H745" s="136"/>
      <c r="I745" s="136"/>
      <c r="J745" s="136"/>
      <c r="K745" s="136"/>
      <c r="L745" s="136"/>
      <c r="M745" s="136"/>
    </row>
    <row r="746" spans="1:13" ht="13.5" customHeight="1" x14ac:dyDescent="0.15">
      <c r="A746" s="134"/>
      <c r="B746" s="135"/>
      <c r="C746" s="136"/>
      <c r="D746" s="126" t="s">
        <v>367</v>
      </c>
      <c r="E746" s="136"/>
      <c r="F746" s="136"/>
      <c r="G746" s="136"/>
      <c r="H746" s="136"/>
      <c r="I746" s="136"/>
      <c r="J746" s="136"/>
      <c r="K746" s="136"/>
      <c r="L746" s="136"/>
      <c r="M746" s="136"/>
    </row>
    <row r="747" spans="1:13" ht="13.5" customHeight="1" x14ac:dyDescent="0.15">
      <c r="A747" s="134"/>
      <c r="B747" s="135"/>
      <c r="C747" s="136"/>
      <c r="D747" s="126" t="s">
        <v>367</v>
      </c>
      <c r="E747" s="136"/>
      <c r="F747" s="136"/>
      <c r="G747" s="136"/>
      <c r="H747" s="136"/>
      <c r="I747" s="136"/>
      <c r="J747" s="136"/>
      <c r="K747" s="136"/>
      <c r="L747" s="136"/>
      <c r="M747" s="136"/>
    </row>
    <row r="748" spans="1:13" ht="13.5" customHeight="1" x14ac:dyDescent="0.15">
      <c r="A748" s="134"/>
      <c r="B748" s="135"/>
      <c r="C748" s="136"/>
      <c r="D748" s="126" t="s">
        <v>367</v>
      </c>
      <c r="E748" s="136"/>
      <c r="F748" s="136"/>
      <c r="G748" s="136"/>
      <c r="H748" s="136"/>
      <c r="I748" s="136"/>
      <c r="J748" s="136"/>
      <c r="K748" s="136"/>
      <c r="L748" s="136"/>
      <c r="M748" s="136"/>
    </row>
    <row r="749" spans="1:13" ht="13.5" customHeight="1" x14ac:dyDescent="0.15">
      <c r="A749" s="134"/>
      <c r="B749" s="135"/>
      <c r="C749" s="136"/>
      <c r="D749" s="126" t="s">
        <v>367</v>
      </c>
      <c r="E749" s="136"/>
      <c r="F749" s="136"/>
      <c r="G749" s="136"/>
      <c r="H749" s="136"/>
      <c r="I749" s="136"/>
      <c r="J749" s="136"/>
      <c r="K749" s="136"/>
      <c r="L749" s="136"/>
      <c r="M749" s="136"/>
    </row>
    <row r="750" spans="1:13" ht="13.5" customHeight="1" x14ac:dyDescent="0.15">
      <c r="A750" s="134"/>
      <c r="B750" s="135"/>
      <c r="C750" s="136"/>
      <c r="D750" s="126" t="s">
        <v>367</v>
      </c>
      <c r="E750" s="136"/>
      <c r="F750" s="136"/>
      <c r="G750" s="136"/>
      <c r="H750" s="136"/>
      <c r="I750" s="136"/>
      <c r="J750" s="136"/>
      <c r="K750" s="136"/>
      <c r="L750" s="136"/>
      <c r="M750" s="136"/>
    </row>
    <row r="751" spans="1:13" ht="13.5" customHeight="1" x14ac:dyDescent="0.15">
      <c r="A751" s="134"/>
      <c r="B751" s="135"/>
      <c r="C751" s="136"/>
      <c r="D751" s="126" t="s">
        <v>367</v>
      </c>
      <c r="E751" s="136"/>
      <c r="F751" s="136"/>
      <c r="G751" s="136"/>
      <c r="H751" s="136"/>
      <c r="I751" s="136"/>
      <c r="J751" s="136"/>
      <c r="K751" s="136"/>
      <c r="L751" s="136"/>
      <c r="M751" s="136"/>
    </row>
    <row r="752" spans="1:13" ht="13.5" customHeight="1" x14ac:dyDescent="0.15">
      <c r="A752" s="134"/>
      <c r="B752" s="135"/>
      <c r="C752" s="136"/>
      <c r="D752" s="126" t="s">
        <v>367</v>
      </c>
      <c r="E752" s="136"/>
      <c r="F752" s="136"/>
      <c r="G752" s="136"/>
      <c r="H752" s="136"/>
      <c r="I752" s="136"/>
      <c r="J752" s="136"/>
      <c r="K752" s="136"/>
      <c r="L752" s="136"/>
      <c r="M752" s="136"/>
    </row>
    <row r="753" spans="1:13" ht="13.5" customHeight="1" x14ac:dyDescent="0.15">
      <c r="A753" s="134"/>
      <c r="B753" s="135"/>
      <c r="C753" s="136"/>
      <c r="D753" s="126" t="s">
        <v>367</v>
      </c>
      <c r="E753" s="136"/>
      <c r="F753" s="136"/>
      <c r="G753" s="136"/>
      <c r="H753" s="136"/>
      <c r="I753" s="136"/>
      <c r="J753" s="136"/>
      <c r="K753" s="136"/>
      <c r="L753" s="136"/>
      <c r="M753" s="136"/>
    </row>
    <row r="754" spans="1:13" ht="13.5" customHeight="1" x14ac:dyDescent="0.15">
      <c r="A754" s="134"/>
      <c r="B754" s="135"/>
      <c r="C754" s="136"/>
      <c r="D754" s="126" t="s">
        <v>367</v>
      </c>
      <c r="E754" s="136"/>
      <c r="F754" s="136"/>
      <c r="G754" s="136"/>
      <c r="H754" s="136"/>
      <c r="I754" s="136"/>
      <c r="J754" s="136"/>
      <c r="K754" s="136"/>
      <c r="L754" s="136"/>
      <c r="M754" s="136"/>
    </row>
    <row r="755" spans="1:13" ht="13.5" customHeight="1" x14ac:dyDescent="0.15">
      <c r="A755" s="134"/>
      <c r="B755" s="135"/>
      <c r="C755" s="136"/>
      <c r="D755" s="126" t="s">
        <v>367</v>
      </c>
      <c r="E755" s="136"/>
      <c r="F755" s="136"/>
      <c r="G755" s="136"/>
      <c r="H755" s="136"/>
      <c r="I755" s="136"/>
      <c r="J755" s="136"/>
      <c r="K755" s="136"/>
      <c r="L755" s="136"/>
      <c r="M755" s="136"/>
    </row>
    <row r="756" spans="1:13" ht="13.5" customHeight="1" x14ac:dyDescent="0.15">
      <c r="A756" s="134"/>
      <c r="B756" s="135"/>
      <c r="C756" s="136"/>
      <c r="D756" s="126" t="s">
        <v>367</v>
      </c>
      <c r="E756" s="136"/>
      <c r="F756" s="136"/>
      <c r="G756" s="136"/>
      <c r="H756" s="136"/>
      <c r="I756" s="136"/>
      <c r="J756" s="136"/>
      <c r="K756" s="136"/>
      <c r="L756" s="136"/>
      <c r="M756" s="136"/>
    </row>
    <row r="757" spans="1:13" ht="13.5" customHeight="1" x14ac:dyDescent="0.15">
      <c r="A757" s="134"/>
      <c r="B757" s="135"/>
      <c r="C757" s="136"/>
      <c r="D757" s="126" t="s">
        <v>367</v>
      </c>
      <c r="E757" s="136"/>
      <c r="F757" s="136"/>
      <c r="G757" s="136"/>
      <c r="H757" s="136"/>
      <c r="I757" s="136"/>
      <c r="J757" s="136"/>
      <c r="K757" s="136"/>
      <c r="L757" s="136"/>
      <c r="M757" s="136"/>
    </row>
    <row r="758" spans="1:13" ht="13.5" customHeight="1" x14ac:dyDescent="0.15">
      <c r="A758" s="134"/>
      <c r="B758" s="135"/>
      <c r="C758" s="136"/>
      <c r="D758" s="126" t="s">
        <v>367</v>
      </c>
      <c r="E758" s="136"/>
      <c r="F758" s="136"/>
      <c r="G758" s="136"/>
      <c r="H758" s="136"/>
      <c r="I758" s="136"/>
      <c r="J758" s="136"/>
      <c r="K758" s="136"/>
      <c r="L758" s="136"/>
      <c r="M758" s="136"/>
    </row>
    <row r="759" spans="1:13" ht="13.5" customHeight="1" x14ac:dyDescent="0.15">
      <c r="A759" s="134"/>
      <c r="B759" s="135"/>
      <c r="C759" s="136"/>
      <c r="D759" s="126" t="s">
        <v>367</v>
      </c>
      <c r="E759" s="136"/>
      <c r="F759" s="136"/>
      <c r="G759" s="136"/>
      <c r="H759" s="136"/>
      <c r="I759" s="136"/>
      <c r="J759" s="136"/>
      <c r="K759" s="136"/>
      <c r="L759" s="136"/>
      <c r="M759" s="136"/>
    </row>
    <row r="760" spans="1:13" ht="13.5" customHeight="1" x14ac:dyDescent="0.15">
      <c r="A760" s="134"/>
      <c r="B760" s="135"/>
      <c r="C760" s="136"/>
      <c r="D760" s="126" t="s">
        <v>367</v>
      </c>
      <c r="E760" s="136"/>
      <c r="F760" s="136"/>
      <c r="G760" s="136"/>
      <c r="H760" s="136"/>
      <c r="I760" s="136"/>
      <c r="J760" s="136"/>
      <c r="K760" s="136"/>
      <c r="L760" s="136"/>
      <c r="M760" s="136"/>
    </row>
    <row r="761" spans="1:13" ht="13.5" customHeight="1" x14ac:dyDescent="0.15">
      <c r="A761" s="134"/>
      <c r="B761" s="135"/>
      <c r="C761" s="136"/>
      <c r="D761" s="126" t="s">
        <v>367</v>
      </c>
      <c r="E761" s="136"/>
      <c r="F761" s="136"/>
      <c r="G761" s="136"/>
      <c r="H761" s="136"/>
      <c r="I761" s="136"/>
      <c r="J761" s="136"/>
      <c r="K761" s="136"/>
      <c r="L761" s="136"/>
      <c r="M761" s="136"/>
    </row>
    <row r="762" spans="1:13" ht="13.5" customHeight="1" x14ac:dyDescent="0.15">
      <c r="A762" s="134"/>
      <c r="B762" s="135"/>
      <c r="C762" s="136"/>
      <c r="D762" s="126" t="s">
        <v>367</v>
      </c>
      <c r="E762" s="136"/>
      <c r="F762" s="136"/>
      <c r="G762" s="136"/>
      <c r="H762" s="136"/>
      <c r="I762" s="136"/>
      <c r="J762" s="136"/>
      <c r="K762" s="136"/>
      <c r="L762" s="136"/>
      <c r="M762" s="136"/>
    </row>
    <row r="763" spans="1:13" ht="13.5" customHeight="1" x14ac:dyDescent="0.15">
      <c r="A763" s="134"/>
      <c r="B763" s="135"/>
      <c r="C763" s="136"/>
      <c r="D763" s="126" t="s">
        <v>367</v>
      </c>
      <c r="E763" s="136"/>
      <c r="F763" s="136"/>
      <c r="G763" s="136"/>
      <c r="H763" s="136"/>
      <c r="I763" s="136"/>
      <c r="J763" s="136"/>
      <c r="K763" s="136"/>
      <c r="L763" s="136"/>
      <c r="M763" s="136"/>
    </row>
    <row r="764" spans="1:13" ht="13.5" customHeight="1" x14ac:dyDescent="0.15">
      <c r="A764" s="134"/>
      <c r="B764" s="135"/>
      <c r="C764" s="136"/>
      <c r="D764" s="126" t="s">
        <v>367</v>
      </c>
      <c r="E764" s="136"/>
      <c r="F764" s="136"/>
      <c r="G764" s="136"/>
      <c r="H764" s="136"/>
      <c r="I764" s="136"/>
      <c r="J764" s="136"/>
      <c r="K764" s="136"/>
      <c r="L764" s="136"/>
      <c r="M764" s="136"/>
    </row>
    <row r="765" spans="1:13" ht="13.5" customHeight="1" x14ac:dyDescent="0.15">
      <c r="A765" s="134"/>
      <c r="B765" s="135"/>
      <c r="C765" s="136"/>
      <c r="D765" s="126" t="s">
        <v>367</v>
      </c>
      <c r="E765" s="136"/>
      <c r="F765" s="136"/>
      <c r="G765" s="136"/>
      <c r="H765" s="136"/>
      <c r="I765" s="136"/>
      <c r="J765" s="136"/>
      <c r="K765" s="136"/>
      <c r="L765" s="136"/>
      <c r="M765" s="136"/>
    </row>
    <row r="766" spans="1:13" ht="13.5" customHeight="1" x14ac:dyDescent="0.15">
      <c r="A766" s="134"/>
      <c r="B766" s="135"/>
      <c r="C766" s="136"/>
      <c r="D766" s="126" t="s">
        <v>367</v>
      </c>
      <c r="E766" s="136"/>
      <c r="F766" s="136"/>
      <c r="G766" s="136"/>
      <c r="H766" s="136"/>
      <c r="I766" s="136"/>
      <c r="J766" s="136"/>
      <c r="K766" s="136"/>
      <c r="L766" s="136"/>
      <c r="M766" s="136"/>
    </row>
    <row r="767" spans="1:13" ht="13.5" customHeight="1" x14ac:dyDescent="0.15">
      <c r="A767" s="134"/>
      <c r="B767" s="135"/>
      <c r="C767" s="136"/>
      <c r="D767" s="126" t="s">
        <v>367</v>
      </c>
      <c r="E767" s="136"/>
      <c r="F767" s="136"/>
      <c r="G767" s="136"/>
      <c r="H767" s="136"/>
      <c r="I767" s="136"/>
      <c r="J767" s="136"/>
      <c r="K767" s="136"/>
      <c r="L767" s="136"/>
      <c r="M767" s="136"/>
    </row>
    <row r="768" spans="1:13" ht="13.5" customHeight="1" x14ac:dyDescent="0.15">
      <c r="A768" s="134"/>
      <c r="B768" s="135"/>
      <c r="C768" s="136"/>
      <c r="D768" s="126" t="s">
        <v>367</v>
      </c>
      <c r="E768" s="136"/>
      <c r="F768" s="136"/>
      <c r="G768" s="136"/>
      <c r="H768" s="136"/>
      <c r="I768" s="136"/>
      <c r="J768" s="136"/>
      <c r="K768" s="136"/>
      <c r="L768" s="136"/>
      <c r="M768" s="136"/>
    </row>
    <row r="769" spans="1:13" ht="13.5" customHeight="1" x14ac:dyDescent="0.15">
      <c r="A769" s="134"/>
      <c r="B769" s="135"/>
      <c r="C769" s="136"/>
      <c r="D769" s="126" t="s">
        <v>367</v>
      </c>
      <c r="E769" s="136"/>
      <c r="F769" s="136"/>
      <c r="G769" s="136"/>
      <c r="H769" s="136"/>
      <c r="I769" s="136"/>
      <c r="J769" s="136"/>
      <c r="K769" s="136"/>
      <c r="L769" s="136"/>
      <c r="M769" s="136"/>
    </row>
    <row r="770" spans="1:13" ht="13.5" customHeight="1" x14ac:dyDescent="0.15">
      <c r="A770" s="134"/>
      <c r="B770" s="135"/>
      <c r="C770" s="136"/>
      <c r="D770" s="126" t="s">
        <v>367</v>
      </c>
      <c r="E770" s="136"/>
      <c r="F770" s="136"/>
      <c r="G770" s="136"/>
      <c r="H770" s="136"/>
      <c r="I770" s="136"/>
      <c r="J770" s="136"/>
      <c r="K770" s="136"/>
      <c r="L770" s="136"/>
      <c r="M770" s="136"/>
    </row>
    <row r="771" spans="1:13" ht="13.5" customHeight="1" x14ac:dyDescent="0.15">
      <c r="A771" s="134"/>
      <c r="B771" s="135"/>
      <c r="C771" s="136"/>
      <c r="D771" s="126" t="s">
        <v>367</v>
      </c>
      <c r="E771" s="136"/>
      <c r="F771" s="136"/>
      <c r="G771" s="136"/>
      <c r="H771" s="136"/>
      <c r="I771" s="136"/>
      <c r="J771" s="136"/>
      <c r="K771" s="136"/>
      <c r="L771" s="136"/>
      <c r="M771" s="136"/>
    </row>
    <row r="772" spans="1:13" ht="13.5" customHeight="1" x14ac:dyDescent="0.15">
      <c r="A772" s="134"/>
      <c r="B772" s="135"/>
      <c r="C772" s="136"/>
      <c r="D772" s="126" t="s">
        <v>367</v>
      </c>
      <c r="E772" s="136"/>
      <c r="F772" s="136"/>
      <c r="G772" s="136"/>
      <c r="H772" s="136"/>
      <c r="I772" s="136"/>
      <c r="J772" s="136"/>
      <c r="K772" s="136"/>
      <c r="L772" s="136"/>
      <c r="M772" s="136"/>
    </row>
    <row r="773" spans="1:13" ht="13.5" customHeight="1" x14ac:dyDescent="0.15">
      <c r="A773" s="134"/>
      <c r="B773" s="135"/>
      <c r="C773" s="136"/>
      <c r="D773" s="126" t="s">
        <v>367</v>
      </c>
      <c r="E773" s="136"/>
      <c r="F773" s="136"/>
      <c r="G773" s="136"/>
      <c r="H773" s="136"/>
      <c r="I773" s="136"/>
      <c r="J773" s="136"/>
      <c r="K773" s="136"/>
      <c r="L773" s="136"/>
      <c r="M773" s="136"/>
    </row>
    <row r="774" spans="1:13" ht="13.5" customHeight="1" x14ac:dyDescent="0.15">
      <c r="A774" s="134"/>
      <c r="B774" s="135"/>
      <c r="C774" s="136"/>
      <c r="D774" s="126" t="s">
        <v>367</v>
      </c>
      <c r="E774" s="136"/>
      <c r="F774" s="136"/>
      <c r="G774" s="136"/>
      <c r="H774" s="136"/>
      <c r="I774" s="136"/>
      <c r="J774" s="136"/>
      <c r="K774" s="136"/>
      <c r="L774" s="136"/>
      <c r="M774" s="136"/>
    </row>
    <row r="775" spans="1:13" ht="13.5" customHeight="1" x14ac:dyDescent="0.15">
      <c r="A775" s="134"/>
      <c r="B775" s="135"/>
      <c r="C775" s="136"/>
      <c r="D775" s="126" t="s">
        <v>367</v>
      </c>
      <c r="E775" s="136"/>
      <c r="F775" s="136"/>
      <c r="G775" s="136"/>
      <c r="H775" s="136"/>
      <c r="I775" s="136"/>
      <c r="J775" s="136"/>
      <c r="K775" s="136"/>
      <c r="L775" s="136"/>
      <c r="M775" s="136"/>
    </row>
    <row r="776" spans="1:13" ht="13.5" customHeight="1" x14ac:dyDescent="0.15">
      <c r="A776" s="134"/>
      <c r="B776" s="135"/>
      <c r="C776" s="136"/>
      <c r="D776" s="126" t="s">
        <v>367</v>
      </c>
      <c r="E776" s="136"/>
      <c r="F776" s="136"/>
      <c r="G776" s="136"/>
      <c r="H776" s="136"/>
      <c r="I776" s="136"/>
      <c r="J776" s="136"/>
      <c r="K776" s="136"/>
      <c r="L776" s="136"/>
      <c r="M776" s="136"/>
    </row>
    <row r="777" spans="1:13" ht="13.5" customHeight="1" x14ac:dyDescent="0.15">
      <c r="A777" s="134"/>
      <c r="B777" s="135"/>
      <c r="C777" s="136"/>
      <c r="D777" s="126" t="s">
        <v>367</v>
      </c>
      <c r="E777" s="136"/>
      <c r="F777" s="136"/>
      <c r="G777" s="136"/>
      <c r="H777" s="136"/>
      <c r="I777" s="136"/>
      <c r="J777" s="136"/>
      <c r="K777" s="136"/>
      <c r="L777" s="136"/>
      <c r="M777" s="136"/>
    </row>
    <row r="778" spans="1:13" ht="13.5" customHeight="1" x14ac:dyDescent="0.15">
      <c r="A778" s="134"/>
      <c r="B778" s="135"/>
      <c r="C778" s="136"/>
      <c r="D778" s="126" t="s">
        <v>367</v>
      </c>
      <c r="E778" s="136"/>
      <c r="F778" s="136"/>
      <c r="G778" s="136"/>
      <c r="H778" s="136"/>
      <c r="I778" s="136"/>
      <c r="J778" s="136"/>
      <c r="K778" s="136"/>
      <c r="L778" s="136"/>
      <c r="M778" s="136"/>
    </row>
    <row r="779" spans="1:13" ht="13.5" customHeight="1" x14ac:dyDescent="0.15">
      <c r="A779" s="134"/>
      <c r="B779" s="135"/>
      <c r="C779" s="136"/>
      <c r="D779" s="126" t="s">
        <v>367</v>
      </c>
      <c r="E779" s="136"/>
      <c r="F779" s="136"/>
      <c r="G779" s="136"/>
      <c r="H779" s="136"/>
      <c r="I779" s="136"/>
      <c r="J779" s="136"/>
      <c r="K779" s="136"/>
      <c r="L779" s="136"/>
      <c r="M779" s="136"/>
    </row>
    <row r="780" spans="1:13" ht="13.5" customHeight="1" x14ac:dyDescent="0.15">
      <c r="A780" s="134"/>
      <c r="B780" s="135"/>
      <c r="C780" s="136"/>
      <c r="D780" s="126" t="s">
        <v>367</v>
      </c>
      <c r="E780" s="136"/>
      <c r="F780" s="136"/>
      <c r="G780" s="136"/>
      <c r="H780" s="136"/>
      <c r="I780" s="136"/>
      <c r="J780" s="136"/>
      <c r="K780" s="136"/>
      <c r="L780" s="136"/>
      <c r="M780" s="136"/>
    </row>
    <row r="781" spans="1:13" ht="13.5" customHeight="1" x14ac:dyDescent="0.15">
      <c r="A781" s="134"/>
      <c r="B781" s="135"/>
      <c r="C781" s="136"/>
      <c r="D781" s="126" t="s">
        <v>367</v>
      </c>
      <c r="E781" s="136"/>
      <c r="F781" s="136"/>
      <c r="G781" s="136"/>
      <c r="H781" s="136"/>
      <c r="I781" s="136"/>
      <c r="J781" s="136"/>
      <c r="K781" s="136"/>
      <c r="L781" s="136"/>
      <c r="M781" s="136"/>
    </row>
    <row r="782" spans="1:13" ht="13.5" customHeight="1" x14ac:dyDescent="0.15">
      <c r="A782" s="134"/>
      <c r="B782" s="135"/>
      <c r="C782" s="136"/>
      <c r="D782" s="126" t="s">
        <v>367</v>
      </c>
      <c r="E782" s="136"/>
      <c r="F782" s="136"/>
      <c r="G782" s="136"/>
      <c r="H782" s="136"/>
      <c r="I782" s="136"/>
      <c r="J782" s="136"/>
      <c r="K782" s="136"/>
      <c r="L782" s="136"/>
      <c r="M782" s="136"/>
    </row>
    <row r="783" spans="1:13" ht="13.5" customHeight="1" x14ac:dyDescent="0.15">
      <c r="A783" s="134"/>
      <c r="B783" s="135"/>
      <c r="C783" s="136"/>
      <c r="D783" s="126" t="s">
        <v>367</v>
      </c>
      <c r="E783" s="136"/>
      <c r="F783" s="136"/>
      <c r="G783" s="136"/>
      <c r="H783" s="136"/>
      <c r="I783" s="136"/>
      <c r="J783" s="136"/>
      <c r="K783" s="136"/>
      <c r="L783" s="136"/>
      <c r="M783" s="136"/>
    </row>
    <row r="784" spans="1:13" ht="13.5" customHeight="1" x14ac:dyDescent="0.15">
      <c r="A784" s="134"/>
      <c r="B784" s="135"/>
      <c r="C784" s="136"/>
      <c r="D784" s="126" t="s">
        <v>367</v>
      </c>
      <c r="E784" s="136"/>
      <c r="F784" s="136"/>
      <c r="G784" s="136"/>
      <c r="H784" s="136"/>
      <c r="I784" s="136"/>
      <c r="J784" s="136"/>
      <c r="K784" s="136"/>
      <c r="L784" s="136"/>
      <c r="M784" s="136"/>
    </row>
    <row r="785" spans="1:13" ht="13.5" customHeight="1" x14ac:dyDescent="0.15">
      <c r="A785" s="134"/>
      <c r="B785" s="135"/>
      <c r="C785" s="136"/>
      <c r="D785" s="126" t="s">
        <v>367</v>
      </c>
      <c r="E785" s="136"/>
      <c r="F785" s="136"/>
      <c r="G785" s="136"/>
      <c r="H785" s="136"/>
      <c r="I785" s="136"/>
      <c r="J785" s="136"/>
      <c r="K785" s="136"/>
      <c r="L785" s="136"/>
      <c r="M785" s="136"/>
    </row>
    <row r="786" spans="1:13" ht="13.5" customHeight="1" x14ac:dyDescent="0.15">
      <c r="A786" s="134"/>
      <c r="B786" s="135"/>
      <c r="C786" s="136"/>
      <c r="D786" s="126" t="s">
        <v>367</v>
      </c>
      <c r="E786" s="136"/>
      <c r="F786" s="136"/>
      <c r="G786" s="136"/>
      <c r="H786" s="136"/>
      <c r="I786" s="136"/>
      <c r="J786" s="136"/>
      <c r="K786" s="136"/>
      <c r="L786" s="136"/>
      <c r="M786" s="136"/>
    </row>
    <row r="787" spans="1:13" ht="13.5" customHeight="1" x14ac:dyDescent="0.15">
      <c r="A787" s="134"/>
      <c r="B787" s="135"/>
      <c r="C787" s="136"/>
      <c r="D787" s="126" t="s">
        <v>367</v>
      </c>
      <c r="E787" s="136"/>
      <c r="F787" s="136"/>
      <c r="G787" s="136"/>
      <c r="H787" s="136"/>
      <c r="I787" s="136"/>
      <c r="J787" s="136"/>
      <c r="K787" s="136"/>
      <c r="L787" s="136"/>
      <c r="M787" s="136"/>
    </row>
    <row r="788" spans="1:13" ht="13.5" customHeight="1" x14ac:dyDescent="0.15">
      <c r="A788" s="134"/>
      <c r="B788" s="135"/>
      <c r="C788" s="136"/>
      <c r="D788" s="126" t="s">
        <v>367</v>
      </c>
      <c r="E788" s="136"/>
      <c r="F788" s="136"/>
      <c r="G788" s="136"/>
      <c r="H788" s="136"/>
      <c r="I788" s="136"/>
      <c r="J788" s="136"/>
      <c r="K788" s="136"/>
      <c r="L788" s="136"/>
      <c r="M788" s="136"/>
    </row>
    <row r="789" spans="1:13" ht="13.5" customHeight="1" x14ac:dyDescent="0.15">
      <c r="A789" s="134"/>
      <c r="B789" s="135"/>
      <c r="C789" s="136"/>
      <c r="D789" s="126" t="s">
        <v>367</v>
      </c>
      <c r="E789" s="136"/>
      <c r="F789" s="136"/>
      <c r="G789" s="136"/>
      <c r="H789" s="136"/>
      <c r="I789" s="136"/>
      <c r="J789" s="136"/>
      <c r="K789" s="136"/>
      <c r="L789" s="136"/>
      <c r="M789" s="136"/>
    </row>
    <row r="790" spans="1:13" ht="13.5" customHeight="1" x14ac:dyDescent="0.15">
      <c r="A790" s="134"/>
      <c r="B790" s="135"/>
      <c r="C790" s="136"/>
      <c r="D790" s="126" t="s">
        <v>367</v>
      </c>
      <c r="E790" s="136"/>
      <c r="F790" s="136"/>
      <c r="G790" s="136"/>
      <c r="H790" s="136"/>
      <c r="I790" s="136"/>
      <c r="J790" s="136"/>
      <c r="K790" s="136"/>
      <c r="L790" s="136"/>
      <c r="M790" s="136"/>
    </row>
    <row r="791" spans="1:13" ht="13.5" customHeight="1" x14ac:dyDescent="0.15">
      <c r="A791" s="134"/>
      <c r="B791" s="135"/>
      <c r="C791" s="136"/>
      <c r="D791" s="126" t="s">
        <v>367</v>
      </c>
      <c r="E791" s="136"/>
      <c r="F791" s="136"/>
      <c r="G791" s="136"/>
      <c r="H791" s="136"/>
      <c r="I791" s="136"/>
      <c r="J791" s="136"/>
      <c r="K791" s="136"/>
      <c r="L791" s="136"/>
      <c r="M791" s="136"/>
    </row>
    <row r="792" spans="1:13" ht="13.5" customHeight="1" x14ac:dyDescent="0.15">
      <c r="A792" s="134"/>
      <c r="B792" s="135"/>
      <c r="C792" s="136"/>
      <c r="D792" s="126" t="s">
        <v>367</v>
      </c>
      <c r="E792" s="136"/>
      <c r="F792" s="136"/>
      <c r="G792" s="136"/>
      <c r="H792" s="136"/>
      <c r="I792" s="136"/>
      <c r="J792" s="136"/>
      <c r="K792" s="136"/>
      <c r="L792" s="136"/>
      <c r="M792" s="136"/>
    </row>
    <row r="793" spans="1:13" ht="13.5" customHeight="1" x14ac:dyDescent="0.15">
      <c r="A793" s="134"/>
      <c r="B793" s="135"/>
      <c r="C793" s="136"/>
      <c r="D793" s="126" t="s">
        <v>367</v>
      </c>
      <c r="E793" s="136"/>
      <c r="F793" s="136"/>
      <c r="G793" s="136"/>
      <c r="H793" s="136"/>
      <c r="I793" s="136"/>
      <c r="J793" s="136"/>
      <c r="K793" s="136"/>
      <c r="L793" s="136"/>
      <c r="M793" s="136"/>
    </row>
    <row r="794" spans="1:13" ht="13.5" customHeight="1" x14ac:dyDescent="0.15">
      <c r="A794" s="134"/>
      <c r="B794" s="135"/>
      <c r="C794" s="136"/>
      <c r="D794" s="126" t="s">
        <v>367</v>
      </c>
      <c r="E794" s="136"/>
      <c r="F794" s="136"/>
      <c r="G794" s="136"/>
      <c r="H794" s="136"/>
      <c r="I794" s="136"/>
      <c r="J794" s="136"/>
      <c r="K794" s="136"/>
      <c r="L794" s="136"/>
      <c r="M794" s="136"/>
    </row>
    <row r="795" spans="1:13" ht="13.5" customHeight="1" x14ac:dyDescent="0.15">
      <c r="A795" s="134"/>
      <c r="B795" s="135"/>
      <c r="C795" s="136"/>
      <c r="D795" s="126" t="s">
        <v>367</v>
      </c>
      <c r="E795" s="136"/>
      <c r="F795" s="136"/>
      <c r="G795" s="136"/>
      <c r="H795" s="136"/>
      <c r="I795" s="136"/>
      <c r="J795" s="136"/>
      <c r="K795" s="136"/>
      <c r="L795" s="136"/>
      <c r="M795" s="136"/>
    </row>
    <row r="796" spans="1:13" ht="13.5" customHeight="1" x14ac:dyDescent="0.15">
      <c r="A796" s="134"/>
      <c r="B796" s="135"/>
      <c r="C796" s="136"/>
      <c r="D796" s="126" t="s">
        <v>367</v>
      </c>
      <c r="E796" s="136"/>
      <c r="F796" s="136"/>
      <c r="G796" s="136"/>
      <c r="H796" s="136"/>
      <c r="I796" s="136"/>
      <c r="J796" s="136"/>
      <c r="K796" s="136"/>
      <c r="L796" s="136"/>
      <c r="M796" s="136"/>
    </row>
    <row r="797" spans="1:13" ht="13.5" customHeight="1" x14ac:dyDescent="0.15">
      <c r="A797" s="134"/>
      <c r="B797" s="135"/>
      <c r="C797" s="136"/>
      <c r="D797" s="126" t="s">
        <v>367</v>
      </c>
      <c r="E797" s="136"/>
      <c r="F797" s="136"/>
      <c r="G797" s="136"/>
      <c r="H797" s="136"/>
      <c r="I797" s="136"/>
      <c r="J797" s="136"/>
      <c r="K797" s="136"/>
      <c r="L797" s="136"/>
      <c r="M797" s="136"/>
    </row>
    <row r="798" spans="1:13" ht="13.5" customHeight="1" x14ac:dyDescent="0.15">
      <c r="A798" s="134"/>
      <c r="B798" s="135"/>
      <c r="C798" s="136"/>
      <c r="D798" s="126" t="s">
        <v>367</v>
      </c>
      <c r="E798" s="136"/>
      <c r="F798" s="136"/>
      <c r="G798" s="136"/>
      <c r="H798" s="136"/>
      <c r="I798" s="136"/>
      <c r="J798" s="136"/>
      <c r="K798" s="136"/>
      <c r="L798" s="136"/>
      <c r="M798" s="136"/>
    </row>
    <row r="799" spans="1:13" ht="13.5" customHeight="1" x14ac:dyDescent="0.15">
      <c r="A799" s="134"/>
      <c r="B799" s="135"/>
      <c r="C799" s="136"/>
      <c r="D799" s="126" t="s">
        <v>367</v>
      </c>
      <c r="E799" s="136"/>
      <c r="F799" s="136"/>
      <c r="G799" s="136"/>
      <c r="H799" s="136"/>
      <c r="I799" s="136"/>
      <c r="J799" s="136"/>
      <c r="K799" s="136"/>
      <c r="L799" s="136"/>
      <c r="M799" s="136"/>
    </row>
    <row r="800" spans="1:13" ht="13.5" customHeight="1" x14ac:dyDescent="0.15">
      <c r="A800" s="134"/>
      <c r="B800" s="135"/>
      <c r="C800" s="136"/>
      <c r="D800" s="126" t="s">
        <v>367</v>
      </c>
      <c r="E800" s="136"/>
      <c r="F800" s="136"/>
      <c r="G800" s="136"/>
      <c r="H800" s="136"/>
      <c r="I800" s="136"/>
      <c r="J800" s="136"/>
      <c r="K800" s="136"/>
      <c r="L800" s="136"/>
      <c r="M800" s="136"/>
    </row>
    <row r="801" spans="1:13" ht="13.5" customHeight="1" x14ac:dyDescent="0.15">
      <c r="A801" s="134"/>
      <c r="B801" s="135"/>
      <c r="C801" s="136"/>
      <c r="D801" s="126" t="s">
        <v>367</v>
      </c>
      <c r="E801" s="136"/>
      <c r="F801" s="136"/>
      <c r="G801" s="136"/>
      <c r="H801" s="136"/>
      <c r="I801" s="136"/>
      <c r="J801" s="136"/>
      <c r="K801" s="136"/>
      <c r="L801" s="136"/>
      <c r="M801" s="136"/>
    </row>
    <row r="802" spans="1:13" ht="13.5" customHeight="1" x14ac:dyDescent="0.15">
      <c r="A802" s="134"/>
      <c r="B802" s="135"/>
      <c r="C802" s="136"/>
      <c r="D802" s="126" t="s">
        <v>367</v>
      </c>
      <c r="E802" s="136"/>
      <c r="F802" s="136"/>
      <c r="G802" s="136"/>
      <c r="H802" s="136"/>
      <c r="I802" s="136"/>
      <c r="J802" s="136"/>
      <c r="K802" s="136"/>
      <c r="L802" s="136"/>
      <c r="M802" s="136"/>
    </row>
    <row r="803" spans="1:13" ht="13.5" customHeight="1" x14ac:dyDescent="0.15">
      <c r="A803" s="134"/>
      <c r="B803" s="135"/>
      <c r="C803" s="136"/>
      <c r="D803" s="126" t="s">
        <v>367</v>
      </c>
      <c r="E803" s="136"/>
      <c r="F803" s="136"/>
      <c r="G803" s="136"/>
      <c r="H803" s="136"/>
      <c r="I803" s="136"/>
      <c r="J803" s="136"/>
      <c r="K803" s="136"/>
      <c r="L803" s="136"/>
      <c r="M803" s="136"/>
    </row>
    <row r="804" spans="1:13" ht="13.5" customHeight="1" x14ac:dyDescent="0.15">
      <c r="A804" s="134"/>
      <c r="B804" s="135"/>
      <c r="C804" s="136"/>
      <c r="D804" s="126" t="s">
        <v>367</v>
      </c>
      <c r="E804" s="136"/>
      <c r="F804" s="136"/>
      <c r="G804" s="136"/>
      <c r="H804" s="136"/>
      <c r="I804" s="136"/>
      <c r="J804" s="136"/>
      <c r="K804" s="136"/>
      <c r="L804" s="136"/>
      <c r="M804" s="136"/>
    </row>
    <row r="805" spans="1:13" ht="13.5" customHeight="1" x14ac:dyDescent="0.15">
      <c r="A805" s="134"/>
      <c r="B805" s="135"/>
      <c r="C805" s="136"/>
      <c r="D805" s="126" t="s">
        <v>367</v>
      </c>
      <c r="E805" s="136"/>
      <c r="F805" s="136"/>
      <c r="G805" s="136"/>
      <c r="H805" s="136"/>
      <c r="I805" s="136"/>
      <c r="J805" s="136"/>
      <c r="K805" s="136"/>
      <c r="L805" s="136"/>
      <c r="M805" s="136"/>
    </row>
    <row r="806" spans="1:13" ht="13.5" customHeight="1" x14ac:dyDescent="0.15">
      <c r="A806" s="134"/>
      <c r="B806" s="135"/>
      <c r="C806" s="136"/>
      <c r="D806" s="126" t="s">
        <v>367</v>
      </c>
      <c r="E806" s="136"/>
      <c r="F806" s="136"/>
      <c r="G806" s="136"/>
      <c r="H806" s="136"/>
      <c r="I806" s="136"/>
      <c r="J806" s="136"/>
      <c r="K806" s="136"/>
      <c r="L806" s="136"/>
      <c r="M806" s="136"/>
    </row>
    <row r="807" spans="1:13" ht="13.5" customHeight="1" x14ac:dyDescent="0.15">
      <c r="A807" s="134"/>
      <c r="B807" s="135"/>
      <c r="C807" s="136"/>
      <c r="D807" s="126" t="s">
        <v>367</v>
      </c>
      <c r="E807" s="136"/>
      <c r="F807" s="136"/>
      <c r="G807" s="136"/>
      <c r="H807" s="136"/>
      <c r="I807" s="136"/>
      <c r="J807" s="136"/>
      <c r="K807" s="136"/>
      <c r="L807" s="136"/>
      <c r="M807" s="136"/>
    </row>
    <row r="808" spans="1:13" ht="13.5" customHeight="1" x14ac:dyDescent="0.15">
      <c r="A808" s="134"/>
      <c r="B808" s="135"/>
      <c r="C808" s="136"/>
      <c r="D808" s="126" t="s">
        <v>367</v>
      </c>
      <c r="E808" s="136"/>
      <c r="F808" s="136"/>
      <c r="G808" s="136"/>
      <c r="H808" s="136"/>
      <c r="I808" s="136"/>
      <c r="J808" s="136"/>
      <c r="K808" s="136"/>
      <c r="L808" s="136"/>
      <c r="M808" s="136"/>
    </row>
    <row r="809" spans="1:13" ht="13.5" customHeight="1" x14ac:dyDescent="0.15">
      <c r="A809" s="134"/>
      <c r="B809" s="135"/>
      <c r="C809" s="136"/>
      <c r="D809" s="126" t="s">
        <v>367</v>
      </c>
      <c r="E809" s="136"/>
      <c r="F809" s="136"/>
      <c r="G809" s="136"/>
      <c r="H809" s="136"/>
      <c r="I809" s="136"/>
      <c r="J809" s="136"/>
      <c r="K809" s="136"/>
      <c r="L809" s="136"/>
      <c r="M809" s="136"/>
    </row>
    <row r="810" spans="1:13" ht="13.5" customHeight="1" x14ac:dyDescent="0.15">
      <c r="A810" s="134"/>
      <c r="B810" s="135"/>
      <c r="C810" s="136"/>
      <c r="D810" s="126" t="s">
        <v>367</v>
      </c>
      <c r="E810" s="136"/>
      <c r="F810" s="136"/>
      <c r="G810" s="136"/>
      <c r="H810" s="136"/>
      <c r="I810" s="136"/>
      <c r="J810" s="136"/>
      <c r="K810" s="136"/>
      <c r="L810" s="136"/>
      <c r="M810" s="136"/>
    </row>
    <row r="811" spans="1:13" ht="13.5" customHeight="1" x14ac:dyDescent="0.15">
      <c r="A811" s="134"/>
      <c r="B811" s="135"/>
      <c r="C811" s="136"/>
      <c r="D811" s="126" t="s">
        <v>367</v>
      </c>
      <c r="E811" s="136"/>
      <c r="F811" s="136"/>
      <c r="G811" s="136"/>
      <c r="H811" s="136"/>
      <c r="I811" s="136"/>
      <c r="J811" s="136"/>
      <c r="K811" s="136"/>
      <c r="L811" s="136"/>
      <c r="M811" s="136"/>
    </row>
    <row r="812" spans="1:13" ht="13.5" customHeight="1" x14ac:dyDescent="0.15">
      <c r="A812" s="134"/>
      <c r="B812" s="135"/>
      <c r="C812" s="136"/>
      <c r="D812" s="126" t="s">
        <v>367</v>
      </c>
      <c r="E812" s="136"/>
      <c r="F812" s="136"/>
      <c r="G812" s="136"/>
      <c r="H812" s="136"/>
      <c r="I812" s="136"/>
      <c r="J812" s="136"/>
      <c r="K812" s="136"/>
      <c r="L812" s="136"/>
      <c r="M812" s="136"/>
    </row>
    <row r="813" spans="1:13" ht="13.5" customHeight="1" x14ac:dyDescent="0.15">
      <c r="A813" s="134"/>
      <c r="B813" s="135"/>
      <c r="C813" s="136"/>
      <c r="D813" s="126" t="s">
        <v>367</v>
      </c>
      <c r="E813" s="136"/>
      <c r="F813" s="136"/>
      <c r="G813" s="136"/>
      <c r="H813" s="136"/>
      <c r="I813" s="136"/>
      <c r="J813" s="136"/>
      <c r="K813" s="136"/>
      <c r="L813" s="136"/>
      <c r="M813" s="136"/>
    </row>
    <row r="814" spans="1:13" ht="13.5" customHeight="1" x14ac:dyDescent="0.15">
      <c r="A814" s="134"/>
      <c r="B814" s="135"/>
      <c r="C814" s="136"/>
      <c r="D814" s="126" t="s">
        <v>367</v>
      </c>
      <c r="E814" s="136"/>
      <c r="F814" s="136"/>
      <c r="G814" s="136"/>
      <c r="H814" s="136"/>
      <c r="I814" s="136"/>
      <c r="J814" s="136"/>
      <c r="K814" s="136"/>
      <c r="L814" s="136"/>
      <c r="M814" s="136"/>
    </row>
    <row r="815" spans="1:13" ht="13.5" customHeight="1" x14ac:dyDescent="0.15">
      <c r="A815" s="134"/>
      <c r="B815" s="135"/>
      <c r="C815" s="136"/>
      <c r="D815" s="126" t="s">
        <v>367</v>
      </c>
      <c r="E815" s="136"/>
      <c r="F815" s="136"/>
      <c r="G815" s="136"/>
      <c r="H815" s="136"/>
      <c r="I815" s="136"/>
      <c r="J815" s="136"/>
      <c r="K815" s="136"/>
      <c r="L815" s="136"/>
      <c r="M815" s="136"/>
    </row>
    <row r="816" spans="1:13" ht="13.5" customHeight="1" x14ac:dyDescent="0.15">
      <c r="A816" s="134"/>
      <c r="B816" s="135"/>
      <c r="C816" s="136"/>
      <c r="D816" s="126" t="s">
        <v>367</v>
      </c>
      <c r="E816" s="136"/>
      <c r="F816" s="136"/>
      <c r="G816" s="136"/>
      <c r="H816" s="136"/>
      <c r="I816" s="136"/>
      <c r="J816" s="136"/>
      <c r="K816" s="136"/>
      <c r="L816" s="136"/>
      <c r="M816" s="136"/>
    </row>
    <row r="817" spans="1:13" ht="13.5" customHeight="1" x14ac:dyDescent="0.15">
      <c r="A817" s="134"/>
      <c r="B817" s="135"/>
      <c r="C817" s="136"/>
      <c r="D817" s="126" t="s">
        <v>367</v>
      </c>
      <c r="E817" s="136"/>
      <c r="F817" s="136"/>
      <c r="G817" s="136"/>
      <c r="H817" s="136"/>
      <c r="I817" s="136"/>
      <c r="J817" s="136"/>
      <c r="K817" s="136"/>
      <c r="L817" s="136"/>
      <c r="M817" s="136"/>
    </row>
    <row r="818" spans="1:13" ht="13.5" customHeight="1" x14ac:dyDescent="0.15">
      <c r="A818" s="134"/>
      <c r="B818" s="135"/>
      <c r="C818" s="136"/>
      <c r="D818" s="126" t="s">
        <v>367</v>
      </c>
      <c r="E818" s="136"/>
      <c r="F818" s="136"/>
      <c r="G818" s="136"/>
      <c r="H818" s="136"/>
      <c r="I818" s="136"/>
      <c r="J818" s="136"/>
      <c r="K818" s="136"/>
      <c r="L818" s="136"/>
      <c r="M818" s="136"/>
    </row>
    <row r="819" spans="1:13" ht="13.5" customHeight="1" x14ac:dyDescent="0.15">
      <c r="A819" s="134"/>
      <c r="B819" s="135"/>
      <c r="C819" s="136"/>
      <c r="D819" s="126" t="s">
        <v>367</v>
      </c>
      <c r="E819" s="136"/>
      <c r="F819" s="136"/>
      <c r="G819" s="136"/>
      <c r="H819" s="136"/>
      <c r="I819" s="136"/>
      <c r="J819" s="136"/>
      <c r="K819" s="136"/>
      <c r="L819" s="136"/>
      <c r="M819" s="136"/>
    </row>
    <row r="820" spans="1:13" ht="13.5" customHeight="1" x14ac:dyDescent="0.15">
      <c r="A820" s="134"/>
      <c r="B820" s="135"/>
      <c r="C820" s="136"/>
      <c r="D820" s="126" t="s">
        <v>367</v>
      </c>
      <c r="E820" s="136"/>
      <c r="F820" s="136"/>
      <c r="G820" s="136"/>
      <c r="H820" s="136"/>
      <c r="I820" s="136"/>
      <c r="J820" s="136"/>
      <c r="K820" s="136"/>
      <c r="L820" s="136"/>
      <c r="M820" s="136"/>
    </row>
    <row r="821" spans="1:13" ht="13.5" customHeight="1" x14ac:dyDescent="0.15">
      <c r="A821" s="134"/>
      <c r="B821" s="135"/>
      <c r="C821" s="136"/>
      <c r="D821" s="126" t="s">
        <v>367</v>
      </c>
      <c r="E821" s="136"/>
      <c r="F821" s="136"/>
      <c r="G821" s="136"/>
      <c r="H821" s="136"/>
      <c r="I821" s="136"/>
      <c r="J821" s="136"/>
      <c r="K821" s="136"/>
      <c r="L821" s="136"/>
      <c r="M821" s="136"/>
    </row>
    <row r="822" spans="1:13" ht="13.5" customHeight="1" x14ac:dyDescent="0.15">
      <c r="A822" s="134"/>
      <c r="B822" s="135"/>
      <c r="C822" s="136"/>
      <c r="D822" s="126" t="s">
        <v>367</v>
      </c>
      <c r="E822" s="136"/>
      <c r="F822" s="136"/>
      <c r="G822" s="136"/>
      <c r="H822" s="136"/>
      <c r="I822" s="136"/>
      <c r="J822" s="136"/>
      <c r="K822" s="136"/>
      <c r="L822" s="136"/>
      <c r="M822" s="136"/>
    </row>
    <row r="823" spans="1:13" ht="13.5" customHeight="1" x14ac:dyDescent="0.15">
      <c r="A823" s="134"/>
      <c r="B823" s="135"/>
      <c r="C823" s="136"/>
      <c r="D823" s="126" t="s">
        <v>367</v>
      </c>
      <c r="E823" s="136"/>
      <c r="F823" s="136"/>
      <c r="G823" s="136"/>
      <c r="H823" s="136"/>
      <c r="I823" s="136"/>
      <c r="J823" s="136"/>
      <c r="K823" s="136"/>
      <c r="L823" s="136"/>
      <c r="M823" s="136"/>
    </row>
    <row r="824" spans="1:13" ht="13.5" customHeight="1" x14ac:dyDescent="0.15">
      <c r="A824" s="134"/>
      <c r="B824" s="135"/>
      <c r="C824" s="136"/>
      <c r="D824" s="126" t="s">
        <v>367</v>
      </c>
      <c r="E824" s="136"/>
      <c r="F824" s="136"/>
      <c r="G824" s="136"/>
      <c r="H824" s="136"/>
      <c r="I824" s="136"/>
      <c r="J824" s="136"/>
      <c r="K824" s="136"/>
      <c r="L824" s="136"/>
      <c r="M824" s="136"/>
    </row>
    <row r="825" spans="1:13" ht="13.5" customHeight="1" x14ac:dyDescent="0.15">
      <c r="A825" s="134"/>
      <c r="B825" s="135"/>
      <c r="C825" s="136"/>
      <c r="D825" s="126" t="s">
        <v>367</v>
      </c>
      <c r="E825" s="136"/>
      <c r="F825" s="136"/>
      <c r="G825" s="136"/>
      <c r="H825" s="136"/>
      <c r="I825" s="136"/>
      <c r="J825" s="136"/>
      <c r="K825" s="136"/>
      <c r="L825" s="136"/>
      <c r="M825" s="136"/>
    </row>
    <row r="826" spans="1:13" ht="13.5" customHeight="1" x14ac:dyDescent="0.15">
      <c r="A826" s="134"/>
      <c r="B826" s="135"/>
      <c r="C826" s="136"/>
      <c r="D826" s="126" t="s">
        <v>367</v>
      </c>
      <c r="E826" s="136"/>
      <c r="F826" s="136"/>
      <c r="G826" s="136"/>
      <c r="H826" s="136"/>
      <c r="I826" s="136"/>
      <c r="J826" s="136"/>
      <c r="K826" s="136"/>
      <c r="L826" s="136"/>
      <c r="M826" s="136"/>
    </row>
    <row r="827" spans="1:13" ht="13.5" customHeight="1" x14ac:dyDescent="0.15">
      <c r="A827" s="134"/>
      <c r="B827" s="135"/>
      <c r="C827" s="136"/>
      <c r="D827" s="126" t="s">
        <v>367</v>
      </c>
      <c r="E827" s="136"/>
      <c r="F827" s="136"/>
      <c r="G827" s="136"/>
      <c r="H827" s="136"/>
      <c r="I827" s="136"/>
      <c r="J827" s="136"/>
      <c r="K827" s="136"/>
      <c r="L827" s="136"/>
      <c r="M827" s="136"/>
    </row>
    <row r="828" spans="1:13" ht="13.5" customHeight="1" x14ac:dyDescent="0.15">
      <c r="A828" s="134"/>
      <c r="B828" s="135"/>
      <c r="C828" s="136"/>
      <c r="D828" s="126" t="s">
        <v>367</v>
      </c>
      <c r="E828" s="136"/>
      <c r="F828" s="136"/>
      <c r="G828" s="136"/>
      <c r="H828" s="136"/>
      <c r="I828" s="136"/>
      <c r="J828" s="136"/>
      <c r="K828" s="136"/>
      <c r="L828" s="136"/>
      <c r="M828" s="136"/>
    </row>
    <row r="829" spans="1:13" ht="13.5" customHeight="1" x14ac:dyDescent="0.15">
      <c r="A829" s="134"/>
      <c r="B829" s="135"/>
      <c r="C829" s="136"/>
      <c r="D829" s="126" t="s">
        <v>367</v>
      </c>
      <c r="E829" s="136"/>
      <c r="F829" s="136"/>
      <c r="G829" s="136"/>
      <c r="H829" s="136"/>
      <c r="I829" s="136"/>
      <c r="J829" s="136"/>
      <c r="K829" s="136"/>
      <c r="L829" s="136"/>
      <c r="M829" s="136"/>
    </row>
    <row r="830" spans="1:13" ht="13.5" customHeight="1" x14ac:dyDescent="0.15">
      <c r="A830" s="134"/>
      <c r="B830" s="135"/>
      <c r="C830" s="136"/>
      <c r="D830" s="126" t="s">
        <v>367</v>
      </c>
      <c r="E830" s="136"/>
      <c r="F830" s="136"/>
      <c r="G830" s="136"/>
      <c r="H830" s="136"/>
      <c r="I830" s="136"/>
      <c r="J830" s="136"/>
      <c r="K830" s="136"/>
      <c r="L830" s="136"/>
      <c r="M830" s="136"/>
    </row>
    <row r="831" spans="1:13" ht="13.5" customHeight="1" x14ac:dyDescent="0.15">
      <c r="A831" s="134"/>
      <c r="B831" s="135"/>
      <c r="C831" s="136"/>
      <c r="D831" s="126" t="s">
        <v>367</v>
      </c>
      <c r="E831" s="136"/>
      <c r="F831" s="136"/>
      <c r="G831" s="136"/>
      <c r="H831" s="136"/>
      <c r="I831" s="136"/>
      <c r="J831" s="136"/>
      <c r="K831" s="136"/>
      <c r="L831" s="136"/>
      <c r="M831" s="136"/>
    </row>
    <row r="832" spans="1:13" ht="13.5" customHeight="1" x14ac:dyDescent="0.15">
      <c r="A832" s="134"/>
      <c r="B832" s="135"/>
      <c r="C832" s="136"/>
      <c r="D832" s="126" t="s">
        <v>367</v>
      </c>
      <c r="E832" s="136"/>
      <c r="F832" s="136"/>
      <c r="G832" s="136"/>
      <c r="H832" s="136"/>
      <c r="I832" s="136"/>
      <c r="J832" s="136"/>
      <c r="K832" s="136"/>
      <c r="L832" s="136"/>
      <c r="M832" s="136"/>
    </row>
    <row r="833" spans="1:13" ht="13.5" customHeight="1" x14ac:dyDescent="0.15">
      <c r="A833" s="134"/>
      <c r="B833" s="135"/>
      <c r="C833" s="136"/>
      <c r="D833" s="126" t="s">
        <v>367</v>
      </c>
      <c r="E833" s="136"/>
      <c r="F833" s="136"/>
      <c r="G833" s="136"/>
      <c r="H833" s="136"/>
      <c r="I833" s="136"/>
      <c r="J833" s="136"/>
      <c r="K833" s="136"/>
      <c r="L833" s="136"/>
      <c r="M833" s="136"/>
    </row>
    <row r="834" spans="1:13" ht="13.5" customHeight="1" x14ac:dyDescent="0.15">
      <c r="A834" s="134"/>
      <c r="B834" s="135"/>
      <c r="C834" s="136"/>
      <c r="D834" s="126" t="s">
        <v>367</v>
      </c>
      <c r="E834" s="136"/>
      <c r="F834" s="136"/>
      <c r="G834" s="136"/>
      <c r="H834" s="136"/>
      <c r="I834" s="136"/>
      <c r="J834" s="136"/>
      <c r="K834" s="136"/>
      <c r="L834" s="136"/>
      <c r="M834" s="136"/>
    </row>
    <row r="835" spans="1:13" ht="13.5" customHeight="1" x14ac:dyDescent="0.15">
      <c r="A835" s="134"/>
      <c r="B835" s="135"/>
      <c r="C835" s="136"/>
      <c r="D835" s="126" t="s">
        <v>367</v>
      </c>
      <c r="E835" s="136"/>
      <c r="F835" s="136"/>
      <c r="G835" s="136"/>
      <c r="H835" s="136"/>
      <c r="I835" s="136"/>
      <c r="J835" s="136"/>
      <c r="K835" s="136"/>
      <c r="L835" s="136"/>
      <c r="M835" s="136"/>
    </row>
    <row r="836" spans="1:13" ht="13.5" customHeight="1" x14ac:dyDescent="0.15">
      <c r="A836" s="134"/>
      <c r="B836" s="135"/>
      <c r="C836" s="136"/>
      <c r="D836" s="126" t="s">
        <v>367</v>
      </c>
      <c r="E836" s="136"/>
      <c r="F836" s="136"/>
      <c r="G836" s="136"/>
      <c r="H836" s="136"/>
      <c r="I836" s="136"/>
      <c r="J836" s="136"/>
      <c r="K836" s="136"/>
      <c r="L836" s="136"/>
      <c r="M836" s="136"/>
    </row>
    <row r="837" spans="1:13" ht="13.5" customHeight="1" x14ac:dyDescent="0.15">
      <c r="A837" s="134"/>
      <c r="B837" s="135"/>
      <c r="C837" s="136"/>
      <c r="D837" s="126" t="s">
        <v>367</v>
      </c>
      <c r="E837" s="136"/>
      <c r="F837" s="136"/>
      <c r="G837" s="136"/>
      <c r="H837" s="136"/>
      <c r="I837" s="136"/>
      <c r="J837" s="136"/>
      <c r="K837" s="136"/>
      <c r="L837" s="136"/>
      <c r="M837" s="136"/>
    </row>
    <row r="838" spans="1:13" ht="13.5" customHeight="1" x14ac:dyDescent="0.15">
      <c r="A838" s="134"/>
      <c r="B838" s="135"/>
      <c r="C838" s="136"/>
      <c r="D838" s="126" t="s">
        <v>367</v>
      </c>
      <c r="E838" s="136"/>
      <c r="F838" s="136"/>
      <c r="G838" s="136"/>
      <c r="H838" s="136"/>
      <c r="I838" s="136"/>
      <c r="J838" s="136"/>
      <c r="K838" s="136"/>
      <c r="L838" s="136"/>
      <c r="M838" s="136"/>
    </row>
    <row r="839" spans="1:13" ht="13.5" customHeight="1" x14ac:dyDescent="0.15">
      <c r="A839" s="134"/>
      <c r="B839" s="135"/>
      <c r="C839" s="136"/>
      <c r="D839" s="126" t="s">
        <v>367</v>
      </c>
      <c r="E839" s="136"/>
      <c r="F839" s="136"/>
      <c r="G839" s="136"/>
      <c r="H839" s="136"/>
      <c r="I839" s="136"/>
      <c r="J839" s="136"/>
      <c r="K839" s="136"/>
      <c r="L839" s="136"/>
      <c r="M839" s="136"/>
    </row>
    <row r="840" spans="1:13" ht="13.5" customHeight="1" x14ac:dyDescent="0.15">
      <c r="A840" s="134"/>
      <c r="B840" s="135"/>
      <c r="C840" s="136"/>
      <c r="D840" s="126" t="s">
        <v>367</v>
      </c>
      <c r="E840" s="136"/>
      <c r="F840" s="136"/>
      <c r="G840" s="136"/>
      <c r="H840" s="136"/>
      <c r="I840" s="136"/>
      <c r="J840" s="136"/>
      <c r="K840" s="136"/>
      <c r="L840" s="136"/>
      <c r="M840" s="136"/>
    </row>
    <row r="841" spans="1:13" ht="13.5" customHeight="1" x14ac:dyDescent="0.15">
      <c r="A841" s="134"/>
      <c r="B841" s="135"/>
      <c r="C841" s="136"/>
      <c r="D841" s="126" t="s">
        <v>367</v>
      </c>
      <c r="E841" s="136"/>
      <c r="F841" s="136"/>
      <c r="G841" s="136"/>
      <c r="H841" s="136"/>
      <c r="I841" s="136"/>
      <c r="J841" s="136"/>
      <c r="K841" s="136"/>
      <c r="L841" s="136"/>
      <c r="M841" s="136"/>
    </row>
    <row r="842" spans="1:13" ht="13.5" customHeight="1" x14ac:dyDescent="0.15">
      <c r="A842" s="134"/>
      <c r="B842" s="135"/>
      <c r="C842" s="136"/>
      <c r="D842" s="126" t="s">
        <v>367</v>
      </c>
      <c r="E842" s="136"/>
      <c r="F842" s="136"/>
      <c r="G842" s="136"/>
      <c r="H842" s="136"/>
      <c r="I842" s="136"/>
      <c r="J842" s="136"/>
      <c r="K842" s="136"/>
      <c r="L842" s="136"/>
      <c r="M842" s="136"/>
    </row>
    <row r="843" spans="1:13" ht="13.5" customHeight="1" x14ac:dyDescent="0.15">
      <c r="A843" s="134"/>
      <c r="B843" s="135"/>
      <c r="C843" s="136"/>
      <c r="D843" s="126" t="s">
        <v>367</v>
      </c>
      <c r="E843" s="136"/>
      <c r="F843" s="136"/>
      <c r="G843" s="136"/>
      <c r="H843" s="136"/>
      <c r="I843" s="136"/>
      <c r="J843" s="136"/>
      <c r="K843" s="136"/>
      <c r="L843" s="136"/>
      <c r="M843" s="136"/>
    </row>
    <row r="844" spans="1:13" ht="13.5" customHeight="1" x14ac:dyDescent="0.15">
      <c r="A844" s="134"/>
      <c r="B844" s="135"/>
      <c r="C844" s="136"/>
      <c r="D844" s="126" t="s">
        <v>367</v>
      </c>
      <c r="E844" s="136"/>
      <c r="F844" s="136"/>
      <c r="G844" s="136"/>
      <c r="H844" s="136"/>
      <c r="I844" s="136"/>
      <c r="J844" s="136"/>
      <c r="K844" s="136"/>
      <c r="L844" s="136"/>
      <c r="M844" s="136"/>
    </row>
    <row r="845" spans="1:13" ht="13.5" customHeight="1" x14ac:dyDescent="0.15">
      <c r="A845" s="134"/>
      <c r="B845" s="135"/>
      <c r="C845" s="136"/>
      <c r="D845" s="126" t="s">
        <v>367</v>
      </c>
      <c r="E845" s="136"/>
      <c r="F845" s="136"/>
      <c r="G845" s="136"/>
      <c r="H845" s="136"/>
      <c r="I845" s="136"/>
      <c r="J845" s="136"/>
      <c r="K845" s="136"/>
      <c r="L845" s="136"/>
      <c r="M845" s="136"/>
    </row>
    <row r="846" spans="1:13" ht="13.5" customHeight="1" x14ac:dyDescent="0.15">
      <c r="A846" s="134"/>
      <c r="B846" s="135"/>
      <c r="C846" s="136"/>
      <c r="D846" s="126" t="s">
        <v>367</v>
      </c>
      <c r="E846" s="136"/>
      <c r="F846" s="136"/>
      <c r="G846" s="136"/>
      <c r="H846" s="136"/>
      <c r="I846" s="136"/>
      <c r="J846" s="136"/>
      <c r="K846" s="136"/>
      <c r="L846" s="136"/>
      <c r="M846" s="136"/>
    </row>
    <row r="847" spans="1:13" ht="13.5" customHeight="1" x14ac:dyDescent="0.15">
      <c r="A847" s="134"/>
      <c r="B847" s="135"/>
      <c r="C847" s="136"/>
      <c r="D847" s="126" t="s">
        <v>367</v>
      </c>
      <c r="E847" s="136"/>
      <c r="F847" s="136"/>
      <c r="G847" s="136"/>
      <c r="H847" s="136"/>
      <c r="I847" s="136"/>
      <c r="J847" s="136"/>
      <c r="K847" s="136"/>
      <c r="L847" s="136"/>
      <c r="M847" s="136"/>
    </row>
    <row r="848" spans="1:13" ht="13.5" customHeight="1" x14ac:dyDescent="0.15">
      <c r="A848" s="134"/>
      <c r="B848" s="135"/>
      <c r="C848" s="136"/>
      <c r="D848" s="126" t="s">
        <v>367</v>
      </c>
      <c r="E848" s="136"/>
      <c r="F848" s="136"/>
      <c r="G848" s="136"/>
      <c r="H848" s="136"/>
      <c r="I848" s="136"/>
      <c r="J848" s="136"/>
      <c r="K848" s="136"/>
      <c r="L848" s="136"/>
      <c r="M848" s="136"/>
    </row>
    <row r="849" spans="1:13" ht="13.5" customHeight="1" x14ac:dyDescent="0.15">
      <c r="A849" s="134"/>
      <c r="B849" s="135"/>
      <c r="C849" s="136"/>
      <c r="D849" s="126" t="s">
        <v>367</v>
      </c>
      <c r="E849" s="136"/>
      <c r="F849" s="136"/>
      <c r="G849" s="136"/>
      <c r="H849" s="136"/>
      <c r="I849" s="136"/>
      <c r="J849" s="136"/>
      <c r="K849" s="136"/>
      <c r="L849" s="136"/>
      <c r="M849" s="136"/>
    </row>
    <row r="850" spans="1:13" ht="13.5" customHeight="1" x14ac:dyDescent="0.15">
      <c r="A850" s="134"/>
      <c r="B850" s="135"/>
      <c r="C850" s="136"/>
      <c r="D850" s="126" t="s">
        <v>367</v>
      </c>
      <c r="E850" s="136"/>
      <c r="F850" s="136"/>
      <c r="G850" s="136"/>
      <c r="H850" s="136"/>
      <c r="I850" s="136"/>
      <c r="J850" s="136"/>
      <c r="K850" s="136"/>
      <c r="L850" s="136"/>
      <c r="M850" s="136"/>
    </row>
    <row r="851" spans="1:13" ht="13.5" customHeight="1" x14ac:dyDescent="0.15">
      <c r="A851" s="134"/>
      <c r="B851" s="135"/>
      <c r="C851" s="136"/>
      <c r="D851" s="126" t="s">
        <v>367</v>
      </c>
      <c r="E851" s="136"/>
      <c r="F851" s="136"/>
      <c r="G851" s="136"/>
      <c r="H851" s="136"/>
      <c r="I851" s="136"/>
      <c r="J851" s="136"/>
      <c r="K851" s="136"/>
      <c r="L851" s="136"/>
      <c r="M851" s="136"/>
    </row>
    <row r="852" spans="1:13" ht="13.5" customHeight="1" x14ac:dyDescent="0.15">
      <c r="A852" s="134"/>
      <c r="B852" s="135"/>
      <c r="C852" s="136"/>
      <c r="D852" s="126" t="s">
        <v>367</v>
      </c>
      <c r="E852" s="136"/>
      <c r="F852" s="136"/>
      <c r="G852" s="136"/>
      <c r="H852" s="136"/>
      <c r="I852" s="136"/>
      <c r="J852" s="136"/>
      <c r="K852" s="136"/>
      <c r="L852" s="136"/>
      <c r="M852" s="136"/>
    </row>
    <row r="853" spans="1:13" ht="13.5" customHeight="1" x14ac:dyDescent="0.15">
      <c r="A853" s="134"/>
      <c r="B853" s="135"/>
      <c r="C853" s="136"/>
      <c r="D853" s="126" t="s">
        <v>367</v>
      </c>
      <c r="E853" s="136"/>
      <c r="F853" s="136"/>
      <c r="G853" s="136"/>
      <c r="H853" s="136"/>
      <c r="I853" s="136"/>
      <c r="J853" s="136"/>
      <c r="K853" s="136"/>
      <c r="L853" s="136"/>
      <c r="M853" s="136"/>
    </row>
    <row r="854" spans="1:13" ht="13.5" customHeight="1" x14ac:dyDescent="0.15">
      <c r="A854" s="134"/>
      <c r="B854" s="135"/>
      <c r="C854" s="136"/>
      <c r="D854" s="126" t="s">
        <v>367</v>
      </c>
      <c r="E854" s="136"/>
      <c r="F854" s="136"/>
      <c r="G854" s="136"/>
      <c r="H854" s="136"/>
      <c r="I854" s="136"/>
      <c r="J854" s="136"/>
      <c r="K854" s="136"/>
      <c r="L854" s="136"/>
      <c r="M854" s="136"/>
    </row>
    <row r="855" spans="1:13" ht="13.5" customHeight="1" x14ac:dyDescent="0.15">
      <c r="A855" s="134"/>
      <c r="B855" s="135"/>
      <c r="C855" s="136"/>
      <c r="D855" s="126" t="s">
        <v>367</v>
      </c>
      <c r="E855" s="136"/>
      <c r="F855" s="136"/>
      <c r="G855" s="136"/>
      <c r="H855" s="136"/>
      <c r="I855" s="136"/>
      <c r="J855" s="136"/>
      <c r="K855" s="136"/>
      <c r="L855" s="136"/>
      <c r="M855" s="136"/>
    </row>
    <row r="856" spans="1:13" ht="13.5" customHeight="1" x14ac:dyDescent="0.15">
      <c r="A856" s="134"/>
      <c r="B856" s="135"/>
      <c r="C856" s="136"/>
      <c r="D856" s="126" t="s">
        <v>367</v>
      </c>
      <c r="E856" s="136"/>
      <c r="F856" s="136"/>
      <c r="G856" s="136"/>
      <c r="H856" s="136"/>
      <c r="I856" s="136"/>
      <c r="J856" s="136"/>
      <c r="K856" s="136"/>
      <c r="L856" s="136"/>
      <c r="M856" s="136"/>
    </row>
    <row r="857" spans="1:13" ht="13.5" customHeight="1" x14ac:dyDescent="0.15">
      <c r="A857" s="134"/>
      <c r="B857" s="135"/>
      <c r="C857" s="136"/>
      <c r="D857" s="126" t="s">
        <v>367</v>
      </c>
      <c r="E857" s="136"/>
      <c r="F857" s="136"/>
      <c r="G857" s="136"/>
      <c r="H857" s="136"/>
      <c r="I857" s="136"/>
      <c r="J857" s="136"/>
      <c r="K857" s="136"/>
      <c r="L857" s="136"/>
      <c r="M857" s="136"/>
    </row>
    <row r="858" spans="1:13" ht="13.5" customHeight="1" x14ac:dyDescent="0.15">
      <c r="A858" s="134"/>
      <c r="B858" s="135"/>
      <c r="C858" s="136"/>
      <c r="D858" s="126" t="s">
        <v>367</v>
      </c>
      <c r="E858" s="136"/>
      <c r="F858" s="136"/>
      <c r="G858" s="136"/>
      <c r="H858" s="136"/>
      <c r="I858" s="136"/>
      <c r="J858" s="136"/>
      <c r="K858" s="136"/>
      <c r="L858" s="136"/>
      <c r="M858" s="136"/>
    </row>
    <row r="859" spans="1:13" ht="13.5" customHeight="1" x14ac:dyDescent="0.15">
      <c r="A859" s="134"/>
      <c r="B859" s="135"/>
      <c r="C859" s="136"/>
      <c r="D859" s="126" t="s">
        <v>367</v>
      </c>
      <c r="E859" s="136"/>
      <c r="F859" s="136"/>
      <c r="G859" s="136"/>
      <c r="H859" s="136"/>
      <c r="I859" s="136"/>
      <c r="J859" s="136"/>
      <c r="K859" s="136"/>
      <c r="L859" s="136"/>
      <c r="M859" s="136"/>
    </row>
    <row r="860" spans="1:13" ht="13.5" customHeight="1" x14ac:dyDescent="0.15">
      <c r="A860" s="134"/>
      <c r="B860" s="135"/>
      <c r="C860" s="136"/>
      <c r="D860" s="126" t="s">
        <v>367</v>
      </c>
      <c r="E860" s="136"/>
      <c r="F860" s="136"/>
      <c r="G860" s="136"/>
      <c r="H860" s="136"/>
      <c r="I860" s="136"/>
      <c r="J860" s="136"/>
      <c r="K860" s="136"/>
      <c r="L860" s="136"/>
      <c r="M860" s="136"/>
    </row>
    <row r="861" spans="1:13" ht="13.5" customHeight="1" x14ac:dyDescent="0.15">
      <c r="A861" s="134"/>
      <c r="B861" s="135"/>
      <c r="C861" s="136"/>
      <c r="D861" s="126" t="s">
        <v>367</v>
      </c>
      <c r="E861" s="136"/>
      <c r="F861" s="136"/>
      <c r="G861" s="136"/>
      <c r="H861" s="136"/>
      <c r="I861" s="136"/>
      <c r="J861" s="136"/>
      <c r="K861" s="136"/>
      <c r="L861" s="136"/>
      <c r="M861" s="136"/>
    </row>
    <row r="862" spans="1:13" ht="13.5" customHeight="1" x14ac:dyDescent="0.15">
      <c r="A862" s="134"/>
      <c r="B862" s="135"/>
      <c r="C862" s="136"/>
      <c r="D862" s="126" t="s">
        <v>367</v>
      </c>
      <c r="E862" s="136"/>
      <c r="F862" s="136"/>
      <c r="G862" s="136"/>
      <c r="H862" s="136"/>
      <c r="I862" s="136"/>
      <c r="J862" s="136"/>
      <c r="K862" s="136"/>
      <c r="L862" s="136"/>
      <c r="M862" s="136"/>
    </row>
    <row r="863" spans="1:13" ht="13.5" customHeight="1" x14ac:dyDescent="0.15">
      <c r="A863" s="134"/>
      <c r="B863" s="135"/>
      <c r="C863" s="136"/>
      <c r="D863" s="126" t="s">
        <v>367</v>
      </c>
      <c r="E863" s="136"/>
      <c r="F863" s="136"/>
      <c r="G863" s="136"/>
      <c r="H863" s="136"/>
      <c r="I863" s="136"/>
      <c r="J863" s="136"/>
      <c r="K863" s="136"/>
      <c r="L863" s="136"/>
      <c r="M863" s="136"/>
    </row>
    <row r="864" spans="1:13" ht="13.5" customHeight="1" x14ac:dyDescent="0.15">
      <c r="A864" s="134"/>
      <c r="B864" s="135"/>
      <c r="C864" s="136"/>
      <c r="D864" s="126" t="s">
        <v>367</v>
      </c>
      <c r="E864" s="136"/>
      <c r="F864" s="136"/>
      <c r="G864" s="136"/>
      <c r="H864" s="136"/>
      <c r="I864" s="136"/>
      <c r="J864" s="136"/>
      <c r="K864" s="136"/>
      <c r="L864" s="136"/>
      <c r="M864" s="136"/>
    </row>
    <row r="865" spans="1:13" ht="13.5" customHeight="1" x14ac:dyDescent="0.15">
      <c r="A865" s="134"/>
      <c r="B865" s="135"/>
      <c r="C865" s="136"/>
      <c r="D865" s="126" t="s">
        <v>367</v>
      </c>
      <c r="E865" s="136"/>
      <c r="F865" s="136"/>
      <c r="G865" s="136"/>
      <c r="H865" s="136"/>
      <c r="I865" s="136"/>
      <c r="J865" s="136"/>
      <c r="K865" s="136"/>
      <c r="L865" s="136"/>
      <c r="M865" s="136"/>
    </row>
    <row r="866" spans="1:13" ht="13.5" customHeight="1" x14ac:dyDescent="0.15">
      <c r="A866" s="134"/>
      <c r="B866" s="135"/>
      <c r="C866" s="136"/>
      <c r="D866" s="126" t="s">
        <v>367</v>
      </c>
      <c r="E866" s="136"/>
      <c r="F866" s="136"/>
      <c r="G866" s="136"/>
      <c r="H866" s="136"/>
      <c r="I866" s="136"/>
      <c r="J866" s="136"/>
      <c r="K866" s="136"/>
      <c r="L866" s="136"/>
      <c r="M866" s="136"/>
    </row>
    <row r="867" spans="1:13" ht="13.5" customHeight="1" x14ac:dyDescent="0.15">
      <c r="A867" s="134"/>
      <c r="B867" s="135"/>
      <c r="C867" s="136"/>
      <c r="D867" s="126" t="s">
        <v>367</v>
      </c>
      <c r="E867" s="136"/>
      <c r="F867" s="136"/>
      <c r="G867" s="136"/>
      <c r="H867" s="136"/>
      <c r="I867" s="136"/>
      <c r="J867" s="136"/>
      <c r="K867" s="136"/>
      <c r="L867" s="136"/>
      <c r="M867" s="136"/>
    </row>
    <row r="868" spans="1:13" ht="13.5" customHeight="1" x14ac:dyDescent="0.15">
      <c r="A868" s="134"/>
      <c r="B868" s="135"/>
      <c r="C868" s="136"/>
      <c r="D868" s="126" t="s">
        <v>367</v>
      </c>
      <c r="E868" s="136"/>
      <c r="F868" s="136"/>
      <c r="G868" s="136"/>
      <c r="H868" s="136"/>
      <c r="I868" s="136"/>
      <c r="J868" s="136"/>
      <c r="K868" s="136"/>
      <c r="L868" s="136"/>
      <c r="M868" s="136"/>
    </row>
    <row r="869" spans="1:13" ht="13.5" customHeight="1" x14ac:dyDescent="0.15">
      <c r="A869" s="134"/>
      <c r="B869" s="135"/>
      <c r="C869" s="136"/>
      <c r="D869" s="126" t="s">
        <v>367</v>
      </c>
      <c r="E869" s="136"/>
      <c r="F869" s="136"/>
      <c r="G869" s="136"/>
      <c r="H869" s="136"/>
      <c r="I869" s="136"/>
      <c r="J869" s="136"/>
      <c r="K869" s="136"/>
      <c r="L869" s="136"/>
      <c r="M869" s="136"/>
    </row>
    <row r="870" spans="1:13" ht="13.5" customHeight="1" x14ac:dyDescent="0.15">
      <c r="A870" s="134"/>
      <c r="B870" s="135"/>
      <c r="C870" s="136"/>
      <c r="D870" s="126" t="s">
        <v>367</v>
      </c>
      <c r="E870" s="136"/>
      <c r="F870" s="136"/>
      <c r="G870" s="136"/>
      <c r="H870" s="136"/>
      <c r="I870" s="136"/>
      <c r="J870" s="136"/>
      <c r="K870" s="136"/>
      <c r="L870" s="136"/>
      <c r="M870" s="136"/>
    </row>
    <row r="871" spans="1:13" ht="13.5" customHeight="1" x14ac:dyDescent="0.15">
      <c r="A871" s="134"/>
      <c r="B871" s="135"/>
      <c r="C871" s="136"/>
      <c r="D871" s="126" t="s">
        <v>367</v>
      </c>
      <c r="E871" s="136"/>
      <c r="F871" s="136"/>
      <c r="G871" s="136"/>
      <c r="H871" s="136"/>
      <c r="I871" s="136"/>
      <c r="J871" s="136"/>
      <c r="K871" s="136"/>
      <c r="L871" s="136"/>
      <c r="M871" s="136"/>
    </row>
    <row r="872" spans="1:13" ht="13.5" customHeight="1" x14ac:dyDescent="0.15">
      <c r="A872" s="134"/>
      <c r="B872" s="135"/>
      <c r="C872" s="136"/>
      <c r="D872" s="126" t="s">
        <v>367</v>
      </c>
      <c r="E872" s="136"/>
      <c r="F872" s="136"/>
      <c r="G872" s="136"/>
      <c r="H872" s="136"/>
      <c r="I872" s="136"/>
      <c r="J872" s="136"/>
      <c r="K872" s="136"/>
      <c r="L872" s="136"/>
      <c r="M872" s="136"/>
    </row>
    <row r="873" spans="1:13" ht="13.5" customHeight="1" x14ac:dyDescent="0.15">
      <c r="A873" s="134"/>
      <c r="B873" s="135"/>
      <c r="C873" s="136"/>
      <c r="D873" s="126" t="s">
        <v>367</v>
      </c>
      <c r="E873" s="136"/>
      <c r="F873" s="136"/>
      <c r="G873" s="136"/>
      <c r="H873" s="136"/>
      <c r="I873" s="136"/>
      <c r="J873" s="136"/>
      <c r="K873" s="136"/>
      <c r="L873" s="136"/>
      <c r="M873" s="136"/>
    </row>
    <row r="874" spans="1:13" ht="13.5" customHeight="1" x14ac:dyDescent="0.15">
      <c r="A874" s="134"/>
      <c r="B874" s="135"/>
      <c r="C874" s="136"/>
      <c r="D874" s="126" t="s">
        <v>367</v>
      </c>
      <c r="E874" s="136"/>
      <c r="F874" s="136"/>
      <c r="G874" s="136"/>
      <c r="H874" s="136"/>
      <c r="I874" s="136"/>
      <c r="J874" s="136"/>
      <c r="K874" s="136"/>
      <c r="L874" s="136"/>
      <c r="M874" s="136"/>
    </row>
    <row r="875" spans="1:13" ht="13.5" customHeight="1" x14ac:dyDescent="0.15">
      <c r="A875" s="134"/>
      <c r="B875" s="135"/>
      <c r="C875" s="136"/>
      <c r="D875" s="126" t="s">
        <v>367</v>
      </c>
      <c r="E875" s="136"/>
      <c r="F875" s="136"/>
      <c r="G875" s="136"/>
      <c r="H875" s="136"/>
      <c r="I875" s="136"/>
      <c r="J875" s="136"/>
      <c r="K875" s="136"/>
      <c r="L875" s="136"/>
      <c r="M875" s="136"/>
    </row>
    <row r="876" spans="1:13" ht="13.5" customHeight="1" x14ac:dyDescent="0.15">
      <c r="A876" s="134"/>
      <c r="B876" s="135"/>
      <c r="C876" s="136"/>
      <c r="D876" s="126" t="s">
        <v>367</v>
      </c>
      <c r="E876" s="136"/>
      <c r="F876" s="136"/>
      <c r="G876" s="136"/>
      <c r="H876" s="136"/>
      <c r="I876" s="136"/>
      <c r="J876" s="136"/>
      <c r="K876" s="136"/>
      <c r="L876" s="136"/>
      <c r="M876" s="136"/>
    </row>
    <row r="877" spans="1:13" ht="13.5" customHeight="1" x14ac:dyDescent="0.15">
      <c r="A877" s="134"/>
      <c r="B877" s="135"/>
      <c r="C877" s="136"/>
      <c r="D877" s="126" t="s">
        <v>367</v>
      </c>
      <c r="E877" s="136"/>
      <c r="F877" s="136"/>
      <c r="G877" s="136"/>
      <c r="H877" s="136"/>
      <c r="I877" s="136"/>
      <c r="J877" s="136"/>
      <c r="K877" s="136"/>
      <c r="L877" s="136"/>
      <c r="M877" s="136"/>
    </row>
    <row r="878" spans="1:13" ht="13.5" customHeight="1" x14ac:dyDescent="0.15">
      <c r="A878" s="134"/>
      <c r="B878" s="135"/>
      <c r="C878" s="136"/>
      <c r="D878" s="126" t="s">
        <v>367</v>
      </c>
      <c r="E878" s="136"/>
      <c r="F878" s="136"/>
      <c r="G878" s="136"/>
      <c r="H878" s="136"/>
      <c r="I878" s="136"/>
      <c r="J878" s="136"/>
      <c r="K878" s="136"/>
      <c r="L878" s="136"/>
      <c r="M878" s="136"/>
    </row>
    <row r="879" spans="1:13" ht="13.5" customHeight="1" x14ac:dyDescent="0.15">
      <c r="A879" s="134"/>
      <c r="B879" s="135"/>
      <c r="C879" s="136"/>
      <c r="D879" s="126" t="s">
        <v>367</v>
      </c>
      <c r="E879" s="136"/>
      <c r="F879" s="136"/>
      <c r="G879" s="136"/>
      <c r="H879" s="136"/>
      <c r="I879" s="136"/>
      <c r="J879" s="136"/>
      <c r="K879" s="136"/>
      <c r="L879" s="136"/>
      <c r="M879" s="136"/>
    </row>
    <row r="880" spans="1:13" ht="13.5" customHeight="1" x14ac:dyDescent="0.15">
      <c r="A880" s="134"/>
      <c r="B880" s="135"/>
      <c r="C880" s="136"/>
      <c r="D880" s="126" t="s">
        <v>367</v>
      </c>
      <c r="E880" s="136"/>
      <c r="F880" s="136"/>
      <c r="G880" s="136"/>
      <c r="H880" s="136"/>
      <c r="I880" s="136"/>
      <c r="J880" s="136"/>
      <c r="K880" s="136"/>
      <c r="L880" s="136"/>
      <c r="M880" s="136"/>
    </row>
    <row r="881" spans="1:13" ht="13.5" customHeight="1" x14ac:dyDescent="0.15">
      <c r="A881" s="134"/>
      <c r="B881" s="135"/>
      <c r="C881" s="136"/>
      <c r="D881" s="126" t="s">
        <v>367</v>
      </c>
      <c r="E881" s="136"/>
      <c r="F881" s="136"/>
      <c r="G881" s="136"/>
      <c r="H881" s="136"/>
      <c r="I881" s="136"/>
      <c r="J881" s="136"/>
      <c r="K881" s="136"/>
      <c r="L881" s="136"/>
      <c r="M881" s="136"/>
    </row>
    <row r="882" spans="1:13" ht="13.5" customHeight="1" x14ac:dyDescent="0.15">
      <c r="A882" s="134"/>
      <c r="B882" s="135"/>
      <c r="C882" s="136"/>
      <c r="D882" s="126" t="s">
        <v>367</v>
      </c>
      <c r="E882" s="136"/>
      <c r="F882" s="136"/>
      <c r="G882" s="136"/>
      <c r="H882" s="136"/>
      <c r="I882" s="136"/>
      <c r="J882" s="136"/>
      <c r="K882" s="136"/>
      <c r="L882" s="136"/>
      <c r="M882" s="136"/>
    </row>
    <row r="883" spans="1:13" ht="13.5" customHeight="1" x14ac:dyDescent="0.15">
      <c r="A883" s="134"/>
      <c r="B883" s="135"/>
      <c r="C883" s="136"/>
      <c r="D883" s="126" t="s">
        <v>367</v>
      </c>
      <c r="E883" s="136"/>
      <c r="F883" s="136"/>
      <c r="G883" s="136"/>
      <c r="H883" s="136"/>
      <c r="I883" s="136"/>
      <c r="J883" s="136"/>
      <c r="K883" s="136"/>
      <c r="L883" s="136"/>
      <c r="M883" s="136"/>
    </row>
    <row r="884" spans="1:13" ht="13.5" customHeight="1" x14ac:dyDescent="0.15">
      <c r="A884" s="134"/>
      <c r="B884" s="135"/>
      <c r="C884" s="136"/>
      <c r="D884" s="126" t="s">
        <v>367</v>
      </c>
      <c r="E884" s="136"/>
      <c r="F884" s="136"/>
      <c r="G884" s="136"/>
      <c r="H884" s="136"/>
      <c r="I884" s="136"/>
      <c r="J884" s="136"/>
      <c r="K884" s="136"/>
      <c r="L884" s="136"/>
      <c r="M884" s="136"/>
    </row>
    <row r="885" spans="1:13" ht="13.5" customHeight="1" x14ac:dyDescent="0.15">
      <c r="A885" s="134"/>
      <c r="B885" s="135"/>
      <c r="C885" s="136"/>
      <c r="D885" s="126" t="s">
        <v>367</v>
      </c>
      <c r="E885" s="136"/>
      <c r="F885" s="136"/>
      <c r="G885" s="136"/>
      <c r="H885" s="136"/>
      <c r="I885" s="136"/>
      <c r="J885" s="136"/>
      <c r="K885" s="136"/>
      <c r="L885" s="136"/>
      <c r="M885" s="136"/>
    </row>
    <row r="886" spans="1:13" ht="13.5" customHeight="1" x14ac:dyDescent="0.15">
      <c r="A886" s="134"/>
      <c r="B886" s="135"/>
      <c r="C886" s="136"/>
      <c r="D886" s="126" t="s">
        <v>367</v>
      </c>
      <c r="E886" s="136"/>
      <c r="F886" s="136"/>
      <c r="G886" s="136"/>
      <c r="H886" s="136"/>
      <c r="I886" s="136"/>
      <c r="J886" s="136"/>
      <c r="K886" s="136"/>
      <c r="L886" s="136"/>
      <c r="M886" s="136"/>
    </row>
    <row r="887" spans="1:13" ht="13.5" customHeight="1" x14ac:dyDescent="0.15">
      <c r="A887" s="134"/>
      <c r="B887" s="135"/>
      <c r="C887" s="136"/>
      <c r="D887" s="126" t="s">
        <v>367</v>
      </c>
      <c r="E887" s="136"/>
      <c r="F887" s="136"/>
      <c r="G887" s="136"/>
      <c r="H887" s="136"/>
      <c r="I887" s="136"/>
      <c r="J887" s="136"/>
      <c r="K887" s="136"/>
      <c r="L887" s="136"/>
      <c r="M887" s="136"/>
    </row>
    <row r="888" spans="1:13" ht="13.5" customHeight="1" x14ac:dyDescent="0.15">
      <c r="A888" s="134"/>
      <c r="B888" s="135"/>
      <c r="C888" s="136"/>
      <c r="D888" s="126" t="s">
        <v>367</v>
      </c>
      <c r="E888" s="136"/>
      <c r="F888" s="136"/>
      <c r="G888" s="136"/>
      <c r="H888" s="136"/>
      <c r="I888" s="136"/>
      <c r="J888" s="136"/>
      <c r="K888" s="136"/>
      <c r="L888" s="136"/>
      <c r="M888" s="136"/>
    </row>
    <row r="889" spans="1:13" ht="13.5" customHeight="1" x14ac:dyDescent="0.15">
      <c r="A889" s="134"/>
      <c r="B889" s="135"/>
      <c r="C889" s="136"/>
      <c r="D889" s="126" t="s">
        <v>367</v>
      </c>
      <c r="E889" s="136"/>
      <c r="F889" s="136"/>
      <c r="G889" s="136"/>
      <c r="H889" s="136"/>
      <c r="I889" s="136"/>
      <c r="J889" s="136"/>
      <c r="K889" s="136"/>
      <c r="L889" s="136"/>
      <c r="M889" s="136"/>
    </row>
    <row r="890" spans="1:13" ht="13.5" customHeight="1" x14ac:dyDescent="0.15">
      <c r="A890" s="134"/>
      <c r="B890" s="135"/>
      <c r="C890" s="136"/>
      <c r="D890" s="126" t="s">
        <v>367</v>
      </c>
      <c r="E890" s="136"/>
      <c r="F890" s="136"/>
      <c r="G890" s="136"/>
      <c r="H890" s="136"/>
      <c r="I890" s="136"/>
      <c r="J890" s="136"/>
      <c r="K890" s="136"/>
      <c r="L890" s="136"/>
      <c r="M890" s="136"/>
    </row>
    <row r="891" spans="1:13" ht="13.5" customHeight="1" x14ac:dyDescent="0.15">
      <c r="A891" s="134"/>
      <c r="B891" s="135"/>
      <c r="C891" s="136"/>
      <c r="D891" s="126" t="s">
        <v>367</v>
      </c>
      <c r="E891" s="136"/>
      <c r="F891" s="136"/>
      <c r="G891" s="136"/>
      <c r="H891" s="136"/>
      <c r="I891" s="136"/>
      <c r="J891" s="136"/>
      <c r="K891" s="136"/>
      <c r="L891" s="136"/>
      <c r="M891" s="136"/>
    </row>
    <row r="892" spans="1:13" ht="13.5" customHeight="1" x14ac:dyDescent="0.15">
      <c r="A892" s="134"/>
      <c r="B892" s="135"/>
      <c r="C892" s="136"/>
      <c r="D892" s="126" t="s">
        <v>367</v>
      </c>
      <c r="E892" s="136"/>
      <c r="F892" s="136"/>
      <c r="G892" s="136"/>
      <c r="H892" s="136"/>
      <c r="I892" s="136"/>
      <c r="J892" s="136"/>
      <c r="K892" s="136"/>
      <c r="L892" s="136"/>
      <c r="M892" s="136"/>
    </row>
    <row r="893" spans="1:13" ht="13.5" customHeight="1" x14ac:dyDescent="0.15">
      <c r="A893" s="134"/>
      <c r="B893" s="135"/>
      <c r="C893" s="136"/>
      <c r="D893" s="126" t="s">
        <v>367</v>
      </c>
      <c r="E893" s="136"/>
      <c r="F893" s="136"/>
      <c r="G893" s="136"/>
      <c r="H893" s="136"/>
      <c r="I893" s="136"/>
      <c r="J893" s="136"/>
      <c r="K893" s="136"/>
      <c r="L893" s="136"/>
      <c r="M893" s="136"/>
    </row>
    <row r="894" spans="1:13" ht="13.5" customHeight="1" x14ac:dyDescent="0.15">
      <c r="A894" s="134"/>
      <c r="B894" s="135"/>
      <c r="C894" s="136"/>
      <c r="D894" s="126" t="s">
        <v>367</v>
      </c>
      <c r="E894" s="136"/>
      <c r="F894" s="136"/>
      <c r="G894" s="136"/>
      <c r="H894" s="136"/>
      <c r="I894" s="136"/>
      <c r="J894" s="136"/>
      <c r="K894" s="136"/>
      <c r="L894" s="136"/>
      <c r="M894" s="136"/>
    </row>
    <row r="895" spans="1:13" ht="13.5" customHeight="1" x14ac:dyDescent="0.15">
      <c r="A895" s="134"/>
      <c r="B895" s="135"/>
      <c r="C895" s="136"/>
      <c r="D895" s="126" t="s">
        <v>367</v>
      </c>
      <c r="E895" s="136"/>
      <c r="F895" s="136"/>
      <c r="G895" s="136"/>
      <c r="H895" s="136"/>
      <c r="I895" s="136"/>
      <c r="J895" s="136"/>
      <c r="K895" s="136"/>
      <c r="L895" s="136"/>
      <c r="M895" s="136"/>
    </row>
    <row r="896" spans="1:13" ht="13.5" customHeight="1" x14ac:dyDescent="0.15">
      <c r="A896" s="134"/>
      <c r="B896" s="135"/>
      <c r="C896" s="136"/>
      <c r="D896" s="126" t="s">
        <v>367</v>
      </c>
      <c r="E896" s="136"/>
      <c r="F896" s="136"/>
      <c r="G896" s="136"/>
      <c r="H896" s="136"/>
      <c r="I896" s="136"/>
      <c r="J896" s="136"/>
      <c r="K896" s="136"/>
      <c r="L896" s="136"/>
      <c r="M896" s="136"/>
    </row>
    <row r="897" spans="1:13" ht="13.5" customHeight="1" x14ac:dyDescent="0.15">
      <c r="A897" s="134"/>
      <c r="B897" s="135"/>
      <c r="C897" s="136"/>
      <c r="D897" s="126" t="s">
        <v>367</v>
      </c>
      <c r="E897" s="136"/>
      <c r="F897" s="136"/>
      <c r="G897" s="136"/>
      <c r="H897" s="136"/>
      <c r="I897" s="136"/>
      <c r="J897" s="136"/>
      <c r="K897" s="136"/>
      <c r="L897" s="136"/>
      <c r="M897" s="136"/>
    </row>
    <row r="898" spans="1:13" ht="13.5" customHeight="1" x14ac:dyDescent="0.15">
      <c r="A898" s="134"/>
      <c r="B898" s="135"/>
      <c r="C898" s="136"/>
      <c r="D898" s="126" t="s">
        <v>367</v>
      </c>
      <c r="E898" s="136"/>
      <c r="F898" s="136"/>
      <c r="G898" s="136"/>
      <c r="H898" s="136"/>
      <c r="I898" s="136"/>
      <c r="J898" s="136"/>
      <c r="K898" s="136"/>
      <c r="L898" s="136"/>
      <c r="M898" s="136"/>
    </row>
    <row r="899" spans="1:13" ht="13.5" customHeight="1" x14ac:dyDescent="0.15">
      <c r="A899" s="134"/>
      <c r="B899" s="135"/>
      <c r="C899" s="136"/>
      <c r="D899" s="126" t="s">
        <v>367</v>
      </c>
      <c r="E899" s="136"/>
      <c r="F899" s="136"/>
      <c r="G899" s="136"/>
      <c r="H899" s="136"/>
      <c r="I899" s="136"/>
      <c r="J899" s="136"/>
      <c r="K899" s="136"/>
      <c r="L899" s="136"/>
      <c r="M899" s="136"/>
    </row>
    <row r="900" spans="1:13" ht="13.5" customHeight="1" x14ac:dyDescent="0.15">
      <c r="A900" s="134"/>
      <c r="B900" s="135"/>
      <c r="C900" s="136"/>
      <c r="D900" s="126" t="s">
        <v>367</v>
      </c>
      <c r="E900" s="136"/>
      <c r="F900" s="136"/>
      <c r="G900" s="136"/>
      <c r="H900" s="136"/>
      <c r="I900" s="136"/>
      <c r="J900" s="136"/>
      <c r="K900" s="136"/>
      <c r="L900" s="136"/>
      <c r="M900" s="136"/>
    </row>
    <row r="901" spans="1:13" ht="13.5" customHeight="1" x14ac:dyDescent="0.15">
      <c r="A901" s="134"/>
      <c r="B901" s="135"/>
      <c r="C901" s="136"/>
      <c r="D901" s="126" t="s">
        <v>367</v>
      </c>
      <c r="E901" s="136"/>
      <c r="F901" s="136"/>
      <c r="G901" s="136"/>
      <c r="H901" s="136"/>
      <c r="I901" s="136"/>
      <c r="J901" s="136"/>
      <c r="K901" s="136"/>
      <c r="L901" s="136"/>
      <c r="M901" s="136"/>
    </row>
    <row r="902" spans="1:13" ht="13.5" customHeight="1" x14ac:dyDescent="0.15">
      <c r="A902" s="134"/>
      <c r="B902" s="135"/>
      <c r="C902" s="136"/>
      <c r="D902" s="126" t="s">
        <v>367</v>
      </c>
      <c r="E902" s="136"/>
      <c r="F902" s="136"/>
      <c r="G902" s="136"/>
      <c r="H902" s="136"/>
      <c r="I902" s="136"/>
      <c r="J902" s="136"/>
      <c r="K902" s="136"/>
      <c r="L902" s="136"/>
      <c r="M902" s="136"/>
    </row>
    <row r="903" spans="1:13" ht="13.5" customHeight="1" x14ac:dyDescent="0.15">
      <c r="A903" s="134"/>
      <c r="B903" s="135"/>
      <c r="C903" s="136"/>
      <c r="D903" s="126" t="s">
        <v>367</v>
      </c>
      <c r="E903" s="136"/>
      <c r="F903" s="136"/>
      <c r="G903" s="136"/>
      <c r="H903" s="136"/>
      <c r="I903" s="136"/>
      <c r="J903" s="136"/>
      <c r="K903" s="136"/>
      <c r="L903" s="136"/>
      <c r="M903" s="136"/>
    </row>
    <row r="904" spans="1:13" ht="13.5" customHeight="1" x14ac:dyDescent="0.15">
      <c r="A904" s="134"/>
      <c r="B904" s="135"/>
      <c r="C904" s="136"/>
      <c r="D904" s="126" t="s">
        <v>367</v>
      </c>
      <c r="E904" s="136"/>
      <c r="F904" s="136"/>
      <c r="G904" s="136"/>
      <c r="H904" s="136"/>
      <c r="I904" s="136"/>
      <c r="J904" s="136"/>
      <c r="K904" s="136"/>
      <c r="L904" s="136"/>
      <c r="M904" s="136"/>
    </row>
    <row r="905" spans="1:13" ht="13.5" customHeight="1" x14ac:dyDescent="0.15">
      <c r="A905" s="134"/>
      <c r="B905" s="135"/>
      <c r="C905" s="136"/>
      <c r="D905" s="126" t="s">
        <v>367</v>
      </c>
      <c r="E905" s="136"/>
      <c r="F905" s="136"/>
      <c r="G905" s="136"/>
      <c r="H905" s="136"/>
      <c r="I905" s="136"/>
      <c r="J905" s="136"/>
      <c r="K905" s="136"/>
      <c r="L905" s="136"/>
      <c r="M905" s="136"/>
    </row>
    <row r="906" spans="1:13" ht="13.5" customHeight="1" x14ac:dyDescent="0.15">
      <c r="A906" s="134"/>
      <c r="B906" s="135"/>
      <c r="C906" s="136"/>
      <c r="D906" s="126" t="s">
        <v>367</v>
      </c>
      <c r="E906" s="136"/>
      <c r="F906" s="136"/>
      <c r="G906" s="136"/>
      <c r="H906" s="136"/>
      <c r="I906" s="136"/>
      <c r="J906" s="136"/>
      <c r="K906" s="136"/>
      <c r="L906" s="136"/>
      <c r="M906" s="136"/>
    </row>
    <row r="907" spans="1:13" ht="13.5" customHeight="1" x14ac:dyDescent="0.15">
      <c r="A907" s="134"/>
      <c r="B907" s="135"/>
      <c r="C907" s="136"/>
      <c r="D907" s="126" t="s">
        <v>367</v>
      </c>
      <c r="E907" s="136"/>
      <c r="F907" s="136"/>
      <c r="G907" s="136"/>
      <c r="H907" s="136"/>
      <c r="I907" s="136"/>
      <c r="J907" s="136"/>
      <c r="K907" s="136"/>
      <c r="L907" s="136"/>
      <c r="M907" s="136"/>
    </row>
    <row r="908" spans="1:13" ht="13.5" customHeight="1" x14ac:dyDescent="0.15">
      <c r="A908" s="134"/>
      <c r="B908" s="135"/>
      <c r="C908" s="136"/>
      <c r="D908" s="126" t="s">
        <v>367</v>
      </c>
      <c r="E908" s="136"/>
      <c r="F908" s="136"/>
      <c r="G908" s="136"/>
      <c r="H908" s="136"/>
      <c r="I908" s="136"/>
      <c r="J908" s="136"/>
      <c r="K908" s="136"/>
      <c r="L908" s="136"/>
      <c r="M908" s="136"/>
    </row>
    <row r="909" spans="1:13" ht="13.5" customHeight="1" x14ac:dyDescent="0.15">
      <c r="A909" s="134"/>
      <c r="B909" s="135"/>
      <c r="C909" s="136"/>
      <c r="D909" s="126" t="s">
        <v>367</v>
      </c>
      <c r="E909" s="136"/>
      <c r="F909" s="136"/>
      <c r="G909" s="136"/>
      <c r="H909" s="136"/>
      <c r="I909" s="136"/>
      <c r="J909" s="136"/>
      <c r="K909" s="136"/>
      <c r="L909" s="136"/>
      <c r="M909" s="136"/>
    </row>
    <row r="910" spans="1:13" ht="13.5" customHeight="1" x14ac:dyDescent="0.15">
      <c r="A910" s="134"/>
      <c r="B910" s="135"/>
      <c r="C910" s="136"/>
      <c r="D910" s="126" t="s">
        <v>367</v>
      </c>
      <c r="E910" s="136"/>
      <c r="F910" s="136"/>
      <c r="G910" s="136"/>
      <c r="H910" s="136"/>
      <c r="I910" s="136"/>
      <c r="J910" s="136"/>
      <c r="K910" s="136"/>
      <c r="L910" s="136"/>
      <c r="M910" s="136"/>
    </row>
    <row r="911" spans="1:13" ht="13.5" customHeight="1" x14ac:dyDescent="0.15">
      <c r="A911" s="134"/>
      <c r="B911" s="135"/>
      <c r="C911" s="136"/>
      <c r="D911" s="126" t="s">
        <v>367</v>
      </c>
      <c r="E911" s="136"/>
      <c r="F911" s="136"/>
      <c r="G911" s="136"/>
      <c r="H911" s="136"/>
      <c r="I911" s="136"/>
      <c r="J911" s="136"/>
      <c r="K911" s="136"/>
      <c r="L911" s="136"/>
      <c r="M911" s="136"/>
    </row>
    <row r="912" spans="1:13" ht="13.5" customHeight="1" x14ac:dyDescent="0.15">
      <c r="A912" s="134"/>
      <c r="B912" s="135"/>
      <c r="C912" s="136"/>
      <c r="D912" s="126" t="s">
        <v>367</v>
      </c>
      <c r="E912" s="136"/>
      <c r="F912" s="136"/>
      <c r="G912" s="136"/>
      <c r="H912" s="136"/>
      <c r="I912" s="136"/>
      <c r="J912" s="136"/>
      <c r="K912" s="136"/>
      <c r="L912" s="136"/>
      <c r="M912" s="136"/>
    </row>
    <row r="913" spans="1:13" ht="13.5" customHeight="1" x14ac:dyDescent="0.15">
      <c r="A913" s="134"/>
      <c r="B913" s="135"/>
      <c r="C913" s="136"/>
      <c r="D913" s="126" t="s">
        <v>367</v>
      </c>
      <c r="E913" s="136"/>
      <c r="F913" s="136"/>
      <c r="G913" s="136"/>
      <c r="H913" s="136"/>
      <c r="I913" s="136"/>
      <c r="J913" s="136"/>
      <c r="K913" s="136"/>
      <c r="L913" s="136"/>
      <c r="M913" s="136"/>
    </row>
    <row r="914" spans="1:13" ht="13.5" customHeight="1" x14ac:dyDescent="0.15">
      <c r="A914" s="134"/>
      <c r="B914" s="135"/>
      <c r="C914" s="136"/>
      <c r="D914" s="126" t="s">
        <v>367</v>
      </c>
      <c r="E914" s="136"/>
      <c r="F914" s="136"/>
      <c r="G914" s="136"/>
      <c r="H914" s="136"/>
      <c r="I914" s="136"/>
      <c r="J914" s="136"/>
      <c r="K914" s="136"/>
      <c r="L914" s="136"/>
      <c r="M914" s="136"/>
    </row>
    <row r="915" spans="1:13" ht="13.5" customHeight="1" x14ac:dyDescent="0.15">
      <c r="A915" s="134"/>
      <c r="B915" s="135"/>
      <c r="C915" s="136"/>
      <c r="D915" s="126" t="s">
        <v>367</v>
      </c>
      <c r="E915" s="136"/>
      <c r="F915" s="136"/>
      <c r="G915" s="136"/>
      <c r="H915" s="136"/>
      <c r="I915" s="136"/>
      <c r="J915" s="136"/>
      <c r="K915" s="136"/>
      <c r="L915" s="136"/>
      <c r="M915" s="136"/>
    </row>
    <row r="916" spans="1:13" ht="13.5" customHeight="1" x14ac:dyDescent="0.15">
      <c r="A916" s="134"/>
      <c r="B916" s="135"/>
      <c r="C916" s="136"/>
      <c r="D916" s="126" t="s">
        <v>367</v>
      </c>
      <c r="E916" s="136"/>
      <c r="F916" s="136"/>
      <c r="G916" s="136"/>
      <c r="H916" s="136"/>
      <c r="I916" s="136"/>
      <c r="J916" s="136"/>
      <c r="K916" s="136"/>
      <c r="L916" s="136"/>
      <c r="M916" s="136"/>
    </row>
    <row r="917" spans="1:13" ht="13.5" customHeight="1" x14ac:dyDescent="0.15">
      <c r="A917" s="134"/>
      <c r="B917" s="135"/>
      <c r="C917" s="136"/>
      <c r="D917" s="126" t="s">
        <v>367</v>
      </c>
      <c r="E917" s="136"/>
      <c r="F917" s="136"/>
      <c r="G917" s="136"/>
      <c r="H917" s="136"/>
      <c r="I917" s="136"/>
      <c r="J917" s="136"/>
      <c r="K917" s="136"/>
      <c r="L917" s="136"/>
      <c r="M917" s="136"/>
    </row>
    <row r="918" spans="1:13" ht="13.5" customHeight="1" x14ac:dyDescent="0.15">
      <c r="A918" s="134"/>
      <c r="B918" s="135"/>
      <c r="C918" s="136"/>
      <c r="D918" s="126" t="s">
        <v>367</v>
      </c>
      <c r="E918" s="136"/>
      <c r="F918" s="136"/>
      <c r="G918" s="136"/>
      <c r="H918" s="136"/>
      <c r="I918" s="136"/>
      <c r="J918" s="136"/>
      <c r="K918" s="136"/>
      <c r="L918" s="136"/>
      <c r="M918" s="136"/>
    </row>
    <row r="919" spans="1:13" ht="13.5" customHeight="1" x14ac:dyDescent="0.15">
      <c r="A919" s="134"/>
      <c r="B919" s="135"/>
      <c r="C919" s="136"/>
      <c r="D919" s="126" t="s">
        <v>367</v>
      </c>
      <c r="E919" s="136"/>
      <c r="F919" s="136"/>
      <c r="G919" s="136"/>
      <c r="H919" s="136"/>
      <c r="I919" s="136"/>
      <c r="J919" s="136"/>
      <c r="K919" s="136"/>
      <c r="L919" s="136"/>
      <c r="M919" s="136"/>
    </row>
    <row r="920" spans="1:13" ht="13.5" customHeight="1" x14ac:dyDescent="0.15">
      <c r="A920" s="134"/>
      <c r="B920" s="135"/>
      <c r="C920" s="136"/>
      <c r="D920" s="126" t="s">
        <v>367</v>
      </c>
      <c r="E920" s="136"/>
      <c r="F920" s="136"/>
      <c r="G920" s="136"/>
      <c r="H920" s="136"/>
      <c r="I920" s="136"/>
      <c r="J920" s="136"/>
      <c r="K920" s="136"/>
      <c r="L920" s="136"/>
      <c r="M920" s="136"/>
    </row>
    <row r="921" spans="1:13" ht="13.5" customHeight="1" x14ac:dyDescent="0.15">
      <c r="A921" s="134"/>
      <c r="B921" s="135"/>
      <c r="C921" s="136"/>
      <c r="D921" s="126" t="s">
        <v>367</v>
      </c>
      <c r="E921" s="136"/>
      <c r="F921" s="136"/>
      <c r="G921" s="136"/>
      <c r="H921" s="136"/>
      <c r="I921" s="136"/>
      <c r="J921" s="136"/>
      <c r="K921" s="136"/>
      <c r="L921" s="136"/>
      <c r="M921" s="136"/>
    </row>
    <row r="922" spans="1:13" ht="13.5" customHeight="1" x14ac:dyDescent="0.15">
      <c r="A922" s="134"/>
      <c r="B922" s="135"/>
      <c r="C922" s="136"/>
      <c r="D922" s="126" t="s">
        <v>367</v>
      </c>
      <c r="E922" s="136"/>
      <c r="F922" s="136"/>
      <c r="G922" s="136"/>
      <c r="H922" s="136"/>
      <c r="I922" s="136"/>
      <c r="J922" s="136"/>
      <c r="K922" s="136"/>
      <c r="L922" s="136"/>
      <c r="M922" s="136"/>
    </row>
    <row r="923" spans="1:13" ht="13.5" customHeight="1" x14ac:dyDescent="0.15">
      <c r="A923" s="134"/>
      <c r="B923" s="135"/>
      <c r="C923" s="136"/>
      <c r="D923" s="126" t="s">
        <v>367</v>
      </c>
      <c r="E923" s="136"/>
      <c r="F923" s="136"/>
      <c r="G923" s="136"/>
      <c r="H923" s="136"/>
      <c r="I923" s="136"/>
      <c r="J923" s="136"/>
      <c r="K923" s="136"/>
      <c r="L923" s="136"/>
      <c r="M923" s="136"/>
    </row>
    <row r="924" spans="1:13" ht="13.5" customHeight="1" x14ac:dyDescent="0.15">
      <c r="A924" s="134"/>
      <c r="B924" s="135"/>
      <c r="C924" s="136"/>
      <c r="D924" s="126" t="s">
        <v>367</v>
      </c>
      <c r="E924" s="136"/>
      <c r="F924" s="136"/>
      <c r="G924" s="136"/>
      <c r="H924" s="136"/>
      <c r="I924" s="136"/>
      <c r="J924" s="136"/>
      <c r="K924" s="136"/>
      <c r="L924" s="136"/>
      <c r="M924" s="136"/>
    </row>
    <row r="925" spans="1:13" ht="13.5" customHeight="1" x14ac:dyDescent="0.15">
      <c r="A925" s="134"/>
      <c r="B925" s="135"/>
      <c r="C925" s="136"/>
      <c r="D925" s="126" t="s">
        <v>367</v>
      </c>
      <c r="E925" s="136"/>
      <c r="F925" s="136"/>
      <c r="G925" s="136"/>
      <c r="H925" s="136"/>
      <c r="I925" s="136"/>
      <c r="J925" s="136"/>
      <c r="K925" s="136"/>
      <c r="L925" s="136"/>
      <c r="M925" s="136"/>
    </row>
    <row r="926" spans="1:13" ht="13.5" customHeight="1" x14ac:dyDescent="0.15">
      <c r="A926" s="134"/>
      <c r="B926" s="135"/>
      <c r="C926" s="136"/>
      <c r="D926" s="126" t="s">
        <v>367</v>
      </c>
      <c r="E926" s="136"/>
      <c r="F926" s="136"/>
      <c r="G926" s="136"/>
      <c r="H926" s="136"/>
      <c r="I926" s="136"/>
      <c r="J926" s="136"/>
      <c r="K926" s="136"/>
      <c r="L926" s="136"/>
      <c r="M926" s="136"/>
    </row>
    <row r="927" spans="1:13" ht="13.5" customHeight="1" x14ac:dyDescent="0.15">
      <c r="A927" s="134"/>
      <c r="B927" s="135"/>
      <c r="C927" s="136"/>
      <c r="D927" s="126" t="s">
        <v>367</v>
      </c>
      <c r="E927" s="136"/>
      <c r="F927" s="136"/>
      <c r="G927" s="136"/>
      <c r="H927" s="136"/>
      <c r="I927" s="136"/>
      <c r="J927" s="136"/>
      <c r="K927" s="136"/>
      <c r="L927" s="136"/>
      <c r="M927" s="136"/>
    </row>
    <row r="928" spans="1:13" ht="13.5" customHeight="1" x14ac:dyDescent="0.15">
      <c r="A928" s="134"/>
      <c r="B928" s="135"/>
      <c r="C928" s="136"/>
      <c r="D928" s="126" t="s">
        <v>367</v>
      </c>
      <c r="E928" s="136"/>
      <c r="F928" s="136"/>
      <c r="G928" s="136"/>
      <c r="H928" s="136"/>
      <c r="I928" s="136"/>
      <c r="J928" s="136"/>
      <c r="K928" s="136"/>
      <c r="L928" s="136"/>
      <c r="M928" s="136"/>
    </row>
    <row r="929" spans="1:13" ht="13.5" customHeight="1" x14ac:dyDescent="0.15">
      <c r="A929" s="134"/>
      <c r="B929" s="135"/>
      <c r="C929" s="136"/>
      <c r="D929" s="126" t="s">
        <v>367</v>
      </c>
      <c r="E929" s="136"/>
      <c r="F929" s="136"/>
      <c r="G929" s="136"/>
      <c r="H929" s="136"/>
      <c r="I929" s="136"/>
      <c r="J929" s="136"/>
      <c r="K929" s="136"/>
      <c r="L929" s="136"/>
      <c r="M929" s="136"/>
    </row>
    <row r="930" spans="1:13" ht="13.5" customHeight="1" x14ac:dyDescent="0.15">
      <c r="A930" s="134"/>
      <c r="B930" s="135"/>
      <c r="C930" s="136"/>
      <c r="D930" s="126" t="s">
        <v>367</v>
      </c>
      <c r="E930" s="136"/>
      <c r="F930" s="136"/>
      <c r="G930" s="136"/>
      <c r="H930" s="136"/>
      <c r="I930" s="136"/>
      <c r="J930" s="136"/>
      <c r="K930" s="136"/>
      <c r="L930" s="136"/>
      <c r="M930" s="136"/>
    </row>
    <row r="931" spans="1:13" ht="13.5" customHeight="1" x14ac:dyDescent="0.15">
      <c r="A931" s="134"/>
      <c r="B931" s="135"/>
      <c r="C931" s="136"/>
      <c r="D931" s="126" t="s">
        <v>367</v>
      </c>
      <c r="E931" s="136"/>
      <c r="F931" s="136"/>
      <c r="G931" s="136"/>
      <c r="H931" s="136"/>
      <c r="I931" s="136"/>
      <c r="J931" s="136"/>
      <c r="K931" s="136"/>
      <c r="L931" s="136"/>
      <c r="M931" s="136"/>
    </row>
    <row r="932" spans="1:13" ht="13.5" customHeight="1" x14ac:dyDescent="0.15">
      <c r="A932" s="134"/>
      <c r="B932" s="135"/>
      <c r="C932" s="136"/>
      <c r="D932" s="126" t="s">
        <v>367</v>
      </c>
      <c r="E932" s="136"/>
      <c r="F932" s="136"/>
      <c r="G932" s="136"/>
      <c r="H932" s="136"/>
      <c r="I932" s="136"/>
      <c r="J932" s="136"/>
      <c r="K932" s="136"/>
      <c r="L932" s="136"/>
      <c r="M932" s="136"/>
    </row>
    <row r="933" spans="1:13" ht="13.5" customHeight="1" x14ac:dyDescent="0.15">
      <c r="A933" s="134"/>
      <c r="B933" s="135"/>
      <c r="C933" s="136"/>
      <c r="D933" s="126" t="s">
        <v>367</v>
      </c>
      <c r="E933" s="136"/>
      <c r="F933" s="136"/>
      <c r="G933" s="136"/>
      <c r="H933" s="136"/>
      <c r="I933" s="136"/>
      <c r="J933" s="136"/>
      <c r="K933" s="136"/>
      <c r="L933" s="136"/>
      <c r="M933" s="136"/>
    </row>
    <row r="934" spans="1:13" ht="13.5" customHeight="1" x14ac:dyDescent="0.15">
      <c r="A934" s="134"/>
      <c r="B934" s="135"/>
      <c r="C934" s="136"/>
      <c r="D934" s="126" t="s">
        <v>367</v>
      </c>
      <c r="E934" s="136"/>
      <c r="F934" s="136"/>
      <c r="G934" s="136"/>
      <c r="H934" s="136"/>
      <c r="I934" s="136"/>
      <c r="J934" s="136"/>
      <c r="K934" s="136"/>
      <c r="L934" s="136"/>
      <c r="M934" s="136"/>
    </row>
    <row r="935" spans="1:13" ht="13.5" customHeight="1" x14ac:dyDescent="0.15">
      <c r="A935" s="134"/>
      <c r="B935" s="135"/>
      <c r="C935" s="136"/>
      <c r="D935" s="126" t="s">
        <v>367</v>
      </c>
      <c r="E935" s="136"/>
      <c r="F935" s="136"/>
      <c r="G935" s="136"/>
      <c r="H935" s="136"/>
      <c r="I935" s="136"/>
      <c r="J935" s="136"/>
      <c r="K935" s="136"/>
      <c r="L935" s="136"/>
      <c r="M935" s="136"/>
    </row>
    <row r="936" spans="1:13" ht="13.5" customHeight="1" x14ac:dyDescent="0.15">
      <c r="A936" s="134"/>
      <c r="B936" s="135"/>
      <c r="C936" s="136"/>
      <c r="D936" s="126" t="s">
        <v>367</v>
      </c>
      <c r="E936" s="136"/>
      <c r="F936" s="136"/>
      <c r="G936" s="136"/>
      <c r="H936" s="136"/>
      <c r="I936" s="136"/>
      <c r="J936" s="136"/>
      <c r="K936" s="136"/>
      <c r="L936" s="136"/>
      <c r="M936" s="136"/>
    </row>
    <row r="937" spans="1:13" ht="13.5" customHeight="1" x14ac:dyDescent="0.15">
      <c r="A937" s="134"/>
      <c r="B937" s="135"/>
      <c r="C937" s="136"/>
      <c r="D937" s="126" t="s">
        <v>367</v>
      </c>
      <c r="E937" s="136"/>
      <c r="F937" s="136"/>
      <c r="G937" s="136"/>
      <c r="H937" s="136"/>
      <c r="I937" s="136"/>
      <c r="J937" s="136"/>
      <c r="K937" s="136"/>
      <c r="L937" s="136"/>
      <c r="M937" s="136"/>
    </row>
    <row r="938" spans="1:13" ht="13.5" customHeight="1" x14ac:dyDescent="0.15">
      <c r="A938" s="134"/>
      <c r="B938" s="135"/>
      <c r="C938" s="136"/>
      <c r="D938" s="126" t="s">
        <v>367</v>
      </c>
      <c r="E938" s="136"/>
      <c r="F938" s="136"/>
      <c r="G938" s="136"/>
      <c r="H938" s="136"/>
      <c r="I938" s="136"/>
      <c r="J938" s="136"/>
      <c r="K938" s="136"/>
      <c r="L938" s="136"/>
      <c r="M938" s="136"/>
    </row>
    <row r="939" spans="1:13" ht="13.5" customHeight="1" x14ac:dyDescent="0.15">
      <c r="A939" s="134"/>
      <c r="B939" s="135"/>
      <c r="C939" s="136"/>
      <c r="D939" s="126" t="s">
        <v>367</v>
      </c>
      <c r="E939" s="136"/>
      <c r="F939" s="136"/>
      <c r="G939" s="136"/>
      <c r="H939" s="136"/>
      <c r="I939" s="136"/>
      <c r="J939" s="136"/>
      <c r="K939" s="136"/>
      <c r="L939" s="136"/>
      <c r="M939" s="136"/>
    </row>
    <row r="940" spans="1:13" ht="13.5" customHeight="1" x14ac:dyDescent="0.15">
      <c r="A940" s="134"/>
      <c r="B940" s="135"/>
      <c r="C940" s="136"/>
      <c r="D940" s="126" t="s">
        <v>367</v>
      </c>
      <c r="E940" s="136"/>
      <c r="F940" s="136"/>
      <c r="G940" s="136"/>
      <c r="H940" s="136"/>
      <c r="I940" s="136"/>
      <c r="J940" s="136"/>
      <c r="K940" s="136"/>
      <c r="L940" s="136"/>
      <c r="M940" s="136"/>
    </row>
    <row r="941" spans="1:13" ht="13.5" customHeight="1" x14ac:dyDescent="0.15">
      <c r="A941" s="134"/>
      <c r="B941" s="135"/>
      <c r="C941" s="136"/>
      <c r="D941" s="126" t="s">
        <v>367</v>
      </c>
      <c r="E941" s="136"/>
      <c r="F941" s="136"/>
      <c r="G941" s="136"/>
      <c r="H941" s="136"/>
      <c r="I941" s="136"/>
      <c r="J941" s="136"/>
      <c r="K941" s="136"/>
      <c r="L941" s="136"/>
      <c r="M941" s="136"/>
    </row>
    <row r="942" spans="1:13" ht="13.5" customHeight="1" x14ac:dyDescent="0.15">
      <c r="A942" s="134"/>
      <c r="B942" s="135"/>
      <c r="C942" s="136"/>
      <c r="D942" s="126" t="s">
        <v>367</v>
      </c>
      <c r="E942" s="136"/>
      <c r="F942" s="136"/>
      <c r="G942" s="136"/>
      <c r="H942" s="136"/>
      <c r="I942" s="136"/>
      <c r="J942" s="136"/>
      <c r="K942" s="136"/>
      <c r="L942" s="136"/>
      <c r="M942" s="136"/>
    </row>
    <row r="943" spans="1:13" ht="13.5" customHeight="1" x14ac:dyDescent="0.15">
      <c r="A943" s="134"/>
      <c r="B943" s="135"/>
      <c r="C943" s="136"/>
      <c r="D943" s="126" t="s">
        <v>367</v>
      </c>
      <c r="E943" s="136"/>
      <c r="F943" s="136"/>
      <c r="G943" s="136"/>
      <c r="H943" s="136"/>
      <c r="I943" s="136"/>
      <c r="J943" s="136"/>
      <c r="K943" s="136"/>
      <c r="L943" s="136"/>
      <c r="M943" s="136"/>
    </row>
    <row r="944" spans="1:13" ht="13.5" customHeight="1" x14ac:dyDescent="0.15">
      <c r="A944" s="134"/>
      <c r="B944" s="135"/>
      <c r="C944" s="136"/>
      <c r="D944" s="126" t="s">
        <v>367</v>
      </c>
      <c r="E944" s="136"/>
      <c r="F944" s="136"/>
      <c r="G944" s="136"/>
      <c r="H944" s="136"/>
      <c r="I944" s="136"/>
      <c r="J944" s="136"/>
      <c r="K944" s="136"/>
      <c r="L944" s="136"/>
      <c r="M944" s="136"/>
    </row>
    <row r="945" spans="1:13" ht="13.5" customHeight="1" x14ac:dyDescent="0.15">
      <c r="A945" s="134"/>
      <c r="B945" s="135"/>
      <c r="C945" s="136"/>
      <c r="D945" s="126" t="s">
        <v>367</v>
      </c>
      <c r="E945" s="136"/>
      <c r="F945" s="136"/>
      <c r="G945" s="136"/>
      <c r="H945" s="136"/>
      <c r="I945" s="136"/>
      <c r="J945" s="136"/>
      <c r="K945" s="136"/>
      <c r="L945" s="136"/>
      <c r="M945" s="136"/>
    </row>
    <row r="946" spans="1:13" ht="13.5" customHeight="1" x14ac:dyDescent="0.15">
      <c r="A946" s="134"/>
      <c r="B946" s="135"/>
      <c r="C946" s="136"/>
      <c r="D946" s="126" t="s">
        <v>367</v>
      </c>
      <c r="E946" s="136"/>
      <c r="F946" s="136"/>
      <c r="G946" s="136"/>
      <c r="H946" s="136"/>
      <c r="I946" s="136"/>
      <c r="J946" s="136"/>
      <c r="K946" s="136"/>
      <c r="L946" s="136"/>
      <c r="M946" s="136"/>
    </row>
    <row r="947" spans="1:13" ht="13.5" customHeight="1" x14ac:dyDescent="0.15">
      <c r="A947" s="134"/>
      <c r="B947" s="135"/>
      <c r="C947" s="136"/>
      <c r="D947" s="126" t="s">
        <v>367</v>
      </c>
      <c r="E947" s="136"/>
      <c r="F947" s="136"/>
      <c r="G947" s="136"/>
      <c r="H947" s="136"/>
      <c r="I947" s="136"/>
      <c r="J947" s="136"/>
      <c r="K947" s="136"/>
      <c r="L947" s="136"/>
      <c r="M947" s="136"/>
    </row>
    <row r="948" spans="1:13" ht="13.5" customHeight="1" x14ac:dyDescent="0.15">
      <c r="A948" s="134"/>
      <c r="B948" s="135"/>
      <c r="C948" s="136"/>
      <c r="D948" s="126" t="s">
        <v>367</v>
      </c>
      <c r="E948" s="136"/>
      <c r="F948" s="136"/>
      <c r="G948" s="136"/>
      <c r="H948" s="136"/>
      <c r="I948" s="136"/>
      <c r="J948" s="136"/>
      <c r="K948" s="136"/>
      <c r="L948" s="136"/>
      <c r="M948" s="136"/>
    </row>
    <row r="949" spans="1:13" ht="13.5" customHeight="1" x14ac:dyDescent="0.15">
      <c r="A949" s="134"/>
      <c r="B949" s="135"/>
      <c r="C949" s="136"/>
      <c r="D949" s="126" t="s">
        <v>367</v>
      </c>
      <c r="E949" s="136"/>
      <c r="F949" s="136"/>
      <c r="G949" s="136"/>
      <c r="H949" s="136"/>
      <c r="I949" s="136"/>
      <c r="J949" s="136"/>
      <c r="K949" s="136"/>
      <c r="L949" s="136"/>
      <c r="M949" s="136"/>
    </row>
    <row r="950" spans="1:13" ht="13.5" customHeight="1" x14ac:dyDescent="0.15">
      <c r="A950" s="134"/>
      <c r="B950" s="135"/>
      <c r="C950" s="136"/>
      <c r="D950" s="126" t="s">
        <v>367</v>
      </c>
      <c r="E950" s="136"/>
      <c r="F950" s="136"/>
      <c r="G950" s="136"/>
      <c r="H950" s="136"/>
      <c r="I950" s="136"/>
      <c r="J950" s="136"/>
      <c r="K950" s="136"/>
      <c r="L950" s="136"/>
      <c r="M950" s="136"/>
    </row>
    <row r="951" spans="1:13" ht="13.5" customHeight="1" x14ac:dyDescent="0.15">
      <c r="A951" s="134"/>
      <c r="B951" s="135"/>
      <c r="C951" s="136"/>
      <c r="D951" s="126" t="s">
        <v>367</v>
      </c>
      <c r="E951" s="136"/>
      <c r="F951" s="136"/>
      <c r="G951" s="136"/>
      <c r="H951" s="136"/>
      <c r="I951" s="136"/>
      <c r="J951" s="136"/>
      <c r="K951" s="136"/>
      <c r="L951" s="136"/>
      <c r="M951" s="136"/>
    </row>
    <row r="952" spans="1:13" ht="13.5" customHeight="1" x14ac:dyDescent="0.15">
      <c r="A952" s="134"/>
      <c r="B952" s="135"/>
      <c r="C952" s="136"/>
      <c r="D952" s="126" t="s">
        <v>367</v>
      </c>
      <c r="E952" s="136"/>
      <c r="F952" s="136"/>
      <c r="G952" s="136"/>
      <c r="H952" s="136"/>
      <c r="I952" s="136"/>
      <c r="J952" s="136"/>
      <c r="K952" s="136"/>
      <c r="L952" s="136"/>
      <c r="M952" s="136"/>
    </row>
    <row r="953" spans="1:13" ht="13.5" customHeight="1" x14ac:dyDescent="0.15">
      <c r="A953" s="134"/>
      <c r="B953" s="135"/>
      <c r="C953" s="136"/>
      <c r="D953" s="126" t="s">
        <v>367</v>
      </c>
      <c r="E953" s="136"/>
      <c r="F953" s="136"/>
      <c r="G953" s="136"/>
      <c r="H953" s="136"/>
      <c r="I953" s="136"/>
      <c r="J953" s="136"/>
      <c r="K953" s="136"/>
      <c r="L953" s="136"/>
      <c r="M953" s="136"/>
    </row>
    <row r="954" spans="1:13" ht="13.5" customHeight="1" x14ac:dyDescent="0.15">
      <c r="A954" s="134"/>
      <c r="B954" s="135"/>
      <c r="C954" s="136"/>
      <c r="D954" s="126" t="s">
        <v>367</v>
      </c>
      <c r="E954" s="136"/>
      <c r="F954" s="136"/>
      <c r="G954" s="136"/>
      <c r="H954" s="136"/>
      <c r="I954" s="136"/>
      <c r="J954" s="136"/>
      <c r="K954" s="136"/>
      <c r="L954" s="136"/>
      <c r="M954" s="136"/>
    </row>
    <row r="955" spans="1:13" ht="13.5" customHeight="1" x14ac:dyDescent="0.15">
      <c r="A955" s="134"/>
      <c r="B955" s="135"/>
      <c r="C955" s="136"/>
      <c r="D955" s="126" t="s">
        <v>367</v>
      </c>
      <c r="E955" s="136"/>
      <c r="F955" s="136"/>
      <c r="G955" s="136"/>
      <c r="H955" s="136"/>
      <c r="I955" s="136"/>
      <c r="J955" s="136"/>
      <c r="K955" s="136"/>
      <c r="L955" s="136"/>
      <c r="M955" s="136"/>
    </row>
    <row r="956" spans="1:13" ht="13.5" customHeight="1" x14ac:dyDescent="0.15">
      <c r="A956" s="134"/>
      <c r="B956" s="135"/>
      <c r="C956" s="136"/>
      <c r="D956" s="126" t="s">
        <v>367</v>
      </c>
      <c r="E956" s="136"/>
      <c r="F956" s="136"/>
      <c r="G956" s="136"/>
      <c r="H956" s="136"/>
      <c r="I956" s="136"/>
      <c r="J956" s="136"/>
      <c r="K956" s="136"/>
      <c r="L956" s="136"/>
      <c r="M956" s="136"/>
    </row>
    <row r="957" spans="1:13" ht="13.5" customHeight="1" x14ac:dyDescent="0.15">
      <c r="A957" s="134"/>
      <c r="B957" s="135"/>
      <c r="C957" s="136"/>
      <c r="D957" s="126" t="s">
        <v>367</v>
      </c>
      <c r="E957" s="136"/>
      <c r="F957" s="136"/>
      <c r="G957" s="136"/>
      <c r="H957" s="136"/>
      <c r="I957" s="136"/>
      <c r="J957" s="136"/>
      <c r="K957" s="136"/>
      <c r="L957" s="136"/>
      <c r="M957" s="136"/>
    </row>
    <row r="958" spans="1:13" ht="13.5" customHeight="1" x14ac:dyDescent="0.15">
      <c r="A958" s="134"/>
      <c r="B958" s="135"/>
      <c r="C958" s="136"/>
      <c r="D958" s="126" t="s">
        <v>367</v>
      </c>
      <c r="E958" s="136"/>
      <c r="F958" s="136"/>
      <c r="G958" s="136"/>
      <c r="H958" s="136"/>
      <c r="I958" s="136"/>
      <c r="J958" s="136"/>
      <c r="K958" s="136"/>
      <c r="L958" s="136"/>
      <c r="M958" s="136"/>
    </row>
    <row r="959" spans="1:13" ht="13.5" customHeight="1" x14ac:dyDescent="0.15">
      <c r="A959" s="134"/>
      <c r="B959" s="135"/>
      <c r="C959" s="136"/>
      <c r="D959" s="126" t="s">
        <v>367</v>
      </c>
      <c r="E959" s="136"/>
      <c r="F959" s="136"/>
      <c r="G959" s="136"/>
      <c r="H959" s="136"/>
      <c r="I959" s="136"/>
      <c r="J959" s="136"/>
      <c r="K959" s="136"/>
      <c r="L959" s="136"/>
      <c r="M959" s="136"/>
    </row>
    <row r="960" spans="1:13" ht="13.5" customHeight="1" x14ac:dyDescent="0.15">
      <c r="A960" s="134"/>
      <c r="B960" s="135"/>
      <c r="C960" s="136"/>
      <c r="D960" s="126" t="s">
        <v>367</v>
      </c>
      <c r="E960" s="136"/>
      <c r="F960" s="136"/>
      <c r="G960" s="136"/>
      <c r="H960" s="136"/>
      <c r="I960" s="136"/>
      <c r="J960" s="136"/>
      <c r="K960" s="136"/>
      <c r="L960" s="136"/>
      <c r="M960" s="136"/>
    </row>
    <row r="961" spans="1:13" ht="13.5" customHeight="1" x14ac:dyDescent="0.15">
      <c r="A961" s="134"/>
      <c r="B961" s="135"/>
      <c r="C961" s="136"/>
      <c r="D961" s="126" t="s">
        <v>367</v>
      </c>
      <c r="E961" s="136"/>
      <c r="F961" s="136"/>
      <c r="G961" s="136"/>
      <c r="H961" s="136"/>
      <c r="I961" s="136"/>
      <c r="J961" s="136"/>
      <c r="K961" s="136"/>
      <c r="L961" s="136"/>
      <c r="M961" s="136"/>
    </row>
    <row r="962" spans="1:13" ht="13.5" customHeight="1" x14ac:dyDescent="0.15">
      <c r="A962" s="134"/>
      <c r="B962" s="135"/>
      <c r="C962" s="136"/>
      <c r="D962" s="126" t="s">
        <v>367</v>
      </c>
      <c r="E962" s="136"/>
      <c r="F962" s="136"/>
      <c r="G962" s="136"/>
      <c r="H962" s="136"/>
      <c r="I962" s="136"/>
      <c r="J962" s="136"/>
      <c r="K962" s="136"/>
      <c r="L962" s="136"/>
      <c r="M962" s="136"/>
    </row>
    <row r="963" spans="1:13" ht="13.5" customHeight="1" x14ac:dyDescent="0.15">
      <c r="A963" s="134"/>
      <c r="B963" s="135"/>
      <c r="C963" s="136"/>
      <c r="D963" s="126" t="s">
        <v>367</v>
      </c>
      <c r="E963" s="136"/>
      <c r="F963" s="136"/>
      <c r="G963" s="136"/>
      <c r="H963" s="136"/>
      <c r="I963" s="136"/>
      <c r="J963" s="136"/>
      <c r="K963" s="136"/>
      <c r="L963" s="136"/>
      <c r="M963" s="136"/>
    </row>
    <row r="964" spans="1:13" ht="13.5" customHeight="1" x14ac:dyDescent="0.15">
      <c r="A964" s="134"/>
      <c r="B964" s="135"/>
      <c r="C964" s="136"/>
      <c r="D964" s="126" t="s">
        <v>367</v>
      </c>
      <c r="E964" s="136"/>
      <c r="F964" s="136"/>
      <c r="G964" s="136"/>
      <c r="H964" s="136"/>
      <c r="I964" s="136"/>
      <c r="J964" s="136"/>
      <c r="K964" s="136"/>
      <c r="L964" s="136"/>
      <c r="M964" s="136"/>
    </row>
    <row r="965" spans="1:13" ht="13.5" customHeight="1" x14ac:dyDescent="0.15">
      <c r="A965" s="134"/>
      <c r="B965" s="135"/>
      <c r="C965" s="136"/>
      <c r="D965" s="126" t="s">
        <v>367</v>
      </c>
      <c r="E965" s="136"/>
      <c r="F965" s="136"/>
      <c r="G965" s="136"/>
      <c r="H965" s="136"/>
      <c r="I965" s="136"/>
      <c r="J965" s="136"/>
      <c r="K965" s="136"/>
      <c r="L965" s="136"/>
      <c r="M965" s="136"/>
    </row>
    <row r="966" spans="1:13" ht="13.5" customHeight="1" x14ac:dyDescent="0.15">
      <c r="A966" s="134"/>
      <c r="B966" s="135"/>
      <c r="C966" s="136"/>
      <c r="D966" s="126" t="s">
        <v>367</v>
      </c>
      <c r="E966" s="136"/>
      <c r="F966" s="136"/>
      <c r="G966" s="136"/>
      <c r="H966" s="136"/>
      <c r="I966" s="136"/>
      <c r="J966" s="136"/>
      <c r="K966" s="136"/>
      <c r="L966" s="136"/>
      <c r="M966" s="136"/>
    </row>
    <row r="967" spans="1:13" ht="13.5" customHeight="1" x14ac:dyDescent="0.15">
      <c r="A967" s="134"/>
      <c r="B967" s="135"/>
      <c r="C967" s="136"/>
      <c r="D967" s="126" t="s">
        <v>367</v>
      </c>
      <c r="E967" s="136"/>
      <c r="F967" s="136"/>
      <c r="G967" s="136"/>
      <c r="H967" s="136"/>
      <c r="I967" s="136"/>
      <c r="J967" s="136"/>
      <c r="K967" s="136"/>
      <c r="L967" s="136"/>
      <c r="M967" s="136"/>
    </row>
    <row r="968" spans="1:13" ht="13.5" customHeight="1" x14ac:dyDescent="0.15">
      <c r="A968" s="134"/>
      <c r="B968" s="135"/>
      <c r="C968" s="136"/>
      <c r="D968" s="126" t="s">
        <v>367</v>
      </c>
      <c r="E968" s="136"/>
      <c r="F968" s="136"/>
      <c r="G968" s="136"/>
      <c r="H968" s="136"/>
      <c r="I968" s="136"/>
      <c r="J968" s="136"/>
      <c r="K968" s="136"/>
      <c r="L968" s="136"/>
      <c r="M968" s="136"/>
    </row>
    <row r="969" spans="1:13" ht="13.5" customHeight="1" x14ac:dyDescent="0.15">
      <c r="A969" s="134"/>
      <c r="B969" s="135"/>
      <c r="C969" s="136"/>
      <c r="D969" s="126" t="s">
        <v>367</v>
      </c>
      <c r="E969" s="136"/>
      <c r="F969" s="136"/>
      <c r="G969" s="136"/>
      <c r="H969" s="136"/>
      <c r="I969" s="136"/>
      <c r="J969" s="136"/>
      <c r="K969" s="136"/>
      <c r="L969" s="136"/>
      <c r="M969" s="136"/>
    </row>
    <row r="970" spans="1:13" ht="13.5" customHeight="1" x14ac:dyDescent="0.15">
      <c r="A970" s="134"/>
      <c r="B970" s="135"/>
      <c r="C970" s="136"/>
      <c r="D970" s="126" t="s">
        <v>367</v>
      </c>
      <c r="E970" s="136"/>
      <c r="F970" s="136"/>
      <c r="G970" s="136"/>
      <c r="H970" s="136"/>
      <c r="I970" s="136"/>
      <c r="J970" s="136"/>
      <c r="K970" s="136"/>
      <c r="L970" s="136"/>
      <c r="M970" s="136"/>
    </row>
    <row r="971" spans="1:13" ht="13.5" customHeight="1" x14ac:dyDescent="0.15">
      <c r="A971" s="134"/>
      <c r="B971" s="135"/>
      <c r="C971" s="136"/>
      <c r="D971" s="126" t="s">
        <v>367</v>
      </c>
      <c r="E971" s="136"/>
      <c r="F971" s="136"/>
      <c r="G971" s="136"/>
      <c r="H971" s="136"/>
      <c r="I971" s="136"/>
      <c r="J971" s="136"/>
      <c r="K971" s="136"/>
      <c r="L971" s="136"/>
      <c r="M971" s="136"/>
    </row>
    <row r="972" spans="1:13" ht="13.5" customHeight="1" x14ac:dyDescent="0.15">
      <c r="A972" s="134"/>
      <c r="B972" s="135"/>
      <c r="C972" s="136"/>
      <c r="D972" s="126" t="s">
        <v>367</v>
      </c>
      <c r="E972" s="136"/>
      <c r="F972" s="136"/>
      <c r="G972" s="136"/>
      <c r="H972" s="136"/>
      <c r="I972" s="136"/>
      <c r="J972" s="136"/>
      <c r="K972" s="136"/>
      <c r="L972" s="136"/>
      <c r="M972" s="136"/>
    </row>
    <row r="973" spans="1:13" ht="13.5" customHeight="1" x14ac:dyDescent="0.15">
      <c r="A973" s="134"/>
      <c r="B973" s="135"/>
      <c r="C973" s="136"/>
      <c r="D973" s="126" t="s">
        <v>367</v>
      </c>
      <c r="E973" s="136"/>
      <c r="F973" s="136"/>
      <c r="G973" s="136"/>
      <c r="H973" s="136"/>
      <c r="I973" s="136"/>
      <c r="J973" s="136"/>
      <c r="K973" s="136"/>
      <c r="L973" s="136"/>
      <c r="M973" s="136"/>
    </row>
    <row r="974" spans="1:13" ht="13.5" customHeight="1" x14ac:dyDescent="0.15">
      <c r="A974" s="134"/>
      <c r="B974" s="135"/>
      <c r="C974" s="136"/>
      <c r="D974" s="126" t="s">
        <v>367</v>
      </c>
      <c r="E974" s="136"/>
      <c r="F974" s="136"/>
      <c r="G974" s="136"/>
      <c r="H974" s="136"/>
      <c r="I974" s="136"/>
      <c r="J974" s="136"/>
      <c r="K974" s="136"/>
      <c r="L974" s="136"/>
      <c r="M974" s="136"/>
    </row>
    <row r="975" spans="1:13" ht="13.5" customHeight="1" x14ac:dyDescent="0.15">
      <c r="A975" s="134"/>
      <c r="B975" s="135"/>
      <c r="C975" s="136"/>
      <c r="D975" s="126" t="s">
        <v>367</v>
      </c>
      <c r="E975" s="136"/>
      <c r="F975" s="136"/>
      <c r="G975" s="136"/>
      <c r="H975" s="136"/>
      <c r="I975" s="136"/>
      <c r="J975" s="136"/>
      <c r="K975" s="136"/>
      <c r="L975" s="136"/>
      <c r="M975" s="136"/>
    </row>
    <row r="976" spans="1:13" ht="13.5" customHeight="1" x14ac:dyDescent="0.15">
      <c r="A976" s="134"/>
      <c r="B976" s="135"/>
      <c r="C976" s="136"/>
      <c r="D976" s="126" t="s">
        <v>367</v>
      </c>
      <c r="E976" s="136"/>
      <c r="F976" s="136"/>
      <c r="G976" s="136"/>
      <c r="H976" s="136"/>
      <c r="I976" s="136"/>
      <c r="J976" s="136"/>
      <c r="K976" s="136"/>
      <c r="L976" s="136"/>
      <c r="M976" s="136"/>
    </row>
    <row r="977" spans="1:13" ht="13.5" customHeight="1" x14ac:dyDescent="0.15">
      <c r="A977" s="134"/>
      <c r="B977" s="135"/>
      <c r="C977" s="136"/>
      <c r="D977" s="126" t="s">
        <v>367</v>
      </c>
      <c r="E977" s="136"/>
      <c r="F977" s="136"/>
      <c r="G977" s="136"/>
      <c r="H977" s="136"/>
      <c r="I977" s="136"/>
      <c r="J977" s="136"/>
      <c r="K977" s="136"/>
      <c r="L977" s="136"/>
      <c r="M977" s="136"/>
    </row>
    <row r="978" spans="1:13" ht="13.5" customHeight="1" x14ac:dyDescent="0.15">
      <c r="A978" s="134"/>
      <c r="B978" s="135"/>
      <c r="C978" s="136"/>
      <c r="D978" s="126" t="s">
        <v>367</v>
      </c>
      <c r="E978" s="136"/>
      <c r="F978" s="136"/>
      <c r="G978" s="136"/>
      <c r="H978" s="136"/>
      <c r="I978" s="136"/>
      <c r="J978" s="136"/>
      <c r="K978" s="136"/>
      <c r="L978" s="136"/>
      <c r="M978" s="136"/>
    </row>
    <row r="979" spans="1:13" ht="13.5" customHeight="1" x14ac:dyDescent="0.15">
      <c r="A979" s="134"/>
      <c r="B979" s="135"/>
      <c r="C979" s="136"/>
      <c r="D979" s="126" t="s">
        <v>367</v>
      </c>
      <c r="E979" s="136"/>
      <c r="F979" s="136"/>
      <c r="G979" s="136"/>
      <c r="H979" s="136"/>
      <c r="I979" s="136"/>
      <c r="J979" s="136"/>
      <c r="K979" s="136"/>
      <c r="L979" s="136"/>
      <c r="M979" s="136"/>
    </row>
    <row r="980" spans="1:13" ht="13.5" customHeight="1" x14ac:dyDescent="0.15">
      <c r="A980" s="134"/>
      <c r="B980" s="135"/>
      <c r="C980" s="136"/>
      <c r="D980" s="126" t="s">
        <v>367</v>
      </c>
      <c r="E980" s="136"/>
      <c r="F980" s="136"/>
      <c r="G980" s="136"/>
      <c r="H980" s="136"/>
      <c r="I980" s="136"/>
      <c r="J980" s="136"/>
      <c r="K980" s="136"/>
      <c r="L980" s="136"/>
      <c r="M980" s="136"/>
    </row>
    <row r="981" spans="1:13" ht="13.5" customHeight="1" x14ac:dyDescent="0.15">
      <c r="A981" s="134"/>
      <c r="B981" s="135"/>
      <c r="C981" s="136"/>
      <c r="D981" s="126" t="s">
        <v>367</v>
      </c>
      <c r="E981" s="136"/>
      <c r="F981" s="136"/>
      <c r="G981" s="136"/>
      <c r="H981" s="136"/>
      <c r="I981" s="136"/>
      <c r="J981" s="136"/>
      <c r="K981" s="136"/>
      <c r="L981" s="136"/>
      <c r="M981" s="136"/>
    </row>
    <row r="982" spans="1:13" ht="13.5" customHeight="1" x14ac:dyDescent="0.15">
      <c r="A982" s="134"/>
      <c r="B982" s="135"/>
      <c r="C982" s="136"/>
      <c r="D982" s="126" t="s">
        <v>367</v>
      </c>
      <c r="E982" s="136"/>
      <c r="F982" s="136"/>
      <c r="G982" s="136"/>
      <c r="H982" s="136"/>
      <c r="I982" s="136"/>
      <c r="J982" s="136"/>
      <c r="K982" s="136"/>
      <c r="L982" s="136"/>
      <c r="M982" s="136"/>
    </row>
    <row r="983" spans="1:13" ht="13.5" customHeight="1" x14ac:dyDescent="0.15">
      <c r="A983" s="134"/>
      <c r="B983" s="135"/>
      <c r="C983" s="136"/>
      <c r="D983" s="126" t="s">
        <v>367</v>
      </c>
      <c r="E983" s="136"/>
      <c r="F983" s="136"/>
      <c r="G983" s="136"/>
      <c r="H983" s="136"/>
      <c r="I983" s="136"/>
      <c r="J983" s="136"/>
      <c r="K983" s="136"/>
      <c r="L983" s="136"/>
      <c r="M983" s="136"/>
    </row>
    <row r="984" spans="1:13" ht="13.5" customHeight="1" x14ac:dyDescent="0.15">
      <c r="A984" s="134"/>
      <c r="B984" s="135"/>
      <c r="C984" s="136"/>
      <c r="D984" s="126" t="s">
        <v>367</v>
      </c>
      <c r="E984" s="136"/>
      <c r="F984" s="136"/>
      <c r="G984" s="136"/>
      <c r="H984" s="136"/>
      <c r="I984" s="136"/>
      <c r="J984" s="136"/>
      <c r="K984" s="136"/>
      <c r="L984" s="136"/>
      <c r="M984" s="136"/>
    </row>
    <row r="985" spans="1:13" ht="13.5" customHeight="1" x14ac:dyDescent="0.15">
      <c r="A985" s="134"/>
      <c r="B985" s="135"/>
      <c r="C985" s="136"/>
      <c r="D985" s="126" t="s">
        <v>367</v>
      </c>
      <c r="E985" s="136"/>
      <c r="F985" s="136"/>
      <c r="G985" s="136"/>
      <c r="H985" s="136"/>
      <c r="I985" s="136"/>
      <c r="J985" s="136"/>
      <c r="K985" s="136"/>
      <c r="L985" s="136"/>
      <c r="M985" s="136"/>
    </row>
    <row r="986" spans="1:13" ht="13.5" customHeight="1" x14ac:dyDescent="0.15">
      <c r="A986" s="134"/>
      <c r="B986" s="135"/>
      <c r="C986" s="136"/>
      <c r="D986" s="126" t="s">
        <v>367</v>
      </c>
      <c r="E986" s="136"/>
      <c r="F986" s="136"/>
      <c r="G986" s="136"/>
      <c r="H986" s="136"/>
      <c r="I986" s="136"/>
      <c r="J986" s="136"/>
      <c r="K986" s="136"/>
      <c r="L986" s="136"/>
      <c r="M986" s="136"/>
    </row>
    <row r="987" spans="1:13" ht="13.5" customHeight="1" x14ac:dyDescent="0.15">
      <c r="A987" s="134"/>
      <c r="B987" s="135"/>
      <c r="C987" s="136"/>
      <c r="D987" s="126" t="s">
        <v>367</v>
      </c>
      <c r="E987" s="136"/>
      <c r="F987" s="136"/>
      <c r="G987" s="136"/>
      <c r="H987" s="136"/>
      <c r="I987" s="136"/>
      <c r="J987" s="136"/>
      <c r="K987" s="136"/>
      <c r="L987" s="136"/>
      <c r="M987" s="136"/>
    </row>
    <row r="988" spans="1:13" ht="13.5" customHeight="1" x14ac:dyDescent="0.15">
      <c r="A988" s="134"/>
      <c r="B988" s="135"/>
      <c r="C988" s="136"/>
      <c r="D988" s="126" t="s">
        <v>367</v>
      </c>
      <c r="E988" s="136"/>
      <c r="F988" s="136"/>
      <c r="G988" s="136"/>
      <c r="H988" s="136"/>
      <c r="I988" s="136"/>
      <c r="J988" s="136"/>
      <c r="K988" s="136"/>
      <c r="L988" s="136"/>
      <c r="M988" s="136"/>
    </row>
    <row r="989" spans="1:13" ht="13.5" customHeight="1" x14ac:dyDescent="0.15">
      <c r="A989" s="134"/>
      <c r="B989" s="135"/>
      <c r="C989" s="136"/>
      <c r="D989" s="126" t="s">
        <v>367</v>
      </c>
      <c r="E989" s="136"/>
      <c r="F989" s="136"/>
      <c r="G989" s="136"/>
      <c r="H989" s="136"/>
      <c r="I989" s="136"/>
      <c r="J989" s="136"/>
      <c r="K989" s="136"/>
      <c r="L989" s="136"/>
      <c r="M989" s="136"/>
    </row>
    <row r="990" spans="1:13" ht="13.5" customHeight="1" x14ac:dyDescent="0.15">
      <c r="A990" s="134"/>
      <c r="B990" s="135"/>
      <c r="C990" s="136"/>
      <c r="D990" s="126" t="s">
        <v>367</v>
      </c>
      <c r="E990" s="136"/>
      <c r="F990" s="136"/>
      <c r="G990" s="136"/>
      <c r="H990" s="136"/>
      <c r="I990" s="136"/>
      <c r="J990" s="136"/>
      <c r="K990" s="136"/>
      <c r="L990" s="136"/>
      <c r="M990" s="136"/>
    </row>
    <row r="991" spans="1:13" ht="13.5" customHeight="1" x14ac:dyDescent="0.15">
      <c r="A991" s="134"/>
      <c r="B991" s="135"/>
      <c r="C991" s="136"/>
      <c r="D991" s="126" t="s">
        <v>367</v>
      </c>
      <c r="E991" s="136"/>
      <c r="F991" s="136"/>
      <c r="G991" s="136"/>
      <c r="H991" s="136"/>
      <c r="I991" s="136"/>
      <c r="J991" s="136"/>
      <c r="K991" s="136"/>
      <c r="L991" s="136"/>
      <c r="M991" s="136"/>
    </row>
    <row r="992" spans="1:13" ht="13.5" customHeight="1" x14ac:dyDescent="0.15">
      <c r="A992" s="134"/>
      <c r="B992" s="135"/>
      <c r="C992" s="136"/>
      <c r="D992" s="126" t="s">
        <v>367</v>
      </c>
      <c r="E992" s="136"/>
      <c r="F992" s="136"/>
      <c r="G992" s="136"/>
      <c r="H992" s="136"/>
      <c r="I992" s="136"/>
      <c r="J992" s="136"/>
      <c r="K992" s="136"/>
      <c r="L992" s="136"/>
      <c r="M992" s="136"/>
    </row>
    <row r="993" spans="1:13" ht="13.5" customHeight="1" x14ac:dyDescent="0.15">
      <c r="A993" s="134"/>
      <c r="B993" s="135"/>
      <c r="C993" s="136"/>
      <c r="D993" s="126" t="s">
        <v>367</v>
      </c>
      <c r="E993" s="136"/>
      <c r="F993" s="136"/>
      <c r="G993" s="136"/>
      <c r="H993" s="136"/>
      <c r="I993" s="136"/>
      <c r="J993" s="136"/>
      <c r="K993" s="136"/>
      <c r="L993" s="136"/>
      <c r="M993" s="136"/>
    </row>
    <row r="994" spans="1:13" ht="13.5" customHeight="1" x14ac:dyDescent="0.15">
      <c r="A994" s="134"/>
      <c r="B994" s="135"/>
      <c r="C994" s="136"/>
      <c r="D994" s="126" t="s">
        <v>367</v>
      </c>
      <c r="E994" s="136"/>
      <c r="F994" s="136"/>
      <c r="G994" s="136"/>
      <c r="H994" s="136"/>
      <c r="I994" s="136"/>
      <c r="J994" s="136"/>
      <c r="K994" s="136"/>
      <c r="L994" s="136"/>
      <c r="M994" s="136"/>
    </row>
    <row r="995" spans="1:13" ht="13.5" customHeight="1" x14ac:dyDescent="0.15">
      <c r="A995" s="134"/>
      <c r="B995" s="135"/>
      <c r="C995" s="136"/>
      <c r="D995" s="126" t="s">
        <v>367</v>
      </c>
      <c r="E995" s="136"/>
      <c r="F995" s="136"/>
      <c r="G995" s="136"/>
      <c r="H995" s="136"/>
      <c r="I995" s="136"/>
      <c r="J995" s="136"/>
      <c r="K995" s="136"/>
      <c r="L995" s="136"/>
      <c r="M995" s="136"/>
    </row>
    <row r="996" spans="1:13" ht="13.5" customHeight="1" x14ac:dyDescent="0.15">
      <c r="A996" s="134"/>
      <c r="B996" s="135"/>
      <c r="C996" s="136"/>
      <c r="D996" s="126" t="s">
        <v>367</v>
      </c>
      <c r="E996" s="136"/>
      <c r="F996" s="136"/>
      <c r="G996" s="136"/>
      <c r="H996" s="136"/>
      <c r="I996" s="136"/>
      <c r="J996" s="136"/>
      <c r="K996" s="136"/>
      <c r="L996" s="136"/>
      <c r="M996" s="136"/>
    </row>
    <row r="997" spans="1:13" ht="13.5" customHeight="1" x14ac:dyDescent="0.15">
      <c r="A997" s="134"/>
      <c r="B997" s="135"/>
      <c r="C997" s="136"/>
      <c r="D997" s="126" t="s">
        <v>367</v>
      </c>
      <c r="E997" s="136"/>
      <c r="F997" s="136"/>
      <c r="G997" s="136"/>
      <c r="H997" s="136"/>
      <c r="I997" s="136"/>
      <c r="J997" s="136"/>
      <c r="K997" s="136"/>
      <c r="L997" s="136"/>
      <c r="M997" s="136"/>
    </row>
    <row r="998" spans="1:13" ht="13.5" customHeight="1" x14ac:dyDescent="0.15">
      <c r="A998" s="134"/>
      <c r="B998" s="135"/>
      <c r="C998" s="136"/>
      <c r="D998" s="126" t="s">
        <v>367</v>
      </c>
      <c r="E998" s="136"/>
      <c r="F998" s="136"/>
      <c r="G998" s="136"/>
      <c r="H998" s="136"/>
      <c r="I998" s="136"/>
      <c r="J998" s="136"/>
      <c r="K998" s="136"/>
      <c r="L998" s="136"/>
      <c r="M998" s="136"/>
    </row>
    <row r="999" spans="1:13" ht="13.5" customHeight="1" x14ac:dyDescent="0.15">
      <c r="A999" s="134"/>
      <c r="B999" s="135"/>
      <c r="C999" s="136"/>
      <c r="D999" s="126" t="s">
        <v>367</v>
      </c>
      <c r="E999" s="136"/>
      <c r="F999" s="136"/>
      <c r="G999" s="136"/>
      <c r="H999" s="136"/>
      <c r="I999" s="136"/>
      <c r="J999" s="136"/>
      <c r="K999" s="136"/>
      <c r="L999" s="136"/>
      <c r="M999" s="136"/>
    </row>
    <row r="1000" spans="1:13" ht="13.5" customHeight="1" x14ac:dyDescent="0.15">
      <c r="A1000" s="134"/>
      <c r="B1000" s="135"/>
      <c r="C1000" s="136"/>
      <c r="D1000" s="126" t="s">
        <v>367</v>
      </c>
      <c r="E1000" s="136"/>
      <c r="F1000" s="136"/>
      <c r="G1000" s="136"/>
      <c r="H1000" s="136"/>
      <c r="I1000" s="136"/>
      <c r="J1000" s="136"/>
      <c r="K1000" s="136"/>
      <c r="L1000" s="136"/>
      <c r="M1000" s="136"/>
    </row>
    <row r="1001" spans="1:13" ht="13.5" customHeight="1" x14ac:dyDescent="0.15">
      <c r="A1001" s="134"/>
      <c r="B1001" s="135"/>
      <c r="C1001" s="136"/>
      <c r="D1001" s="126" t="s">
        <v>367</v>
      </c>
      <c r="E1001" s="136"/>
      <c r="F1001" s="136"/>
      <c r="G1001" s="136"/>
      <c r="H1001" s="136"/>
      <c r="I1001" s="136"/>
      <c r="J1001" s="136"/>
      <c r="K1001" s="136"/>
      <c r="L1001" s="136"/>
      <c r="M1001" s="136"/>
    </row>
    <row r="1002" spans="1:13" ht="13.5" customHeight="1" x14ac:dyDescent="0.15">
      <c r="A1002" s="134"/>
      <c r="B1002" s="135"/>
      <c r="C1002" s="136"/>
      <c r="D1002" s="126" t="s">
        <v>367</v>
      </c>
      <c r="E1002" s="136"/>
      <c r="F1002" s="136"/>
      <c r="G1002" s="136"/>
      <c r="H1002" s="136"/>
      <c r="I1002" s="136"/>
      <c r="J1002" s="136"/>
      <c r="K1002" s="136"/>
      <c r="L1002" s="136"/>
      <c r="M1002" s="136"/>
    </row>
    <row r="1003" spans="1:13" ht="13.5" customHeight="1" x14ac:dyDescent="0.15">
      <c r="A1003" s="134"/>
      <c r="B1003" s="135"/>
      <c r="C1003" s="136"/>
      <c r="D1003" s="126" t="s">
        <v>367</v>
      </c>
      <c r="E1003" s="136"/>
      <c r="F1003" s="136"/>
      <c r="G1003" s="136"/>
      <c r="H1003" s="136"/>
      <c r="I1003" s="136"/>
      <c r="J1003" s="136"/>
      <c r="K1003" s="136"/>
      <c r="L1003" s="136"/>
      <c r="M1003" s="136"/>
    </row>
    <row r="1004" spans="1:13" ht="13.5" customHeight="1" x14ac:dyDescent="0.15">
      <c r="A1004" s="134"/>
      <c r="B1004" s="135"/>
      <c r="C1004" s="136"/>
      <c r="D1004" s="126" t="s">
        <v>367</v>
      </c>
      <c r="E1004" s="136"/>
      <c r="F1004" s="136"/>
      <c r="G1004" s="136"/>
      <c r="H1004" s="136"/>
      <c r="I1004" s="136"/>
      <c r="J1004" s="136"/>
      <c r="K1004" s="136"/>
      <c r="L1004" s="136"/>
      <c r="M1004" s="136"/>
    </row>
    <row r="1005" spans="1:13" ht="13.5" customHeight="1" x14ac:dyDescent="0.15">
      <c r="A1005" s="134"/>
      <c r="B1005" s="135"/>
      <c r="C1005" s="136"/>
      <c r="D1005" s="126" t="s">
        <v>367</v>
      </c>
      <c r="E1005" s="136"/>
      <c r="F1005" s="136"/>
      <c r="G1005" s="136"/>
      <c r="H1005" s="136"/>
      <c r="I1005" s="136"/>
      <c r="J1005" s="136"/>
      <c r="K1005" s="136"/>
      <c r="L1005" s="136"/>
      <c r="M1005" s="136"/>
    </row>
    <row r="1006" spans="1:13" ht="13.5" customHeight="1" x14ac:dyDescent="0.15">
      <c r="A1006" s="134"/>
      <c r="B1006" s="135"/>
      <c r="C1006" s="136"/>
      <c r="D1006" s="126"/>
      <c r="E1006" s="136"/>
      <c r="F1006" s="136"/>
      <c r="G1006" s="136"/>
      <c r="H1006" s="136"/>
      <c r="I1006" s="136"/>
      <c r="J1006" s="136"/>
      <c r="K1006" s="136"/>
      <c r="L1006" s="136"/>
      <c r="M1006" s="136"/>
    </row>
    <row r="1007" spans="1:13" ht="13.5" customHeight="1" x14ac:dyDescent="0.15">
      <c r="A1007" s="134"/>
      <c r="B1007" s="135"/>
      <c r="C1007" s="136"/>
      <c r="D1007" s="137"/>
      <c r="E1007" s="136"/>
      <c r="F1007" s="136"/>
      <c r="G1007" s="136"/>
      <c r="H1007" s="136"/>
      <c r="I1007" s="136"/>
      <c r="J1007" s="136"/>
      <c r="K1007" s="136"/>
      <c r="L1007" s="136"/>
      <c r="M1007" s="136"/>
    </row>
  </sheetData>
  <autoFilter ref="A3:M1005" xr:uid="{00000000-0009-0000-0000-000005000000}"/>
  <conditionalFormatting sqref="I1:I1007">
    <cfRule type="containsText" dxfId="21" priority="3" operator="containsText" text="採購">
      <formula>NOT(ISERROR(SEARCH(("採購"),(I1))))</formula>
    </cfRule>
  </conditionalFormatting>
  <conditionalFormatting sqref="I4:I9">
    <cfRule type="cellIs" dxfId="20" priority="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9" priority="1" operator="lessThan">
      <formula>10</formula>
    </cfRule>
  </conditionalFormatting>
  <conditionalFormatting sqref="I103:I138">
    <cfRule type="cellIs" dxfId="18" priority="2" operator="lessThan">
      <formula>10</formula>
    </cfRule>
  </conditionalFormatting>
  <conditionalFormatting sqref="J1 J3:J1007">
    <cfRule type="cellIs" dxfId="17" priority="4" operator="lessThan">
      <formula>1</formula>
    </cfRule>
  </conditionalFormatting>
  <conditionalFormatting sqref="J2">
    <cfRule type="containsText" dxfId="16" priority="6" operator="containsText" text="採購">
      <formula>NOT(ISERROR(SEARCH(("採購"),(J2))))</formula>
    </cfRule>
  </conditionalFormatting>
  <hyperlinks>
    <hyperlink ref="C2" location="'每日用粉紀錄表'!A1" display="紀錄表" xr:uid="{00000000-0004-0000-0500-000000000000}"/>
    <hyperlink ref="E2" location="'期初庫存'!F2" display="期初庫存" xr:uid="{00000000-0004-0000-0500-000001000000}"/>
    <hyperlink ref="F2" location="'採購入庫'!A1" display="採購入庫" xr:uid="{00000000-0004-0000-0500-000002000000}"/>
  </hyperlinks>
  <pageMargins left="0.7" right="0.7" top="0.75" bottom="0.75" header="0" footer="0"/>
  <pageSetup paperSize="9"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5"/>
  <sheetViews>
    <sheetView workbookViewId="0">
      <pane xSplit="3" topLeftCell="D1" activePane="topRight" state="frozen"/>
      <selection pane="topRight" activeCell="E2" sqref="E2"/>
    </sheetView>
  </sheetViews>
  <sheetFormatPr defaultColWidth="13.97265625" defaultRowHeight="15" customHeight="1" x14ac:dyDescent="0.15"/>
  <cols>
    <col min="1" max="1" width="1.9609375" customWidth="1"/>
    <col min="2" max="2" width="5.390625" customWidth="1"/>
    <col min="3" max="9" width="10.05078125" customWidth="1"/>
    <col min="10" max="10" width="10.91015625" customWidth="1"/>
    <col min="11" max="11" width="9.4375" customWidth="1"/>
    <col min="12" max="12" width="10.05078125" customWidth="1"/>
  </cols>
  <sheetData>
    <row r="1" spans="1:12" ht="13.5" customHeight="1" x14ac:dyDescent="0.15">
      <c r="A1" s="22"/>
      <c r="B1" s="22"/>
      <c r="C1" s="22"/>
      <c r="D1" s="22"/>
      <c r="E1" s="22"/>
      <c r="F1" s="22"/>
      <c r="G1" s="22"/>
      <c r="H1" s="22"/>
      <c r="I1" s="22"/>
      <c r="J1" s="22"/>
      <c r="K1" s="22"/>
      <c r="L1" s="22"/>
    </row>
    <row r="2" spans="1:12" ht="13.5" customHeight="1" x14ac:dyDescent="0.15">
      <c r="A2" s="22"/>
      <c r="B2" s="138" t="s">
        <v>370</v>
      </c>
      <c r="C2" s="138" t="s">
        <v>23</v>
      </c>
      <c r="D2" s="138" t="s">
        <v>6</v>
      </c>
      <c r="E2" s="138" t="s">
        <v>324</v>
      </c>
      <c r="F2" s="138" t="s">
        <v>366</v>
      </c>
      <c r="G2" s="138" t="s">
        <v>371</v>
      </c>
      <c r="H2" s="138" t="s">
        <v>372</v>
      </c>
      <c r="I2" s="138" t="s">
        <v>373</v>
      </c>
      <c r="J2" s="139" t="s">
        <v>374</v>
      </c>
      <c r="K2" s="139" t="s">
        <v>375</v>
      </c>
      <c r="L2" s="140" t="s">
        <v>376</v>
      </c>
    </row>
    <row r="3" spans="1:12" ht="13.5" customHeight="1" x14ac:dyDescent="0.15">
      <c r="A3" s="22"/>
      <c r="B3" s="138">
        <v>1</v>
      </c>
      <c r="C3" s="119" t="str">
        <f>IF(烤漆色號編碼!A2="","-",烤漆色號編碼!A2)</f>
        <v>DP-11485</v>
      </c>
      <c r="D3" s="55">
        <f>IFERROR(VLOOKUP($C3,當前庫存!$C:$I,5,FALSE),"-")</f>
        <v>1</v>
      </c>
      <c r="E3" s="55">
        <f>IFERROR(VLOOKUP($C3,當前庫存!$C:$I,4,FALSE),"-")</f>
        <v>38</v>
      </c>
      <c r="F3" s="55">
        <f>IFERROR(VLOOKUP($C3,烤漆色號編碼!$A:$D,4,FALSE)*對照表!$D3+對照表!$E3,"-")</f>
        <v>63</v>
      </c>
      <c r="G3" s="119">
        <v>1</v>
      </c>
      <c r="H3" s="119">
        <f>5+23+10</f>
        <v>38</v>
      </c>
      <c r="I3" s="55">
        <f>IFERROR(VLOOKUP($C3,烤漆色號編碼!$A:$D,4,FALSE)*對照表!$G3+對照表!$H3,"-")</f>
        <v>63</v>
      </c>
      <c r="J3" s="122" t="str">
        <f>IF(I3&gt;對照表!$F3,"多粉",IF(I3&lt;對照表!$F3,"少粉","正確"))</f>
        <v>正確</v>
      </c>
      <c r="K3" s="122">
        <f>I3-對照表!$F3</f>
        <v>0</v>
      </c>
      <c r="L3" s="22"/>
    </row>
    <row r="4" spans="1:12" ht="13.5" customHeight="1" x14ac:dyDescent="0.15">
      <c r="A4" s="22"/>
      <c r="B4" s="138">
        <v>2</v>
      </c>
      <c r="C4" s="119" t="str">
        <f>IF(烤漆色號編碼!A3="","-",烤漆色號編碼!A3)</f>
        <v>DP-1856</v>
      </c>
      <c r="D4" s="55">
        <f>IFERROR(VLOOKUP($C4,當前庫存!$C:$I,5,FALSE),"-")</f>
        <v>1</v>
      </c>
      <c r="E4" s="55">
        <f>IFERROR(VLOOKUP($C4,當前庫存!$C:$I,4,FALSE),"-")</f>
        <v>12</v>
      </c>
      <c r="F4" s="55">
        <f>IFERROR(VLOOKUP($C4,烤漆色號編碼!$A:$D,4,FALSE)*對照表!$D4+對照表!$E4,"-")</f>
        <v>37</v>
      </c>
      <c r="G4" s="119">
        <v>1</v>
      </c>
      <c r="H4" s="119">
        <v>12</v>
      </c>
      <c r="I4" s="55">
        <f>IFERROR(VLOOKUP($C4,烤漆色號編碼!$A:$D,4,FALSE)*對照表!$G4+對照表!$H4,"-")</f>
        <v>37</v>
      </c>
      <c r="J4" s="122" t="str">
        <f>IF(I4&gt;對照表!$F4,"多粉",IF(I4&lt;對照表!$F4,"少粉","正確"))</f>
        <v>正確</v>
      </c>
      <c r="K4" s="122">
        <f>I4-對照表!$F4</f>
        <v>0</v>
      </c>
      <c r="L4" s="22"/>
    </row>
    <row r="5" spans="1:12" ht="13.5" customHeight="1" x14ac:dyDescent="0.15">
      <c r="A5" s="22"/>
      <c r="B5" s="138">
        <v>3</v>
      </c>
      <c r="C5" s="119" t="str">
        <f>IF(烤漆色號編碼!A4="","-",烤漆色號編碼!A4)</f>
        <v>O-5905</v>
      </c>
      <c r="D5" s="55">
        <f>IFERROR(VLOOKUP($C5,當前庫存!$C:$I,5,FALSE),"-")</f>
        <v>0</v>
      </c>
      <c r="E5" s="55">
        <f>IFERROR(VLOOKUP($C5,當前庫存!$C:$I,4,FALSE),"-")</f>
        <v>0</v>
      </c>
      <c r="F5" s="55">
        <f>IFERROR(VLOOKUP($C5,烤漆色號編碼!$A:$D,4,FALSE)*對照表!$D5+對照表!$E5,"-")</f>
        <v>0</v>
      </c>
      <c r="G5" s="119">
        <v>0</v>
      </c>
      <c r="H5" s="119">
        <v>0</v>
      </c>
      <c r="I5" s="55">
        <f>IFERROR(VLOOKUP($C5,烤漆色號編碼!$A:$D,4,FALSE)*對照表!$G5+對照表!$H5,"-")</f>
        <v>0</v>
      </c>
      <c r="J5" s="122" t="str">
        <f>IF(I5&gt;對照表!$F5,"多粉",IF(I5&lt;對照表!$F5,"少粉","正確"))</f>
        <v>正確</v>
      </c>
      <c r="K5" s="122">
        <f>I5-對照表!$F5</f>
        <v>0</v>
      </c>
      <c r="L5" s="22"/>
    </row>
    <row r="6" spans="1:12" ht="13.5" customHeight="1" x14ac:dyDescent="0.15">
      <c r="A6" s="22"/>
      <c r="B6" s="138">
        <v>4</v>
      </c>
      <c r="C6" s="119" t="str">
        <f>IF(烤漆色號編碼!A5="","-",烤漆色號編碼!A5)</f>
        <v>New O-5905</v>
      </c>
      <c r="D6" s="55">
        <f>IFERROR(VLOOKUP($C6,當前庫存!$C:$I,5,FALSE),"-")</f>
        <v>2</v>
      </c>
      <c r="E6" s="55">
        <f>IFERROR(VLOOKUP($C6,當前庫存!$C:$I,4,FALSE),"-")</f>
        <v>7</v>
      </c>
      <c r="F6" s="55">
        <f>IFERROR(VLOOKUP($C6,烤漆色號編碼!$A:$D,4,FALSE)*對照表!$D6+對照表!$E6,"-")</f>
        <v>57</v>
      </c>
      <c r="G6" s="119">
        <v>2</v>
      </c>
      <c r="H6" s="119">
        <v>7</v>
      </c>
      <c r="I6" s="55">
        <f>IFERROR(VLOOKUP($C6,烤漆色號編碼!$A:$D,4,FALSE)*對照表!$G6+對照表!$H6,"-")</f>
        <v>57</v>
      </c>
      <c r="J6" s="122" t="str">
        <f>IF(I6&gt;對照表!$F6,"多粉",IF(I6&lt;對照表!$F6,"少粉","正確"))</f>
        <v>正確</v>
      </c>
      <c r="K6" s="122">
        <f>I6-對照表!$F6</f>
        <v>0</v>
      </c>
      <c r="L6" s="22"/>
    </row>
    <row r="7" spans="1:12" ht="13.5" customHeight="1" x14ac:dyDescent="0.15">
      <c r="A7" s="22"/>
      <c r="B7" s="138">
        <v>5</v>
      </c>
      <c r="C7" s="119" t="str">
        <f>IF(烤漆色號編碼!A6="","-",烤漆色號編碼!A6)</f>
        <v>790-41540H</v>
      </c>
      <c r="D7" s="55">
        <f>IFERROR(VLOOKUP($C7,當前庫存!$C:$I,5,FALSE),"-")</f>
        <v>0</v>
      </c>
      <c r="E7" s="55">
        <f>IFERROR(VLOOKUP($C7,當前庫存!$C:$I,4,FALSE),"-")</f>
        <v>27</v>
      </c>
      <c r="F7" s="55">
        <f>IFERROR(VLOOKUP($C7,烤漆色號編碼!$A:$D,4,FALSE)*對照表!$D7+對照表!$E7,"-")</f>
        <v>27</v>
      </c>
      <c r="G7" s="119">
        <v>0</v>
      </c>
      <c r="H7" s="119">
        <f>21+6</f>
        <v>27</v>
      </c>
      <c r="I7" s="55">
        <f>IFERROR(VLOOKUP($C7,烤漆色號編碼!$A:$D,4,FALSE)*對照表!$G7+對照表!$H7,"-")</f>
        <v>27</v>
      </c>
      <c r="J7" s="122" t="str">
        <f>IF(I7&gt;對照表!$F7,"多粉",IF(I7&lt;對照表!$F7,"少粉","正確"))</f>
        <v>正確</v>
      </c>
      <c r="K7" s="122">
        <f>I7-對照表!$F7</f>
        <v>0</v>
      </c>
      <c r="L7" s="22"/>
    </row>
    <row r="8" spans="1:12" ht="13.5" customHeight="1" x14ac:dyDescent="0.15">
      <c r="A8" s="22"/>
      <c r="B8" s="138">
        <v>6</v>
      </c>
      <c r="C8" s="119" t="str">
        <f>IF(烤漆色號編碼!A7="","-",烤漆色號編碼!A7)</f>
        <v>780-310AT</v>
      </c>
      <c r="D8" s="55">
        <f>IFERROR(VLOOKUP($C8,當前庫存!$C:$I,5,FALSE),"-")</f>
        <v>3</v>
      </c>
      <c r="E8" s="55">
        <f>IFERROR(VLOOKUP($C8,當前庫存!$C:$I,4,FALSE),"-")</f>
        <v>11</v>
      </c>
      <c r="F8" s="55">
        <f>IFERROR(VLOOKUP($C8,烤漆色號編碼!$A:$D,4,FALSE)*對照表!$D8+對照表!$E8,"-")</f>
        <v>86</v>
      </c>
      <c r="G8" s="119">
        <v>3</v>
      </c>
      <c r="H8" s="119">
        <v>12</v>
      </c>
      <c r="I8" s="55">
        <f>IFERROR(VLOOKUP($C8,烤漆色號編碼!$A:$D,4,FALSE)*對照表!$G8+對照表!$H8,"-")</f>
        <v>87</v>
      </c>
      <c r="J8" s="122" t="str">
        <f>IF(I8&gt;對照表!$F8,"多粉",IF(I8&lt;對照表!$F8,"少粉","正確"))</f>
        <v>多粉</v>
      </c>
      <c r="K8" s="122">
        <f>I8-對照表!$F8</f>
        <v>1</v>
      </c>
      <c r="L8" s="22"/>
    </row>
    <row r="9" spans="1:12" ht="13.5" customHeight="1" x14ac:dyDescent="0.15">
      <c r="A9" s="22"/>
      <c r="B9" s="138">
        <v>7</v>
      </c>
      <c r="C9" s="119" t="str">
        <f>IF(烤漆色號編碼!A8="","-",烤漆色號編碼!A8)</f>
        <v>LT-90442</v>
      </c>
      <c r="D9" s="55">
        <f>IFERROR(VLOOKUP($C9,當前庫存!$C:$I,5,FALSE),"-")</f>
        <v>2</v>
      </c>
      <c r="E9" s="55">
        <f>IFERROR(VLOOKUP($C9,當前庫存!$C:$I,4,FALSE),"-")</f>
        <v>3</v>
      </c>
      <c r="F9" s="55">
        <f>IFERROR(VLOOKUP($C9,烤漆色號編碼!$A:$D,4,FALSE)*對照表!$D9+對照表!$E9,"-")</f>
        <v>53</v>
      </c>
      <c r="G9" s="119">
        <v>2</v>
      </c>
      <c r="H9" s="119">
        <v>3</v>
      </c>
      <c r="I9" s="55">
        <f>IFERROR(VLOOKUP($C9,烤漆色號編碼!$A:$D,4,FALSE)*對照表!$G9+對照表!$H9,"-")</f>
        <v>53</v>
      </c>
      <c r="J9" s="122" t="str">
        <f>IF(I9&gt;對照表!$F9,"多粉",IF(I9&lt;對照表!$F9,"少粉","正確"))</f>
        <v>正確</v>
      </c>
      <c r="K9" s="122">
        <f>I9-對照表!$F9</f>
        <v>0</v>
      </c>
      <c r="L9" s="22"/>
    </row>
    <row r="10" spans="1:12" ht="13.5" customHeight="1" x14ac:dyDescent="0.15">
      <c r="A10" s="22"/>
      <c r="B10" s="138">
        <v>8</v>
      </c>
      <c r="C10" s="119" t="str">
        <f>IF(烤漆色號編碼!A9="","-",烤漆色號編碼!A9)</f>
        <v>770-739</v>
      </c>
      <c r="D10" s="55">
        <f>IFERROR(VLOOKUP($C10,當前庫存!$C:$I,5,FALSE),"-")</f>
        <v>4</v>
      </c>
      <c r="E10" s="55">
        <f>IFERROR(VLOOKUP($C10,當前庫存!$C:$I,4,FALSE),"-")</f>
        <v>21</v>
      </c>
      <c r="F10" s="55">
        <f>IFERROR(VLOOKUP($C10,烤漆色號編碼!$A:$D,4,FALSE)*對照表!$D10+對照表!$E10,"-")</f>
        <v>121</v>
      </c>
      <c r="G10" s="119">
        <v>5</v>
      </c>
      <c r="H10" s="119">
        <v>5</v>
      </c>
      <c r="I10" s="55">
        <f>IFERROR(VLOOKUP($C10,烤漆色號編碼!$A:$D,4,FALSE)*對照表!$G10+對照表!$H10,"-")</f>
        <v>130</v>
      </c>
      <c r="J10" s="122" t="str">
        <f>IF(I10&gt;對照表!$F10,"多粉",IF(I10&lt;對照表!$F10,"少粉","正確"))</f>
        <v>多粉</v>
      </c>
      <c r="K10" s="122">
        <f>I10-對照表!$F10</f>
        <v>9</v>
      </c>
      <c r="L10" s="22"/>
    </row>
    <row r="11" spans="1:12" ht="13.5" customHeight="1" x14ac:dyDescent="0.15">
      <c r="A11" s="22"/>
      <c r="B11" s="138">
        <v>9</v>
      </c>
      <c r="C11" s="119" t="str">
        <f>IF(烤漆色號編碼!A10="","-",烤漆色號編碼!A10)</f>
        <v>4950-502</v>
      </c>
      <c r="D11" s="55">
        <f>IFERROR(VLOOKUP($C11,當前庫存!$C:$I,5,FALSE),"-")</f>
        <v>4</v>
      </c>
      <c r="E11" s="55">
        <f>IFERROR(VLOOKUP($C11,當前庫存!$C:$I,4,FALSE),"-")</f>
        <v>2</v>
      </c>
      <c r="F11" s="55">
        <f>IFERROR(VLOOKUP($C11,烤漆色號編碼!$A:$D,4,FALSE)*對照表!$D11+對照表!$E11,"-")</f>
        <v>102</v>
      </c>
      <c r="G11" s="119">
        <v>4</v>
      </c>
      <c r="H11" s="119">
        <v>11</v>
      </c>
      <c r="I11" s="55">
        <f>IFERROR(VLOOKUP($C11,烤漆色號編碼!$A:$D,4,FALSE)*對照表!$G11+對照表!$H11,"-")</f>
        <v>111</v>
      </c>
      <c r="J11" s="122" t="str">
        <f>IF(I11&gt;對照表!$F11,"多粉",IF(I11&lt;對照表!$F11,"少粉","正確"))</f>
        <v>多粉</v>
      </c>
      <c r="K11" s="122">
        <f>I11-對照表!$F11</f>
        <v>9</v>
      </c>
      <c r="L11" s="22"/>
    </row>
    <row r="12" spans="1:12" ht="13.5" customHeight="1" x14ac:dyDescent="0.15">
      <c r="A12" s="22"/>
      <c r="B12" s="138">
        <v>10</v>
      </c>
      <c r="C12" s="119" t="str">
        <f>IF(烤漆色號編碼!A11="","-",烤漆色號編碼!A11)</f>
        <v>EN-402T</v>
      </c>
      <c r="D12" s="55">
        <f>IFERROR(VLOOKUP($C12,當前庫存!$C:$I,5,FALSE),"-")</f>
        <v>0</v>
      </c>
      <c r="E12" s="55">
        <f>IFERROR(VLOOKUP($C12,當前庫存!$C:$I,4,FALSE),"-")</f>
        <v>33</v>
      </c>
      <c r="F12" s="55">
        <f>IFERROR(VLOOKUP($C12,烤漆色號編碼!$A:$D,4,FALSE)*對照表!$D12+對照表!$E12,"-")</f>
        <v>33</v>
      </c>
      <c r="G12" s="119">
        <v>0</v>
      </c>
      <c r="H12" s="119">
        <f>20+16</f>
        <v>36</v>
      </c>
      <c r="I12" s="55">
        <f>IFERROR(VLOOKUP($C12,烤漆色號編碼!$A:$D,4,FALSE)*對照表!$G12+對照表!$H12,"-")</f>
        <v>36</v>
      </c>
      <c r="J12" s="122" t="str">
        <f>IF(I12&gt;對照表!$F12,"多粉",IF(I12&lt;對照表!$F12,"少粉","正確"))</f>
        <v>多粉</v>
      </c>
      <c r="K12" s="122">
        <f>I12-對照表!$F12</f>
        <v>3</v>
      </c>
      <c r="L12" s="22"/>
    </row>
    <row r="13" spans="1:12" ht="13.5" customHeight="1" x14ac:dyDescent="0.15">
      <c r="A13" s="22"/>
      <c r="B13" s="138">
        <v>11</v>
      </c>
      <c r="C13" s="119" t="str">
        <f>IF(烤漆色號編碼!A12="","-",烤漆色號編碼!A12)</f>
        <v>K-91097G</v>
      </c>
      <c r="D13" s="55">
        <f>IFERROR(VLOOKUP($C13,當前庫存!$C:$I,5,FALSE),"-")</f>
        <v>24</v>
      </c>
      <c r="E13" s="55">
        <f>IFERROR(VLOOKUP($C13,當前庫存!$C:$I,4,FALSE),"-")</f>
        <v>-6</v>
      </c>
      <c r="F13" s="55">
        <f>IFERROR(VLOOKUP($C13,烤漆色號編碼!$A:$D,4,FALSE)*對照表!$D13+對照表!$E13,"-")</f>
        <v>594</v>
      </c>
      <c r="G13" s="119">
        <v>17</v>
      </c>
      <c r="H13" s="119">
        <v>8</v>
      </c>
      <c r="I13" s="55">
        <f>IFERROR(VLOOKUP($C13,烤漆色號編碼!$A:$D,4,FALSE)*對照表!$G13+對照表!$H13,"-")</f>
        <v>433</v>
      </c>
      <c r="J13" s="122" t="str">
        <f>IF(I13&gt;對照表!$F13,"多粉",IF(I13&lt;對照表!$F13,"少粉","正確"))</f>
        <v>少粉</v>
      </c>
      <c r="K13" s="122">
        <f>I13-對照表!$F13</f>
        <v>-161</v>
      </c>
      <c r="L13" s="22"/>
    </row>
    <row r="14" spans="1:12" ht="13.5" customHeight="1" x14ac:dyDescent="0.15">
      <c r="A14" s="22"/>
      <c r="B14" s="138">
        <v>12</v>
      </c>
      <c r="C14" s="119" t="str">
        <f>IF(烤漆色號編碼!A13="","-",烤漆色號編碼!A13)</f>
        <v>780-45510H</v>
      </c>
      <c r="D14" s="55">
        <f>IFERROR(VLOOKUP($C14,當前庫存!$C:$I,5,FALSE),"-")</f>
        <v>0</v>
      </c>
      <c r="E14" s="55">
        <f>IFERROR(VLOOKUP($C14,當前庫存!$C:$I,4,FALSE),"-")</f>
        <v>0</v>
      </c>
      <c r="F14" s="55">
        <f>IFERROR(VLOOKUP($C14,烤漆色號編碼!$A:$D,4,FALSE)*對照表!$D14+對照表!$E14,"-")</f>
        <v>0</v>
      </c>
      <c r="G14" s="119">
        <v>0</v>
      </c>
      <c r="H14" s="119">
        <v>0</v>
      </c>
      <c r="I14" s="55">
        <f>IFERROR(VLOOKUP($C14,烤漆色號編碼!$A:$D,4,FALSE)*對照表!$G14+對照表!$H14,"-")</f>
        <v>0</v>
      </c>
      <c r="J14" s="122" t="str">
        <f>IF(I14&gt;對照表!$F14,"多粉",IF(I14&lt;對照表!$F14,"少粉","正確"))</f>
        <v>正確</v>
      </c>
      <c r="K14" s="122">
        <f>I14-對照表!$F14</f>
        <v>0</v>
      </c>
      <c r="L14" s="22"/>
    </row>
    <row r="15" spans="1:12" ht="13.5" customHeight="1" x14ac:dyDescent="0.15">
      <c r="A15" s="22"/>
      <c r="B15" s="138">
        <v>13</v>
      </c>
      <c r="C15" s="119" t="str">
        <f>IF(烤漆色號編碼!A14="","-",烤漆色號編碼!A14)</f>
        <v>4605-505</v>
      </c>
      <c r="D15" s="55">
        <f>IFERROR(VLOOKUP($C15,當前庫存!$C:$I,5,FALSE),"-")</f>
        <v>3</v>
      </c>
      <c r="E15" s="55">
        <f>IFERROR(VLOOKUP($C15,當前庫存!$C:$I,4,FALSE),"-")</f>
        <v>21</v>
      </c>
      <c r="F15" s="55">
        <f>IFERROR(VLOOKUP($C15,烤漆色號編碼!$A:$D,4,FALSE)*對照表!$D15+對照表!$E15,"-")</f>
        <v>96</v>
      </c>
      <c r="G15" s="119">
        <v>3</v>
      </c>
      <c r="H15" s="119">
        <v>26</v>
      </c>
      <c r="I15" s="55">
        <f>IFERROR(VLOOKUP($C15,烤漆色號編碼!$A:$D,4,FALSE)*對照表!$G15+對照表!$H15,"-")</f>
        <v>101</v>
      </c>
      <c r="J15" s="122" t="str">
        <f>IF(I15&gt;對照表!$F15,"多粉",IF(I15&lt;對照表!$F15,"少粉","正確"))</f>
        <v>多粉</v>
      </c>
      <c r="K15" s="122">
        <f>I15-對照表!$F15</f>
        <v>5</v>
      </c>
      <c r="L15" s="22"/>
    </row>
    <row r="16" spans="1:12" ht="13.5" customHeight="1" x14ac:dyDescent="0.15">
      <c r="A16" s="22"/>
      <c r="B16" s="138">
        <v>14</v>
      </c>
      <c r="C16" s="119" t="str">
        <f>IF(烤漆色號編碼!A15="","-",烤漆色號編碼!A15)</f>
        <v>O-9850GSNB</v>
      </c>
      <c r="D16" s="55">
        <f>IFERROR(VLOOKUP($C16,當前庫存!$C:$I,5,FALSE),"-")</f>
        <v>1</v>
      </c>
      <c r="E16" s="55">
        <f>IFERROR(VLOOKUP($C16,當前庫存!$C:$I,4,FALSE),"-")</f>
        <v>65</v>
      </c>
      <c r="F16" s="55">
        <f>IFERROR(VLOOKUP($C16,烤漆色號編碼!$A:$D,4,FALSE)*對照表!$D16+對照表!$E16,"-")</f>
        <v>90</v>
      </c>
      <c r="G16" s="119">
        <v>1</v>
      </c>
      <c r="H16" s="119">
        <f>24+21+20</f>
        <v>65</v>
      </c>
      <c r="I16" s="55">
        <f>IFERROR(VLOOKUP($C16,烤漆色號編碼!$A:$D,4,FALSE)*對照表!$G16+對照表!$H16,"-")</f>
        <v>90</v>
      </c>
      <c r="J16" s="122" t="str">
        <f>IF(I16&gt;對照表!$F16,"多粉",IF(I16&lt;對照表!$F16,"少粉","正確"))</f>
        <v>正確</v>
      </c>
      <c r="K16" s="122">
        <f>I16-對照表!$F16</f>
        <v>0</v>
      </c>
      <c r="L16" s="22"/>
    </row>
    <row r="17" spans="1:12" ht="13.5" customHeight="1" x14ac:dyDescent="0.15">
      <c r="A17" s="22"/>
      <c r="B17" s="138">
        <v>15</v>
      </c>
      <c r="C17" s="119" t="str">
        <f>IF(烤漆色號編碼!A16="","-",烤漆色號編碼!A16)</f>
        <v>K-9287S</v>
      </c>
      <c r="D17" s="55">
        <f>IFERROR(VLOOKUP($C17,當前庫存!$C:$I,5,FALSE),"-")</f>
        <v>2</v>
      </c>
      <c r="E17" s="55">
        <f>IFERROR(VLOOKUP($C17,當前庫存!$C:$I,4,FALSE),"-")</f>
        <v>8</v>
      </c>
      <c r="F17" s="55">
        <f>IFERROR(VLOOKUP($C17,烤漆色號編碼!$A:$D,4,FALSE)*對照表!$D17+對照表!$E17,"-")</f>
        <v>58</v>
      </c>
      <c r="G17" s="119">
        <v>2</v>
      </c>
      <c r="H17" s="119">
        <v>8</v>
      </c>
      <c r="I17" s="55">
        <f>IFERROR(VLOOKUP($C17,烤漆色號編碼!$A:$D,4,FALSE)*對照表!$G17+對照表!$H17,"-")</f>
        <v>58</v>
      </c>
      <c r="J17" s="122" t="str">
        <f>IF(I17&gt;對照表!$F17,"多粉",IF(I17&lt;對照表!$F17,"少粉","正確"))</f>
        <v>正確</v>
      </c>
      <c r="K17" s="122">
        <f>I17-對照表!$F17</f>
        <v>0</v>
      </c>
      <c r="L17" s="22"/>
    </row>
    <row r="18" spans="1:12" ht="13.5" customHeight="1" x14ac:dyDescent="0.15">
      <c r="A18" s="22"/>
      <c r="B18" s="138">
        <v>16</v>
      </c>
      <c r="C18" s="119" t="str">
        <f>IF(烤漆色號編碼!A17="","-",烤漆色號編碼!A17)</f>
        <v>EL-0365T</v>
      </c>
      <c r="D18" s="55">
        <f>IFERROR(VLOOKUP($C18,當前庫存!$C:$I,5,FALSE),"-")</f>
        <v>2</v>
      </c>
      <c r="E18" s="55">
        <f>IFERROR(VLOOKUP($C18,當前庫存!$C:$I,4,FALSE),"-")</f>
        <v>13</v>
      </c>
      <c r="F18" s="55">
        <f>IFERROR(VLOOKUP($C18,烤漆色號編碼!$A:$D,4,FALSE)*對照表!$D18+對照表!$E18,"-")</f>
        <v>63</v>
      </c>
      <c r="G18" s="119">
        <v>2</v>
      </c>
      <c r="H18" s="119">
        <v>14</v>
      </c>
      <c r="I18" s="55">
        <f>IFERROR(VLOOKUP($C18,烤漆色號編碼!$A:$D,4,FALSE)*對照表!$G18+對照表!$H18,"-")</f>
        <v>64</v>
      </c>
      <c r="J18" s="122" t="str">
        <f>IF(I18&gt;對照表!$F18,"多粉",IF(I18&lt;對照表!$F18,"少粉","正確"))</f>
        <v>多粉</v>
      </c>
      <c r="K18" s="122">
        <f>I18-對照表!$F18</f>
        <v>1</v>
      </c>
      <c r="L18" s="22"/>
    </row>
    <row r="19" spans="1:12" ht="13.5" customHeight="1" x14ac:dyDescent="0.15">
      <c r="A19" s="22"/>
      <c r="B19" s="138">
        <v>17</v>
      </c>
      <c r="C19" s="119" t="str">
        <f>IF(烤漆色號編碼!A18="","-",烤漆色號編碼!A18)</f>
        <v>O-22170G</v>
      </c>
      <c r="D19" s="55">
        <f>IFERROR(VLOOKUP($C19,當前庫存!$C:$I,5,FALSE),"-")</f>
        <v>8</v>
      </c>
      <c r="E19" s="55">
        <f>IFERROR(VLOOKUP($C19,當前庫存!$C:$I,4,FALSE),"-")</f>
        <v>17</v>
      </c>
      <c r="F19" s="55">
        <f>IFERROR(VLOOKUP($C19,烤漆色號編碼!$A:$D,4,FALSE)*對照表!$D19+對照表!$E19,"-")</f>
        <v>217</v>
      </c>
      <c r="G19" s="119">
        <v>8</v>
      </c>
      <c r="H19" s="119">
        <v>17</v>
      </c>
      <c r="I19" s="55">
        <f>IFERROR(VLOOKUP($C19,烤漆色號編碼!$A:$D,4,FALSE)*對照表!$G19+對照表!$H19,"-")</f>
        <v>217</v>
      </c>
      <c r="J19" s="122" t="str">
        <f>IF(I19&gt;對照表!$F19,"多粉",IF(I19&lt;對照表!$F19,"少粉","正確"))</f>
        <v>正確</v>
      </c>
      <c r="K19" s="122">
        <f>I19-對照表!$F19</f>
        <v>0</v>
      </c>
      <c r="L19" s="22"/>
    </row>
    <row r="20" spans="1:12" ht="13.5" customHeight="1" x14ac:dyDescent="0.15">
      <c r="A20" s="22"/>
      <c r="B20" s="138">
        <v>18</v>
      </c>
      <c r="C20" s="119" t="str">
        <f>IF(烤漆色號編碼!A19="","-",烤漆色號編碼!A19)</f>
        <v>O-200SB</v>
      </c>
      <c r="D20" s="55">
        <f>IFERROR(VLOOKUP($C20,當前庫存!$C:$I,5,FALSE),"-")</f>
        <v>0</v>
      </c>
      <c r="E20" s="55">
        <f>IFERROR(VLOOKUP($C20,當前庫存!$C:$I,4,FALSE),"-")</f>
        <v>0</v>
      </c>
      <c r="F20" s="55">
        <f>IFERROR(VLOOKUP($C20,烤漆色號編碼!$A:$D,4,FALSE)*對照表!$D20+對照表!$E20,"-")</f>
        <v>0</v>
      </c>
      <c r="G20" s="119">
        <v>0</v>
      </c>
      <c r="H20" s="119">
        <v>0</v>
      </c>
      <c r="I20" s="55">
        <f>IFERROR(VLOOKUP($C20,烤漆色號編碼!$A:$D,4,FALSE)*對照表!$G20+對照表!$H20,"-")</f>
        <v>0</v>
      </c>
      <c r="J20" s="122" t="str">
        <f>IF(I20&gt;對照表!$F20,"多粉",IF(I20&lt;對照表!$F20,"少粉","正確"))</f>
        <v>正確</v>
      </c>
      <c r="K20" s="122">
        <f>I20-對照表!$F20</f>
        <v>0</v>
      </c>
      <c r="L20" s="22"/>
    </row>
    <row r="21" spans="1:12" ht="13.5" customHeight="1" x14ac:dyDescent="0.15">
      <c r="A21" s="22"/>
      <c r="B21" s="138">
        <v>19</v>
      </c>
      <c r="C21" s="119" t="str">
        <f>IF(烤漆色號編碼!A20="","-",烤漆色號編碼!A20)</f>
        <v>K-5257CSB</v>
      </c>
      <c r="D21" s="55">
        <f>IFERROR(VLOOKUP($C21,當前庫存!$C:$I,5,FALSE),"-")</f>
        <v>2</v>
      </c>
      <c r="E21" s="55">
        <f>IFERROR(VLOOKUP($C21,當前庫存!$C:$I,4,FALSE),"-")</f>
        <v>44</v>
      </c>
      <c r="F21" s="55">
        <f>IFERROR(VLOOKUP($C21,烤漆色號編碼!$A:$D,4,FALSE)*對照表!$D21+對照表!$E21,"-")</f>
        <v>94</v>
      </c>
      <c r="G21" s="119">
        <v>2</v>
      </c>
      <c r="H21" s="119">
        <f>23+11+10</f>
        <v>44</v>
      </c>
      <c r="I21" s="55">
        <f>IFERROR(VLOOKUP($C21,烤漆色號編碼!$A:$D,4,FALSE)*對照表!$G21+對照表!$H21,"-")</f>
        <v>94</v>
      </c>
      <c r="J21" s="122" t="str">
        <f>IF(I21&gt;對照表!$F21,"多粉",IF(I21&lt;對照表!$F21,"少粉","正確"))</f>
        <v>正確</v>
      </c>
      <c r="K21" s="122">
        <f>I21-對照表!$F21</f>
        <v>0</v>
      </c>
      <c r="L21" s="22"/>
    </row>
    <row r="22" spans="1:12" ht="13.5" customHeight="1" x14ac:dyDescent="0.15">
      <c r="A22" s="22"/>
      <c r="B22" s="138">
        <v>20</v>
      </c>
      <c r="C22" s="119" t="str">
        <f>IF(烤漆色號編碼!A21="","-",烤漆色號編碼!A21)</f>
        <v>K-4654</v>
      </c>
      <c r="D22" s="55">
        <f>IFERROR(VLOOKUP($C22,當前庫存!$C:$I,5,FALSE),"-")</f>
        <v>2</v>
      </c>
      <c r="E22" s="55">
        <f>IFERROR(VLOOKUP($C22,當前庫存!$C:$I,4,FALSE),"-")</f>
        <v>34</v>
      </c>
      <c r="F22" s="55">
        <f>IFERROR(VLOOKUP($C22,烤漆色號編碼!$A:$D,4,FALSE)*對照表!$D22+對照表!$E22,"-")</f>
        <v>84</v>
      </c>
      <c r="G22" s="119">
        <v>2</v>
      </c>
      <c r="H22" s="119">
        <f>16+12+6</f>
        <v>34</v>
      </c>
      <c r="I22" s="55">
        <f>IFERROR(VLOOKUP($C22,烤漆色號編碼!$A:$D,4,FALSE)*對照表!$G22+對照表!$H22,"-")</f>
        <v>84</v>
      </c>
      <c r="J22" s="122" t="str">
        <f>IF(I22&gt;對照表!$F22,"多粉",IF(I22&lt;對照表!$F22,"少粉","正確"))</f>
        <v>正確</v>
      </c>
      <c r="K22" s="122">
        <f>I22-對照表!$F22</f>
        <v>0</v>
      </c>
      <c r="L22" s="22"/>
    </row>
    <row r="23" spans="1:12" ht="13.5" customHeight="1" x14ac:dyDescent="0.15">
      <c r="A23" s="22"/>
      <c r="B23" s="138">
        <v>21</v>
      </c>
      <c r="C23" s="119" t="str">
        <f>IF(烤漆色號編碼!A22="","-",烤漆色號編碼!A22)</f>
        <v>780-9B65</v>
      </c>
      <c r="D23" s="55">
        <f>IFERROR(VLOOKUP($C23,當前庫存!$C:$I,5,FALSE),"-")</f>
        <v>3</v>
      </c>
      <c r="E23" s="55">
        <f>IFERROR(VLOOKUP($C23,當前庫存!$C:$I,4,FALSE),"-")</f>
        <v>21</v>
      </c>
      <c r="F23" s="55">
        <f>IFERROR(VLOOKUP($C23,烤漆色號編碼!$A:$D,4,FALSE)*對照表!$D23+對照表!$E23,"-")</f>
        <v>96</v>
      </c>
      <c r="G23" s="119">
        <v>3</v>
      </c>
      <c r="H23" s="119">
        <v>21</v>
      </c>
      <c r="I23" s="55">
        <f>IFERROR(VLOOKUP($C23,烤漆色號編碼!$A:$D,4,FALSE)*對照表!$G23+對照表!$H23,"-")</f>
        <v>96</v>
      </c>
      <c r="J23" s="122" t="str">
        <f>IF(I23&gt;對照表!$F23,"多粉",IF(I23&lt;對照表!$F23,"少粉","正確"))</f>
        <v>正確</v>
      </c>
      <c r="K23" s="122">
        <f>I23-對照表!$F23</f>
        <v>0</v>
      </c>
      <c r="L23" s="22"/>
    </row>
    <row r="24" spans="1:12" ht="13.5" customHeight="1" x14ac:dyDescent="0.15">
      <c r="A24" s="22"/>
      <c r="B24" s="138">
        <v>22</v>
      </c>
      <c r="C24" s="119" t="str">
        <f>IF(烤漆色號編碼!A23="","-",烤漆色號編碼!A23)</f>
        <v>780-9Q70</v>
      </c>
      <c r="D24" s="55">
        <f>IFERROR(VLOOKUP($C24,當前庫存!$C:$I,5,FALSE),"-")</f>
        <v>0</v>
      </c>
      <c r="E24" s="55">
        <f>IFERROR(VLOOKUP($C24,當前庫存!$C:$I,4,FALSE),"-")</f>
        <v>0</v>
      </c>
      <c r="F24" s="55">
        <f>IFERROR(VLOOKUP($C24,烤漆色號編碼!$A:$D,4,FALSE)*對照表!$D24+對照表!$E24,"-")</f>
        <v>0</v>
      </c>
      <c r="G24" s="119">
        <v>0</v>
      </c>
      <c r="H24" s="119">
        <v>0</v>
      </c>
      <c r="I24" s="55">
        <f>IFERROR(VLOOKUP($C24,烤漆色號編碼!$A:$D,4,FALSE)*對照表!$G24+對照表!$H24,"-")</f>
        <v>0</v>
      </c>
      <c r="J24" s="122" t="str">
        <f>IF(I24&gt;對照表!$F24,"多粉",IF(I24&lt;對照表!$F24,"少粉","正確"))</f>
        <v>正確</v>
      </c>
      <c r="K24" s="122">
        <f>I24-對照表!$F24</f>
        <v>0</v>
      </c>
      <c r="L24" s="22"/>
    </row>
    <row r="25" spans="1:12" ht="13.5" customHeight="1" x14ac:dyDescent="0.15">
      <c r="A25" s="22"/>
      <c r="B25" s="138">
        <v>23</v>
      </c>
      <c r="C25" s="119" t="str">
        <f>IF(烤漆色號編碼!A24="","-",烤漆色號編碼!A24)</f>
        <v>780-6902</v>
      </c>
      <c r="D25" s="55">
        <f>IFERROR(VLOOKUP($C25,當前庫存!$C:$I,5,FALSE),"-")</f>
        <v>2</v>
      </c>
      <c r="E25" s="55">
        <f>IFERROR(VLOOKUP($C25,當前庫存!$C:$I,4,FALSE),"-")</f>
        <v>12</v>
      </c>
      <c r="F25" s="55">
        <f>IFERROR(VLOOKUP($C25,烤漆色號編碼!$A:$D,4,FALSE)*對照表!$D25+對照表!$E25,"-")</f>
        <v>62</v>
      </c>
      <c r="G25" s="119">
        <v>2</v>
      </c>
      <c r="H25" s="119">
        <v>12</v>
      </c>
      <c r="I25" s="55">
        <f>IFERROR(VLOOKUP($C25,烤漆色號編碼!$A:$D,4,FALSE)*對照表!$G25+對照表!$H25,"-")</f>
        <v>62</v>
      </c>
      <c r="J25" s="122" t="str">
        <f>IF(I25&gt;對照表!$F25,"多粉",IF(I25&lt;對照表!$F25,"少粉","正確"))</f>
        <v>正確</v>
      </c>
      <c r="K25" s="122">
        <f>I25-對照表!$F25</f>
        <v>0</v>
      </c>
      <c r="L25" s="22"/>
    </row>
    <row r="26" spans="1:12" ht="13.5" customHeight="1" x14ac:dyDescent="0.15">
      <c r="A26" s="22"/>
      <c r="B26" s="138">
        <v>24</v>
      </c>
      <c r="C26" s="119" t="str">
        <f>IF(烤漆色號編碼!A25="","-",烤漆色號編碼!A25)</f>
        <v>A-10067</v>
      </c>
      <c r="D26" s="55">
        <f>IFERROR(VLOOKUP($C26,當前庫存!$C:$I,5,FALSE),"-")</f>
        <v>1</v>
      </c>
      <c r="E26" s="55">
        <f>IFERROR(VLOOKUP($C26,當前庫存!$C:$I,4,FALSE),"-")</f>
        <v>71</v>
      </c>
      <c r="F26" s="55">
        <f>IFERROR(VLOOKUP($C26,烤漆色號編碼!$A:$D,4,FALSE)*對照表!$D26+對照表!$E26,"-")</f>
        <v>96</v>
      </c>
      <c r="G26" s="119">
        <v>1</v>
      </c>
      <c r="H26" s="119">
        <f>26+24+21</f>
        <v>71</v>
      </c>
      <c r="I26" s="55">
        <f>IFERROR(VLOOKUP($C26,烤漆色號編碼!$A:$D,4,FALSE)*對照表!$G26+對照表!$H26,"-")</f>
        <v>96</v>
      </c>
      <c r="J26" s="122" t="str">
        <f>IF(I26&gt;對照表!$F26,"多粉",IF(I26&lt;對照表!$F26,"少粉","正確"))</f>
        <v>正確</v>
      </c>
      <c r="K26" s="122">
        <f>I26-對照表!$F26</f>
        <v>0</v>
      </c>
      <c r="L26" s="22"/>
    </row>
    <row r="27" spans="1:12" ht="13.5" customHeight="1" x14ac:dyDescent="0.15">
      <c r="A27" s="22"/>
      <c r="B27" s="138">
        <v>25</v>
      </c>
      <c r="C27" s="119" t="str">
        <f>IF(烤漆色號編碼!A26="","-",烤漆色號編碼!A26)</f>
        <v>4605-702A</v>
      </c>
      <c r="D27" s="55">
        <f>IFERROR(VLOOKUP($C27,當前庫存!$C:$I,5,FALSE),"-")</f>
        <v>0</v>
      </c>
      <c r="E27" s="55">
        <f>IFERROR(VLOOKUP($C27,當前庫存!$C:$I,4,FALSE),"-")</f>
        <v>11</v>
      </c>
      <c r="F27" s="55">
        <f>IFERROR(VLOOKUP($C27,烤漆色號編碼!$A:$D,4,FALSE)*對照表!$D27+對照表!$E27,"-")</f>
        <v>11</v>
      </c>
      <c r="G27" s="119">
        <v>0</v>
      </c>
      <c r="H27" s="119">
        <v>12</v>
      </c>
      <c r="I27" s="55">
        <f>IFERROR(VLOOKUP($C27,烤漆色號編碼!$A:$D,4,FALSE)*對照表!$G27+對照表!$H27,"-")</f>
        <v>12</v>
      </c>
      <c r="J27" s="122" t="str">
        <f>IF(I27&gt;對照表!$F27,"多粉",IF(I27&lt;對照表!$F27,"少粉","正確"))</f>
        <v>多粉</v>
      </c>
      <c r="K27" s="122">
        <f>I27-對照表!$F27</f>
        <v>1</v>
      </c>
      <c r="L27" s="22"/>
    </row>
    <row r="28" spans="1:12" ht="13.5" customHeight="1" x14ac:dyDescent="0.15">
      <c r="A28" s="22"/>
      <c r="B28" s="138">
        <v>26</v>
      </c>
      <c r="C28" s="119" t="str">
        <f>IF(烤漆色號編碼!A27="","-",烤漆色號編碼!A27)</f>
        <v>4900-246</v>
      </c>
      <c r="D28" s="55">
        <f>IFERROR(VLOOKUP($C28,當前庫存!$C:$I,5,FALSE),"-")</f>
        <v>0</v>
      </c>
      <c r="E28" s="55">
        <f>IFERROR(VLOOKUP($C28,當前庫存!$C:$I,4,FALSE),"-")</f>
        <v>22</v>
      </c>
      <c r="F28" s="55">
        <f>IFERROR(VLOOKUP($C28,烤漆色號編碼!$A:$D,4,FALSE)*對照表!$D28+對照表!$E28,"-")</f>
        <v>22</v>
      </c>
      <c r="G28" s="119">
        <v>0</v>
      </c>
      <c r="H28" s="119">
        <v>22</v>
      </c>
      <c r="I28" s="55">
        <f>IFERROR(VLOOKUP($C28,烤漆色號編碼!$A:$D,4,FALSE)*對照表!$G28+對照表!$H28,"-")</f>
        <v>22</v>
      </c>
      <c r="J28" s="122" t="str">
        <f>IF(I28&gt;對照表!$F28,"多粉",IF(I28&lt;對照表!$F28,"少粉","正確"))</f>
        <v>正確</v>
      </c>
      <c r="K28" s="122">
        <f>I28-對照表!$F28</f>
        <v>0</v>
      </c>
      <c r="L28" s="22"/>
    </row>
    <row r="29" spans="1:12" ht="13.5" customHeight="1" x14ac:dyDescent="0.15">
      <c r="A29" s="22"/>
      <c r="B29" s="138">
        <v>27</v>
      </c>
      <c r="C29" s="119" t="str">
        <f>IF(烤漆色號編碼!A28="","-",烤漆色號編碼!A28)</f>
        <v>4900-149</v>
      </c>
      <c r="D29" s="55">
        <f>IFERROR(VLOOKUP($C29,當前庫存!$C:$I,5,FALSE),"-")</f>
        <v>2</v>
      </c>
      <c r="E29" s="55">
        <f>IFERROR(VLOOKUP($C29,當前庫存!$C:$I,4,FALSE),"-")</f>
        <v>4</v>
      </c>
      <c r="F29" s="55">
        <f>IFERROR(VLOOKUP($C29,烤漆色號編碼!$A:$D,4,FALSE)*對照表!$D29+對照表!$E29,"-")</f>
        <v>54</v>
      </c>
      <c r="G29" s="119">
        <v>2</v>
      </c>
      <c r="H29" s="119">
        <v>4</v>
      </c>
      <c r="I29" s="55">
        <f>IFERROR(VLOOKUP($C29,烤漆色號編碼!$A:$D,4,FALSE)*對照表!$G29+對照表!$H29,"-")</f>
        <v>54</v>
      </c>
      <c r="J29" s="122" t="str">
        <f>IF(I29&gt;對照表!$F29,"多粉",IF(I29&lt;對照表!$F29,"少粉","正確"))</f>
        <v>正確</v>
      </c>
      <c r="K29" s="122">
        <f>I29-對照表!$F29</f>
        <v>0</v>
      </c>
      <c r="L29" s="22"/>
    </row>
    <row r="30" spans="1:12" ht="13.5" customHeight="1" x14ac:dyDescent="0.15">
      <c r="A30" s="22"/>
      <c r="B30" s="138">
        <v>28</v>
      </c>
      <c r="C30" s="119" t="str">
        <f>IF(烤漆色號編碼!A29="","-",烤漆色號編碼!A29)</f>
        <v>K-5510SCB</v>
      </c>
      <c r="D30" s="55">
        <f>IFERROR(VLOOKUP($C30,當前庫存!$C:$I,5,FALSE),"-")</f>
        <v>0</v>
      </c>
      <c r="E30" s="55">
        <f>IFERROR(VLOOKUP($C30,當前庫存!$C:$I,4,FALSE),"-")</f>
        <v>9</v>
      </c>
      <c r="F30" s="55">
        <f>IFERROR(VLOOKUP($C30,烤漆色號編碼!$A:$D,4,FALSE)*對照表!$D30+對照表!$E30,"-")</f>
        <v>9</v>
      </c>
      <c r="G30" s="119">
        <v>0</v>
      </c>
      <c r="H30" s="119">
        <v>9</v>
      </c>
      <c r="I30" s="55">
        <f>IFERROR(VLOOKUP($C30,烤漆色號編碼!$A:$D,4,FALSE)*對照表!$G30+對照表!$H30,"-")</f>
        <v>9</v>
      </c>
      <c r="J30" s="122" t="str">
        <f>IF(I30&gt;對照表!$F30,"多粉",IF(I30&lt;對照表!$F30,"少粉","正確"))</f>
        <v>正確</v>
      </c>
      <c r="K30" s="122">
        <f>I30-對照表!$F30</f>
        <v>0</v>
      </c>
      <c r="L30" s="22"/>
    </row>
    <row r="31" spans="1:12" ht="13.5" customHeight="1" x14ac:dyDescent="0.15">
      <c r="A31" s="22"/>
      <c r="B31" s="138">
        <v>29</v>
      </c>
      <c r="C31" s="119" t="str">
        <f>IF(烤漆色號編碼!A30="","-",烤漆色號編碼!A30)</f>
        <v>O-5337H</v>
      </c>
      <c r="D31" s="55">
        <f>IFERROR(VLOOKUP($C31,當前庫存!$C:$I,5,FALSE),"-")</f>
        <v>0</v>
      </c>
      <c r="E31" s="55">
        <f>IFERROR(VLOOKUP($C31,當前庫存!$C:$I,4,FALSE),"-")</f>
        <v>0</v>
      </c>
      <c r="F31" s="55">
        <f>IFERROR(VLOOKUP($C31,烤漆色號編碼!$A:$D,4,FALSE)*對照表!$D31+對照表!$E31,"-")</f>
        <v>0</v>
      </c>
      <c r="G31" s="119">
        <v>0</v>
      </c>
      <c r="H31" s="119">
        <v>0</v>
      </c>
      <c r="I31" s="55">
        <f>IFERROR(VLOOKUP($C31,烤漆色號編碼!$A:$D,4,FALSE)*對照表!$G31+對照表!$H31,"-")</f>
        <v>0</v>
      </c>
      <c r="J31" s="122" t="str">
        <f>IF(I31&gt;對照表!$F31,"多粉",IF(I31&lt;對照表!$F31,"少粉","正確"))</f>
        <v>正確</v>
      </c>
      <c r="K31" s="122">
        <f>I31-對照表!$F31</f>
        <v>0</v>
      </c>
      <c r="L31" s="22"/>
    </row>
    <row r="32" spans="1:12" ht="13.5" customHeight="1" x14ac:dyDescent="0.15">
      <c r="A32" s="22"/>
      <c r="B32" s="138">
        <v>30</v>
      </c>
      <c r="C32" s="119" t="str">
        <f>IF(烤漆色號編碼!A31="","-",烤漆色號編碼!A31)</f>
        <v>E-BY112</v>
      </c>
      <c r="D32" s="55">
        <f>IFERROR(VLOOKUP($C32,當前庫存!$C:$I,5,FALSE),"-")</f>
        <v>0</v>
      </c>
      <c r="E32" s="55">
        <f>IFERROR(VLOOKUP($C32,當前庫存!$C:$I,4,FALSE),"-")</f>
        <v>0</v>
      </c>
      <c r="F32" s="55">
        <f>IFERROR(VLOOKUP($C32,烤漆色號編碼!$A:$D,4,FALSE)*對照表!$D32+對照表!$E32,"-")</f>
        <v>0</v>
      </c>
      <c r="G32" s="119">
        <v>0</v>
      </c>
      <c r="H32" s="119">
        <v>0</v>
      </c>
      <c r="I32" s="55">
        <f>IFERROR(VLOOKUP($C32,烤漆色號編碼!$A:$D,4,FALSE)*對照表!$G32+對照表!$H32,"-")</f>
        <v>0</v>
      </c>
      <c r="J32" s="122" t="str">
        <f>IF(I32&gt;對照表!$F32,"多粉",IF(I32&lt;對照表!$F32,"少粉","正確"))</f>
        <v>正確</v>
      </c>
      <c r="K32" s="122">
        <f>I32-對照表!$F32</f>
        <v>0</v>
      </c>
      <c r="L32" s="22"/>
    </row>
    <row r="33" spans="1:12" ht="13.5" customHeight="1" x14ac:dyDescent="0.15">
      <c r="A33" s="22"/>
      <c r="B33" s="138">
        <v>31</v>
      </c>
      <c r="C33" s="119" t="str">
        <f>IF(烤漆色號編碼!A32="","-",烤漆色號編碼!A32)</f>
        <v>BP-133S</v>
      </c>
      <c r="D33" s="55">
        <f>IFERROR(VLOOKUP($C33,當前庫存!$C:$I,5,FALSE),"-")</f>
        <v>4</v>
      </c>
      <c r="E33" s="55">
        <f>IFERROR(VLOOKUP($C33,當前庫存!$C:$I,4,FALSE),"-")</f>
        <v>9</v>
      </c>
      <c r="F33" s="55">
        <f>IFERROR(VLOOKUP($C33,烤漆色號編碼!$A:$D,4,FALSE)*對照表!$D33+對照表!$E33,"-")</f>
        <v>89</v>
      </c>
      <c r="G33" s="119">
        <v>4</v>
      </c>
      <c r="H33" s="119">
        <v>9</v>
      </c>
      <c r="I33" s="55">
        <f>IFERROR(VLOOKUP($C33,烤漆色號編碼!$A:$D,4,FALSE)*對照表!$G33+對照表!$H33,"-")</f>
        <v>89</v>
      </c>
      <c r="J33" s="122" t="str">
        <f>IF(I33&gt;對照表!$F33,"多粉",IF(I33&lt;對照表!$F33,"少粉","正確"))</f>
        <v>正確</v>
      </c>
      <c r="K33" s="122">
        <f>I33-對照表!$F33</f>
        <v>0</v>
      </c>
      <c r="L33" s="22"/>
    </row>
    <row r="34" spans="1:12" ht="13.5" customHeight="1" x14ac:dyDescent="0.15">
      <c r="A34" s="22"/>
      <c r="B34" s="138">
        <v>32</v>
      </c>
      <c r="C34" s="119" t="str">
        <f>IF(烤漆色號編碼!A33="","-",烤漆色號編碼!A33)</f>
        <v>PC-20537Y</v>
      </c>
      <c r="D34" s="55">
        <f>IFERROR(VLOOKUP($C34,當前庫存!$C:$I,5,FALSE),"-")</f>
        <v>0</v>
      </c>
      <c r="E34" s="55">
        <f>IFERROR(VLOOKUP($C34,當前庫存!$C:$I,4,FALSE),"-")</f>
        <v>6</v>
      </c>
      <c r="F34" s="55">
        <f>IFERROR(VLOOKUP($C34,烤漆色號編碼!$A:$D,4,FALSE)*對照表!$D34+對照表!$E34,"-")</f>
        <v>6</v>
      </c>
      <c r="G34" s="119">
        <v>0</v>
      </c>
      <c r="H34" s="119">
        <v>6</v>
      </c>
      <c r="I34" s="55">
        <f>IFERROR(VLOOKUP($C34,烤漆色號編碼!$A:$D,4,FALSE)*對照表!$G34+對照表!$H34,"-")</f>
        <v>6</v>
      </c>
      <c r="J34" s="122" t="str">
        <f>IF(I34&gt;對照表!$F34,"多粉",IF(I34&lt;對照表!$F34,"少粉","正確"))</f>
        <v>正確</v>
      </c>
      <c r="K34" s="122">
        <f>I34-對照表!$F34</f>
        <v>0</v>
      </c>
      <c r="L34" s="22"/>
    </row>
    <row r="35" spans="1:12" ht="13.5" customHeight="1" x14ac:dyDescent="0.15">
      <c r="A35" s="22"/>
      <c r="B35" s="138">
        <v>33</v>
      </c>
      <c r="C35" s="119" t="str">
        <f>IF(烤漆色號編碼!A34="","-",烤漆色號編碼!A34)</f>
        <v>008/2H056</v>
      </c>
      <c r="D35" s="55">
        <f>IFERROR(VLOOKUP($C35,當前庫存!$C:$I,5,FALSE),"-")</f>
        <v>11</v>
      </c>
      <c r="E35" s="55">
        <f>IFERROR(VLOOKUP($C35,當前庫存!$C:$I,4,FALSE),"-")</f>
        <v>18</v>
      </c>
      <c r="F35" s="55">
        <f>IFERROR(VLOOKUP($C35,烤漆色號編碼!$A:$D,4,FALSE)*對照表!$D35+對照表!$E35,"-")</f>
        <v>293</v>
      </c>
      <c r="G35" s="119">
        <v>13</v>
      </c>
      <c r="H35" s="119">
        <f>5</f>
        <v>5</v>
      </c>
      <c r="I35" s="55">
        <f>IFERROR(VLOOKUP($C35,烤漆色號編碼!$A:$D,4,FALSE)*對照表!$G35+對照表!$H35,"-")</f>
        <v>330</v>
      </c>
      <c r="J35" s="122" t="str">
        <f>IF(I35&gt;對照表!$F35,"多粉",IF(I35&lt;對照表!$F35,"少粉","正確"))</f>
        <v>多粉</v>
      </c>
      <c r="K35" s="122">
        <f>I35-對照表!$F35</f>
        <v>37</v>
      </c>
      <c r="L35" s="22"/>
    </row>
    <row r="36" spans="1:12" ht="13.5" customHeight="1" x14ac:dyDescent="0.15">
      <c r="A36" s="22"/>
      <c r="B36" s="138">
        <v>34</v>
      </c>
      <c r="C36" s="119" t="str">
        <f>IF(烤漆色號編碼!A35="","-",烤漆色號編碼!A35)</f>
        <v>008/1H174</v>
      </c>
      <c r="D36" s="55">
        <f>IFERROR(VLOOKUP($C36,當前庫存!$C:$I,5,FALSE),"-")</f>
        <v>18</v>
      </c>
      <c r="E36" s="55">
        <f>IFERROR(VLOOKUP($C36,當前庫存!$C:$I,4,FALSE),"-")</f>
        <v>10</v>
      </c>
      <c r="F36" s="55">
        <f>IFERROR(VLOOKUP($C36,烤漆色號編碼!$A:$D,4,FALSE)*對照表!$D36+對照表!$E36,"-")</f>
        <v>460</v>
      </c>
      <c r="G36" s="119">
        <v>27</v>
      </c>
      <c r="H36" s="119">
        <v>6</v>
      </c>
      <c r="I36" s="55">
        <f>IFERROR(VLOOKUP($C36,烤漆色號編碼!$A:$D,4,FALSE)*對照表!$G36+對照表!$H36,"-")</f>
        <v>681</v>
      </c>
      <c r="J36" s="122" t="str">
        <f>IF(I36&gt;對照表!$F36,"多粉",IF(I36&lt;對照表!$F36,"少粉","正確"))</f>
        <v>多粉</v>
      </c>
      <c r="K36" s="122">
        <f>I36-對照表!$F36</f>
        <v>221</v>
      </c>
      <c r="L36" s="22"/>
    </row>
    <row r="37" spans="1:12" ht="13.5" customHeight="1" x14ac:dyDescent="0.15">
      <c r="A37" s="22"/>
      <c r="B37" s="138">
        <v>35</v>
      </c>
      <c r="C37" s="119" t="str">
        <f>IF(烤漆色號編碼!A36="","-",烤漆色號編碼!A36)</f>
        <v>O-58057</v>
      </c>
      <c r="D37" s="55">
        <f>IFERROR(VLOOKUP($C37,當前庫存!$C:$I,5,FALSE),"-")</f>
        <v>0</v>
      </c>
      <c r="E37" s="55">
        <f>IFERROR(VLOOKUP($C37,當前庫存!$C:$I,4,FALSE),"-")</f>
        <v>12</v>
      </c>
      <c r="F37" s="55">
        <f>IFERROR(VLOOKUP($C37,烤漆色號編碼!$A:$D,4,FALSE)*對照表!$D37+對照表!$E37,"-")</f>
        <v>12</v>
      </c>
      <c r="G37" s="119">
        <v>0</v>
      </c>
      <c r="H37" s="119">
        <f>8+3+1</f>
        <v>12</v>
      </c>
      <c r="I37" s="55">
        <f>IFERROR(VLOOKUP($C37,烤漆色號編碼!$A:$D,4,FALSE)*對照表!$G37+對照表!$H37,"-")</f>
        <v>12</v>
      </c>
      <c r="J37" s="122" t="str">
        <f>IF(I37&gt;對照表!$F37,"多粉",IF(I37&lt;對照表!$F37,"少粉","正確"))</f>
        <v>正確</v>
      </c>
      <c r="K37" s="122">
        <f>I37-對照表!$F37</f>
        <v>0</v>
      </c>
      <c r="L37" s="22"/>
    </row>
    <row r="38" spans="1:12" ht="13.5" customHeight="1" x14ac:dyDescent="0.15">
      <c r="A38" s="22"/>
      <c r="B38" s="138">
        <v>36</v>
      </c>
      <c r="C38" s="119" t="str">
        <f>IF(烤漆色號編碼!A37="","-",烤漆色號編碼!A37)</f>
        <v>K-7618</v>
      </c>
      <c r="D38" s="55">
        <f>IFERROR(VLOOKUP($C38,當前庫存!$C:$I,5,FALSE),"-")</f>
        <v>4</v>
      </c>
      <c r="E38" s="55">
        <f>IFERROR(VLOOKUP($C38,當前庫存!$C:$I,4,FALSE),"-")</f>
        <v>19</v>
      </c>
      <c r="F38" s="55">
        <f>IFERROR(VLOOKUP($C38,烤漆色號編碼!$A:$D,4,FALSE)*對照表!$D38+對照表!$E38,"-")</f>
        <v>119</v>
      </c>
      <c r="G38" s="119">
        <v>4</v>
      </c>
      <c r="H38" s="119">
        <v>19</v>
      </c>
      <c r="I38" s="55">
        <f>IFERROR(VLOOKUP($C38,烤漆色號編碼!$A:$D,4,FALSE)*對照表!$G38+對照表!$H38,"-")</f>
        <v>119</v>
      </c>
      <c r="J38" s="122" t="str">
        <f>IF(I38&gt;對照表!$F38,"多粉",IF(I38&lt;對照表!$F38,"少粉","正確"))</f>
        <v>正確</v>
      </c>
      <c r="K38" s="122">
        <f>I38-對照表!$F38</f>
        <v>0</v>
      </c>
      <c r="L38" s="22"/>
    </row>
    <row r="39" spans="1:12" ht="13.5" customHeight="1" x14ac:dyDescent="0.15">
      <c r="A39" s="22"/>
      <c r="B39" s="138">
        <v>37</v>
      </c>
      <c r="C39" s="119" t="str">
        <f>IF(烤漆色號編碼!A38="","-",烤漆色號編碼!A38)</f>
        <v>008/35624</v>
      </c>
      <c r="D39" s="55">
        <f>IFERROR(VLOOKUP($C39,當前庫存!$C:$I,5,FALSE),"-")</f>
        <v>0</v>
      </c>
      <c r="E39" s="55">
        <f>IFERROR(VLOOKUP($C39,當前庫存!$C:$I,4,FALSE),"-")</f>
        <v>20</v>
      </c>
      <c r="F39" s="55">
        <f>IFERROR(VLOOKUP($C39,烤漆色號編碼!$A:$D,4,FALSE)*對照表!$D39+對照表!$E39,"-")</f>
        <v>20</v>
      </c>
      <c r="G39" s="119">
        <v>0</v>
      </c>
      <c r="H39" s="119">
        <v>20</v>
      </c>
      <c r="I39" s="55">
        <f>IFERROR(VLOOKUP($C39,烤漆色號編碼!$A:$D,4,FALSE)*對照表!$G39+對照表!$H39,"-")</f>
        <v>20</v>
      </c>
      <c r="J39" s="122" t="str">
        <f>IF(I39&gt;對照表!$F39,"多粉",IF(I39&lt;對照表!$F39,"少粉","正確"))</f>
        <v>正確</v>
      </c>
      <c r="K39" s="122">
        <f>I39-對照表!$F39</f>
        <v>0</v>
      </c>
      <c r="L39" s="22"/>
    </row>
    <row r="40" spans="1:12" ht="13.5" customHeight="1" x14ac:dyDescent="0.15">
      <c r="A40" s="22"/>
      <c r="B40" s="138">
        <v>38</v>
      </c>
      <c r="C40" s="119" t="str">
        <f>IF(烤漆色號編碼!A39="","-",烤漆色號編碼!A39)</f>
        <v>780-7847AT</v>
      </c>
      <c r="D40" s="55">
        <f>IFERROR(VLOOKUP($C40,當前庫存!$C:$I,5,FALSE),"-")</f>
        <v>0</v>
      </c>
      <c r="E40" s="55">
        <f>IFERROR(VLOOKUP($C40,當前庫存!$C:$I,4,FALSE),"-")</f>
        <v>0</v>
      </c>
      <c r="F40" s="55">
        <f>IFERROR(VLOOKUP($C40,烤漆色號編碼!$A:$D,4,FALSE)*對照表!$D40+對照表!$E40,"-")</f>
        <v>0</v>
      </c>
      <c r="G40" s="119">
        <v>0</v>
      </c>
      <c r="H40" s="119">
        <v>0</v>
      </c>
      <c r="I40" s="55">
        <f>IFERROR(VLOOKUP($C40,烤漆色號編碼!$A:$D,4,FALSE)*對照表!$G40+對照表!$H40,"-")</f>
        <v>0</v>
      </c>
      <c r="J40" s="122" t="str">
        <f>IF(I40&gt;對照表!$F40,"多粉",IF(I40&lt;對照表!$F40,"少粉","正確"))</f>
        <v>正確</v>
      </c>
      <c r="K40" s="122">
        <f>I40-對照表!$F40</f>
        <v>0</v>
      </c>
      <c r="L40" s="22"/>
    </row>
    <row r="41" spans="1:12" ht="13.5" customHeight="1" x14ac:dyDescent="0.15">
      <c r="A41" s="22"/>
      <c r="B41" s="138">
        <v>39</v>
      </c>
      <c r="C41" s="119" t="str">
        <f>IF(烤漆色號編碼!A40="","-",烤漆色號編碼!A40)</f>
        <v>07146D</v>
      </c>
      <c r="D41" s="55">
        <f>IFERROR(VLOOKUP($C41,當前庫存!$C:$I,5,FALSE),"-")</f>
        <v>5</v>
      </c>
      <c r="E41" s="55">
        <f>IFERROR(VLOOKUP($C41,當前庫存!$C:$I,4,FALSE),"-")</f>
        <v>36</v>
      </c>
      <c r="F41" s="55">
        <f>IFERROR(VLOOKUP($C41,烤漆色號編碼!$A:$D,4,FALSE)*對照表!$D41+對照表!$E41,"-")</f>
        <v>161</v>
      </c>
      <c r="G41" s="119">
        <v>5</v>
      </c>
      <c r="H41" s="119">
        <f>20+16</f>
        <v>36</v>
      </c>
      <c r="I41" s="55">
        <f>IFERROR(VLOOKUP($C41,烤漆色號編碼!$A:$D,4,FALSE)*對照表!$G41+對照表!$H41,"-")</f>
        <v>161</v>
      </c>
      <c r="J41" s="122" t="str">
        <f>IF(I41&gt;對照表!$F41,"多粉",IF(I41&lt;對照表!$F41,"少粉","正確"))</f>
        <v>正確</v>
      </c>
      <c r="K41" s="122">
        <f>I41-對照表!$F41</f>
        <v>0</v>
      </c>
      <c r="L41" s="22"/>
    </row>
    <row r="42" spans="1:12" ht="13.5" customHeight="1" x14ac:dyDescent="0.15">
      <c r="A42" s="22"/>
      <c r="B42" s="138">
        <v>40</v>
      </c>
      <c r="C42" s="119" t="s">
        <v>367</v>
      </c>
      <c r="D42" s="119">
        <f>IF(當前庫存!J43="","-",當前庫存!J43)</f>
        <v>0</v>
      </c>
      <c r="E42" s="119">
        <f>IFERROR(VLOOKUP($C42,當前庫存!$C:$I,4,FALSE),"-")</f>
        <v>0</v>
      </c>
      <c r="F42" s="119" t="str">
        <f>IFERROR(VLOOKUP($C42,烤漆色號編碼!$A:$D,4,FALSE)*對照表!$D42+對照表!$E42,"-")</f>
        <v>-</v>
      </c>
      <c r="G42" s="119"/>
      <c r="H42" s="119"/>
      <c r="I42" s="55" t="str">
        <f>IFERROR(VLOOKUP($C42,烤漆色號編碼!$A:$D,4,FALSE)*對照表!$G42+對照表!$H42,"-")</f>
        <v>-</v>
      </c>
      <c r="J42" s="122" t="str">
        <f>IF(I42&gt;對照表!$F42,"多粉",IF(I42&lt;對照表!$F42,"少粉","正確"))</f>
        <v>正確</v>
      </c>
      <c r="K42" s="122" t="e" vm="1">
        <f>I42-對照表!$F42</f>
        <v>#VALUE!</v>
      </c>
      <c r="L42" s="22"/>
    </row>
    <row r="43" spans="1:12" ht="13.5" customHeight="1" x14ac:dyDescent="0.15">
      <c r="A43" s="22"/>
      <c r="B43" s="138">
        <v>41</v>
      </c>
      <c r="C43" s="119" t="s">
        <v>367</v>
      </c>
      <c r="D43" s="119">
        <f>IF(當前庫存!J44="","-",當前庫存!J44)</f>
        <v>0</v>
      </c>
      <c r="E43" s="119">
        <f>IFERROR(VLOOKUP($C43,當前庫存!$C:$I,4,FALSE),"-")</f>
        <v>0</v>
      </c>
      <c r="F43" s="119" t="str">
        <f>IFERROR(VLOOKUP($C43,烤漆色號編碼!$A:$D,4,FALSE)*對照表!$D43+對照表!$E43,"-")</f>
        <v>-</v>
      </c>
      <c r="G43" s="119"/>
      <c r="H43" s="119"/>
      <c r="I43" s="55" t="str">
        <f>IFERROR(VLOOKUP($C43,烤漆色號編碼!$A:$D,4,FALSE)*對照表!$G43+對照表!$H43,"-")</f>
        <v>-</v>
      </c>
      <c r="J43" s="122" t="str">
        <f>IF(I43&gt;對照表!$F43,"多粉",IF(I43&lt;對照表!$F43,"少粉","正確"))</f>
        <v>正確</v>
      </c>
      <c r="K43" s="122" t="e" vm="1">
        <f>I43-對照表!$F43</f>
        <v>#VALUE!</v>
      </c>
      <c r="L43" s="22"/>
    </row>
    <row r="44" spans="1:12" ht="13.5" customHeight="1" x14ac:dyDescent="0.15">
      <c r="A44" s="22"/>
      <c r="B44" s="138">
        <v>42</v>
      </c>
      <c r="C44" s="119" t="s">
        <v>367</v>
      </c>
      <c r="D44" s="119">
        <f>IF(當前庫存!J45="","-",當前庫存!J45)</f>
        <v>0</v>
      </c>
      <c r="E44" s="119">
        <f>IFERROR(VLOOKUP($C44,當前庫存!$C:$I,4,FALSE),"-")</f>
        <v>0</v>
      </c>
      <c r="F44" s="119" t="str">
        <f>IFERROR(VLOOKUP($C44,烤漆色號編碼!$A:$D,4,FALSE)*對照表!$D44+對照表!$E44,"-")</f>
        <v>-</v>
      </c>
      <c r="G44" s="119"/>
      <c r="H44" s="119"/>
      <c r="I44" s="55" t="str">
        <f>IFERROR(VLOOKUP($C44,烤漆色號編碼!$A:$D,4,FALSE)*對照表!$G44+對照表!$H44,"-")</f>
        <v>-</v>
      </c>
      <c r="J44" s="122" t="str">
        <f>IF(I44&gt;對照表!$F44,"多粉",IF(I44&lt;對照表!$F44,"少粉","正確"))</f>
        <v>正確</v>
      </c>
      <c r="K44" s="122" t="e" vm="1">
        <f>I44-對照表!$F44</f>
        <v>#VALUE!</v>
      </c>
      <c r="L44" s="22"/>
    </row>
    <row r="45" spans="1:12" ht="13.5" customHeight="1" x14ac:dyDescent="0.15">
      <c r="A45" s="22"/>
      <c r="B45" s="138">
        <v>43</v>
      </c>
      <c r="C45" s="119" t="s">
        <v>367</v>
      </c>
      <c r="D45" s="119">
        <f>IF(當前庫存!J46="","-",當前庫存!J46)</f>
        <v>0</v>
      </c>
      <c r="E45" s="119">
        <f>IFERROR(VLOOKUP($C45,當前庫存!$C:$I,4,FALSE),"-")</f>
        <v>0</v>
      </c>
      <c r="F45" s="119" t="str">
        <f>IFERROR(VLOOKUP($C45,烤漆色號編碼!$A:$D,4,FALSE)*對照表!$D45+對照表!$E45,"-")</f>
        <v>-</v>
      </c>
      <c r="G45" s="119"/>
      <c r="H45" s="119"/>
      <c r="I45" s="55" t="str">
        <f>IFERROR(VLOOKUP($C45,烤漆色號編碼!$A:$D,4,FALSE)*對照表!$G45+對照表!$H45,"-")</f>
        <v>-</v>
      </c>
      <c r="J45" s="122" t="str">
        <f>IF(I45&gt;對照表!$F45,"多粉",IF(I45&lt;對照表!$F45,"少粉","正確"))</f>
        <v>正確</v>
      </c>
      <c r="K45" s="122" t="e" vm="1">
        <f>I45-對照表!$F45</f>
        <v>#VALUE!</v>
      </c>
      <c r="L45" s="22"/>
    </row>
    <row r="46" spans="1:12" ht="13.5" customHeight="1" x14ac:dyDescent="0.15">
      <c r="A46" s="22"/>
      <c r="B46" s="138">
        <v>44</v>
      </c>
      <c r="C46" s="119" t="s">
        <v>367</v>
      </c>
      <c r="D46" s="119">
        <f>IF(當前庫存!J47="","-",當前庫存!J47)</f>
        <v>0</v>
      </c>
      <c r="E46" s="119">
        <f>IFERROR(VLOOKUP($C46,當前庫存!$C:$I,4,FALSE),"-")</f>
        <v>0</v>
      </c>
      <c r="F46" s="119" t="str">
        <f>IFERROR(VLOOKUP($C46,烤漆色號編碼!$A:$D,4,FALSE)*對照表!$D46+對照表!$E46,"-")</f>
        <v>-</v>
      </c>
      <c r="G46" s="119"/>
      <c r="H46" s="119"/>
      <c r="I46" s="55" t="str">
        <f>IFERROR(VLOOKUP($C46,烤漆色號編碼!$A:$D,4,FALSE)*對照表!$G46+對照表!$H46,"-")</f>
        <v>-</v>
      </c>
      <c r="J46" s="122" t="str">
        <f>IF(I46&gt;對照表!$F46,"多粉",IF(I46&lt;對照表!$F46,"少粉","正確"))</f>
        <v>正確</v>
      </c>
      <c r="K46" s="122" t="e" vm="1">
        <f>I46-對照表!$F46</f>
        <v>#VALUE!</v>
      </c>
      <c r="L46" s="22"/>
    </row>
    <row r="47" spans="1:12" ht="13.5" customHeight="1" x14ac:dyDescent="0.15">
      <c r="A47" s="22"/>
      <c r="B47" s="138">
        <v>45</v>
      </c>
      <c r="C47" s="119" t="s">
        <v>367</v>
      </c>
      <c r="D47" s="119">
        <f>IF(當前庫存!J48="","-",當前庫存!J48)</f>
        <v>0</v>
      </c>
      <c r="E47" s="119">
        <f>IFERROR(VLOOKUP($C47,當前庫存!$C:$I,4,FALSE),"-")</f>
        <v>0</v>
      </c>
      <c r="F47" s="119" t="str">
        <f>IFERROR(VLOOKUP($C47,烤漆色號編碼!$A:$D,4,FALSE)*對照表!$D47+對照表!$E47,"-")</f>
        <v>-</v>
      </c>
      <c r="G47" s="119"/>
      <c r="H47" s="119"/>
      <c r="I47" s="55" t="str">
        <f>IFERROR(VLOOKUP($C47,烤漆色號編碼!$A:$D,4,FALSE)*對照表!$G47+對照表!$H47,"-")</f>
        <v>-</v>
      </c>
      <c r="J47" s="122" t="str">
        <f>IF(I47&gt;對照表!$F47,"多粉",IF(I47&lt;對照表!$F47,"少粉","正確"))</f>
        <v>正確</v>
      </c>
      <c r="K47" s="122" t="e" vm="1">
        <f>I47-對照表!$F47</f>
        <v>#VALUE!</v>
      </c>
      <c r="L47" s="22"/>
    </row>
    <row r="48" spans="1:12" ht="13.5" customHeight="1" x14ac:dyDescent="0.15">
      <c r="A48" s="22"/>
      <c r="B48" s="138">
        <v>46</v>
      </c>
      <c r="C48" s="119" t="s">
        <v>367</v>
      </c>
      <c r="D48" s="119">
        <f>IF(當前庫存!J49="","-",當前庫存!J49)</f>
        <v>0</v>
      </c>
      <c r="E48" s="119">
        <f>IFERROR(VLOOKUP($C48,當前庫存!$C:$I,4,FALSE),"-")</f>
        <v>0</v>
      </c>
      <c r="F48" s="119" t="str">
        <f>IFERROR(VLOOKUP($C48,烤漆色號編碼!$A:$D,4,FALSE)*對照表!$D48+對照表!$E48,"-")</f>
        <v>-</v>
      </c>
      <c r="G48" s="119"/>
      <c r="H48" s="119"/>
      <c r="I48" s="55" t="str">
        <f>IFERROR(VLOOKUP($C48,烤漆色號編碼!$A:$D,4,FALSE)*對照表!$G48+對照表!$H48,"-")</f>
        <v>-</v>
      </c>
      <c r="J48" s="122" t="str">
        <f>IF(I48&gt;對照表!$F48,"多粉",IF(I48&lt;對照表!$F48,"少粉","正確"))</f>
        <v>正確</v>
      </c>
      <c r="K48" s="122" t="e" vm="1">
        <f>I48-對照表!$F48</f>
        <v>#VALUE!</v>
      </c>
      <c r="L48" s="22"/>
    </row>
    <row r="49" spans="1:12" ht="13.5" customHeight="1" x14ac:dyDescent="0.15">
      <c r="A49" s="22"/>
      <c r="B49" s="138">
        <v>47</v>
      </c>
      <c r="C49" s="119" t="s">
        <v>367</v>
      </c>
      <c r="D49" s="119">
        <f>IF(當前庫存!J50="","-",當前庫存!J50)</f>
        <v>0</v>
      </c>
      <c r="E49" s="119">
        <f>IFERROR(VLOOKUP($C49,當前庫存!$C:$I,4,FALSE),"-")</f>
        <v>0</v>
      </c>
      <c r="F49" s="119" t="str">
        <f>IFERROR(VLOOKUP($C49,烤漆色號編碼!$A:$D,4,FALSE)*對照表!$D49+對照表!$E49,"-")</f>
        <v>-</v>
      </c>
      <c r="G49" s="119"/>
      <c r="H49" s="119"/>
      <c r="I49" s="55" t="str">
        <f>IFERROR(VLOOKUP($C49,烤漆色號編碼!$A:$D,4,FALSE)*對照表!$G49+對照表!$H49,"-")</f>
        <v>-</v>
      </c>
      <c r="J49" s="122" t="str">
        <f>IF(I49&gt;對照表!$F49,"多粉",IF(I49&lt;對照表!$F49,"少粉","正確"))</f>
        <v>正確</v>
      </c>
      <c r="K49" s="122" t="e" vm="1">
        <f>I49-對照表!$F49</f>
        <v>#VALUE!</v>
      </c>
      <c r="L49" s="22"/>
    </row>
    <row r="50" spans="1:12" ht="13.5" customHeight="1" x14ac:dyDescent="0.15">
      <c r="A50" s="22"/>
      <c r="B50" s="138">
        <v>48</v>
      </c>
      <c r="C50" s="119" t="s">
        <v>367</v>
      </c>
      <c r="D50" s="119">
        <f>IF(當前庫存!J51="","-",當前庫存!J51)</f>
        <v>0</v>
      </c>
      <c r="E50" s="119">
        <f>IFERROR(VLOOKUP($C50,當前庫存!$C:$I,4,FALSE),"-")</f>
        <v>0</v>
      </c>
      <c r="F50" s="119" t="str">
        <f>IFERROR(VLOOKUP($C50,烤漆色號編碼!$A:$D,4,FALSE)*對照表!$D50+對照表!$E50,"-")</f>
        <v>-</v>
      </c>
      <c r="G50" s="119"/>
      <c r="H50" s="119"/>
      <c r="I50" s="55" t="str">
        <f>IFERROR(VLOOKUP($C50,烤漆色號編碼!$A:$D,4,FALSE)*對照表!$G50+對照表!$H50,"-")</f>
        <v>-</v>
      </c>
      <c r="J50" s="122" t="str">
        <f>IF(I50&gt;對照表!$F50,"多粉",IF(I50&lt;對照表!$F50,"少粉","正確"))</f>
        <v>正確</v>
      </c>
      <c r="K50" s="122" t="e" vm="1">
        <f>I50-對照表!$F50</f>
        <v>#VALUE!</v>
      </c>
      <c r="L50" s="22"/>
    </row>
    <row r="51" spans="1:12" ht="13.5" customHeight="1" x14ac:dyDescent="0.15">
      <c r="A51" s="22"/>
      <c r="B51" s="138">
        <v>49</v>
      </c>
      <c r="C51" s="119" t="s">
        <v>367</v>
      </c>
      <c r="D51" s="119">
        <f>IF(當前庫存!J52="","-",當前庫存!J52)</f>
        <v>0</v>
      </c>
      <c r="E51" s="119">
        <f>IFERROR(VLOOKUP($C51,當前庫存!$C:$I,4,FALSE),"-")</f>
        <v>0</v>
      </c>
      <c r="F51" s="119" t="str">
        <f>IFERROR(VLOOKUP($C51,烤漆色號編碼!$A:$D,4,FALSE)*對照表!$D51+對照表!$E51,"-")</f>
        <v>-</v>
      </c>
      <c r="G51" s="119"/>
      <c r="H51" s="119"/>
      <c r="I51" s="55" t="str">
        <f>IFERROR(VLOOKUP($C51,烤漆色號編碼!$A:$D,4,FALSE)*對照表!$G51+對照表!$H51,"-")</f>
        <v>-</v>
      </c>
      <c r="J51" s="122" t="str">
        <f>IF(I51&gt;對照表!$F51,"多粉",IF(I51&lt;對照表!$F51,"少粉","正確"))</f>
        <v>正確</v>
      </c>
      <c r="K51" s="122" t="e" vm="1">
        <f>I51-對照表!$F51</f>
        <v>#VALUE!</v>
      </c>
      <c r="L51" s="22"/>
    </row>
    <row r="52" spans="1:12" ht="13.5" customHeight="1" x14ac:dyDescent="0.15">
      <c r="A52" s="22"/>
      <c r="B52" s="138">
        <v>50</v>
      </c>
      <c r="C52" s="119" t="s">
        <v>367</v>
      </c>
      <c r="D52" s="119">
        <f>IF(當前庫存!J53="","-",當前庫存!J53)</f>
        <v>0</v>
      </c>
      <c r="E52" s="119">
        <f>IFERROR(VLOOKUP($C52,當前庫存!$C:$I,4,FALSE),"-")</f>
        <v>0</v>
      </c>
      <c r="F52" s="119" t="str">
        <f>IFERROR(VLOOKUP($C52,烤漆色號編碼!$A:$D,4,FALSE)*對照表!$D52+對照表!$E52,"-")</f>
        <v>-</v>
      </c>
      <c r="G52" s="119"/>
      <c r="H52" s="119"/>
      <c r="I52" s="55" t="str">
        <f>IFERROR(VLOOKUP($C52,烤漆色號編碼!$A:$D,4,FALSE)*對照表!$G52+對照表!$H52,"-")</f>
        <v>-</v>
      </c>
      <c r="J52" s="122" t="str">
        <f>IF(I52&gt;對照表!$F52,"多粉",IF(I52&lt;對照表!$F52,"少粉","正確"))</f>
        <v>正確</v>
      </c>
      <c r="K52" s="122" t="e" vm="1">
        <f>I52-對照表!$F52</f>
        <v>#VALUE!</v>
      </c>
      <c r="L52" s="22"/>
    </row>
    <row r="53" spans="1:12" ht="13.5" customHeight="1" x14ac:dyDescent="0.15">
      <c r="A53" s="22"/>
      <c r="B53" s="138">
        <v>51</v>
      </c>
      <c r="C53" s="119" t="s">
        <v>367</v>
      </c>
      <c r="D53" s="119">
        <f>IF(當前庫存!J54="","-",當前庫存!J54)</f>
        <v>0</v>
      </c>
      <c r="E53" s="119">
        <f>IFERROR(VLOOKUP($C53,當前庫存!$C:$I,4,FALSE),"-")</f>
        <v>0</v>
      </c>
      <c r="F53" s="119" t="str">
        <f>IFERROR(VLOOKUP($C53,烤漆色號編碼!$A:$D,4,FALSE)*對照表!$D53+對照表!$E53,"-")</f>
        <v>-</v>
      </c>
      <c r="G53" s="119"/>
      <c r="H53" s="119"/>
      <c r="I53" s="55" t="str">
        <f>IFERROR(VLOOKUP($C53,烤漆色號編碼!$A:$D,4,FALSE)*對照表!$G53+對照表!$H53,"-")</f>
        <v>-</v>
      </c>
      <c r="J53" s="122" t="str">
        <f>IF(I53&gt;對照表!$F53,"多粉",IF(I53&lt;對照表!$F53,"少粉","正確"))</f>
        <v>正確</v>
      </c>
      <c r="K53" s="122" t="e" vm="1">
        <f>I53-對照表!$F53</f>
        <v>#VALUE!</v>
      </c>
      <c r="L53" s="22"/>
    </row>
    <row r="54" spans="1:12" ht="13.5" customHeight="1" x14ac:dyDescent="0.15">
      <c r="A54" s="22"/>
      <c r="B54" s="138">
        <v>52</v>
      </c>
      <c r="C54" s="119" t="s">
        <v>367</v>
      </c>
      <c r="D54" s="119">
        <f>IF(當前庫存!J55="","-",當前庫存!J55)</f>
        <v>0</v>
      </c>
      <c r="E54" s="119">
        <f>IFERROR(VLOOKUP($C54,當前庫存!$C:$I,4,FALSE),"-")</f>
        <v>0</v>
      </c>
      <c r="F54" s="119" t="str">
        <f>IFERROR(VLOOKUP($C54,烤漆色號編碼!$A:$D,4,FALSE)*對照表!$D54+對照表!$E54,"-")</f>
        <v>-</v>
      </c>
      <c r="G54" s="119"/>
      <c r="H54" s="119"/>
      <c r="I54" s="55" t="str">
        <f>IFERROR(VLOOKUP($C54,烤漆色號編碼!$A:$D,4,FALSE)*對照表!$G54+對照表!$H54,"-")</f>
        <v>-</v>
      </c>
      <c r="J54" s="122" t="str">
        <f>IF(I54&gt;對照表!$F54,"多粉",IF(I54&lt;對照表!$F54,"少粉","正確"))</f>
        <v>正確</v>
      </c>
      <c r="K54" s="122" t="e" vm="1">
        <f>I54-對照表!$F54</f>
        <v>#VALUE!</v>
      </c>
      <c r="L54" s="22"/>
    </row>
    <row r="55" spans="1:12" ht="13.5" customHeight="1" x14ac:dyDescent="0.15">
      <c r="A55" s="22"/>
      <c r="B55" s="138">
        <v>53</v>
      </c>
      <c r="C55" s="119" t="s">
        <v>367</v>
      </c>
      <c r="D55" s="119">
        <f>IF(當前庫存!J56="","-",當前庫存!J56)</f>
        <v>0</v>
      </c>
      <c r="E55" s="119">
        <f>IFERROR(VLOOKUP($C55,當前庫存!$C:$I,4,FALSE),"-")</f>
        <v>0</v>
      </c>
      <c r="F55" s="119" t="str">
        <f>IFERROR(VLOOKUP($C55,烤漆色號編碼!$A:$D,4,FALSE)*對照表!$D55+對照表!$E55,"-")</f>
        <v>-</v>
      </c>
      <c r="G55" s="119"/>
      <c r="H55" s="119"/>
      <c r="I55" s="55" t="str">
        <f>IFERROR(VLOOKUP($C55,烤漆色號編碼!$A:$D,4,FALSE)*對照表!$G55+對照表!$H55,"-")</f>
        <v>-</v>
      </c>
      <c r="J55" s="122" t="str">
        <f>IF(I55&gt;對照表!$F55,"多粉",IF(I55&lt;對照表!$F55,"少粉","正確"))</f>
        <v>正確</v>
      </c>
      <c r="K55" s="122" t="e" vm="1">
        <f>I55-對照表!$F55</f>
        <v>#VALUE!</v>
      </c>
      <c r="L55" s="22"/>
    </row>
    <row r="56" spans="1:12" ht="13.5" customHeight="1" x14ac:dyDescent="0.15">
      <c r="A56" s="22"/>
      <c r="B56" s="138">
        <v>54</v>
      </c>
      <c r="C56" s="119" t="s">
        <v>367</v>
      </c>
      <c r="D56" s="119">
        <f>IF(當前庫存!J57="","-",當前庫存!J57)</f>
        <v>0</v>
      </c>
      <c r="E56" s="119">
        <f>IFERROR(VLOOKUP($C56,當前庫存!$C:$I,4,FALSE),"-")</f>
        <v>0</v>
      </c>
      <c r="F56" s="119" t="str">
        <f>IFERROR(VLOOKUP($C56,烤漆色號編碼!$A:$D,4,FALSE)*對照表!$D56+對照表!$E56,"-")</f>
        <v>-</v>
      </c>
      <c r="G56" s="119"/>
      <c r="H56" s="119"/>
      <c r="I56" s="55" t="str">
        <f>IFERROR(VLOOKUP($C56,烤漆色號編碼!$A:$D,4,FALSE)*對照表!$G56+對照表!$H56,"-")</f>
        <v>-</v>
      </c>
      <c r="J56" s="122" t="str">
        <f>IF(I56&gt;對照表!$F56,"多粉",IF(I56&lt;對照表!$F56,"少粉","正確"))</f>
        <v>正確</v>
      </c>
      <c r="K56" s="122" t="e" vm="1">
        <f>I56-對照表!$F56</f>
        <v>#VALUE!</v>
      </c>
      <c r="L56" s="22"/>
    </row>
    <row r="57" spans="1:12" ht="13.5" customHeight="1" x14ac:dyDescent="0.15">
      <c r="A57" s="22"/>
      <c r="B57" s="138">
        <v>55</v>
      </c>
      <c r="C57" s="119" t="s">
        <v>367</v>
      </c>
      <c r="D57" s="119">
        <f>IF(當前庫存!J58="","-",當前庫存!J58)</f>
        <v>0</v>
      </c>
      <c r="E57" s="119">
        <f>IFERROR(VLOOKUP($C57,當前庫存!$C:$I,4,FALSE),"-")</f>
        <v>0</v>
      </c>
      <c r="F57" s="119" t="str">
        <f>IFERROR(VLOOKUP($C57,烤漆色號編碼!$A:$D,4,FALSE)*對照表!$D57+對照表!$E57,"-")</f>
        <v>-</v>
      </c>
      <c r="G57" s="119"/>
      <c r="H57" s="119"/>
      <c r="I57" s="55" t="str">
        <f>IFERROR(VLOOKUP($C57,烤漆色號編碼!$A:$D,4,FALSE)*對照表!$G57+對照表!$H57,"-")</f>
        <v>-</v>
      </c>
      <c r="J57" s="122" t="str">
        <f>IF(I57&gt;對照表!$F57,"多粉",IF(I57&lt;對照表!$F57,"少粉","正確"))</f>
        <v>正確</v>
      </c>
      <c r="K57" s="122" t="e" vm="1">
        <f>I57-對照表!$F57</f>
        <v>#VALUE!</v>
      </c>
      <c r="L57" s="22"/>
    </row>
    <row r="58" spans="1:12" ht="13.5" customHeight="1" x14ac:dyDescent="0.15">
      <c r="A58" s="22"/>
      <c r="B58" s="138">
        <v>56</v>
      </c>
      <c r="C58" s="119" t="s">
        <v>367</v>
      </c>
      <c r="D58" s="119">
        <f>IF(當前庫存!J59="","-",當前庫存!J59)</f>
        <v>0</v>
      </c>
      <c r="E58" s="119">
        <f>IFERROR(VLOOKUP($C58,當前庫存!$C:$I,4,FALSE),"-")</f>
        <v>0</v>
      </c>
      <c r="F58" s="119" t="str">
        <f>IFERROR(VLOOKUP($C58,烤漆色號編碼!$A:$D,4,FALSE)*對照表!$D58+對照表!$E58,"-")</f>
        <v>-</v>
      </c>
      <c r="G58" s="119"/>
      <c r="H58" s="119"/>
      <c r="I58" s="55" t="str">
        <f>IFERROR(VLOOKUP($C58,烤漆色號編碼!$A:$D,4,FALSE)*對照表!$G58+對照表!$H58,"-")</f>
        <v>-</v>
      </c>
      <c r="J58" s="122" t="str">
        <f>IF(I58&gt;對照表!$F58,"多粉",IF(I58&lt;對照表!$F58,"少粉","正確"))</f>
        <v>正確</v>
      </c>
      <c r="K58" s="122" t="e" vm="1">
        <f>I58-對照表!$F58</f>
        <v>#VALUE!</v>
      </c>
      <c r="L58" s="22"/>
    </row>
    <row r="59" spans="1:12" ht="13.5" customHeight="1" x14ac:dyDescent="0.15">
      <c r="A59" s="22"/>
      <c r="B59" s="138">
        <v>57</v>
      </c>
      <c r="C59" s="119" t="s">
        <v>367</v>
      </c>
      <c r="D59" s="119">
        <f>IF(當前庫存!J60="","-",當前庫存!J60)</f>
        <v>0</v>
      </c>
      <c r="E59" s="119">
        <f>IFERROR(VLOOKUP($C59,當前庫存!$C:$I,4,FALSE),"-")</f>
        <v>0</v>
      </c>
      <c r="F59" s="119" t="str">
        <f>IFERROR(VLOOKUP($C59,烤漆色號編碼!$A:$D,4,FALSE)*對照表!$D59+對照表!$E59,"-")</f>
        <v>-</v>
      </c>
      <c r="G59" s="119"/>
      <c r="H59" s="119"/>
      <c r="I59" s="55" t="str">
        <f>IFERROR(VLOOKUP($C59,烤漆色號編碼!$A:$D,4,FALSE)*對照表!$G59+對照表!$H59,"-")</f>
        <v>-</v>
      </c>
      <c r="J59" s="122" t="str">
        <f>IF(I59&gt;對照表!$F59,"多粉",IF(I59&lt;對照表!$F59,"少粉","正確"))</f>
        <v>正確</v>
      </c>
      <c r="K59" s="122" t="e" vm="1">
        <f>I59-對照表!$F59</f>
        <v>#VALUE!</v>
      </c>
      <c r="L59" s="22"/>
    </row>
    <row r="60" spans="1:12" ht="13.5" customHeight="1" x14ac:dyDescent="0.15">
      <c r="A60" s="22"/>
      <c r="B60" s="138">
        <v>58</v>
      </c>
      <c r="C60" s="119" t="s">
        <v>367</v>
      </c>
      <c r="D60" s="119">
        <f>IF(當前庫存!J61="","-",當前庫存!J61)</f>
        <v>0</v>
      </c>
      <c r="E60" s="119">
        <f>IFERROR(VLOOKUP($C60,當前庫存!$C:$I,4,FALSE),"-")</f>
        <v>0</v>
      </c>
      <c r="F60" s="119" t="str">
        <f>IFERROR(VLOOKUP($C60,烤漆色號編碼!$A:$D,4,FALSE)*對照表!$D60+對照表!$E60,"-")</f>
        <v>-</v>
      </c>
      <c r="G60" s="119"/>
      <c r="H60" s="119"/>
      <c r="I60" s="55" t="str">
        <f>IFERROR(VLOOKUP($C60,烤漆色號編碼!$A:$D,4,FALSE)*對照表!$G60+對照表!$H60,"-")</f>
        <v>-</v>
      </c>
      <c r="J60" s="122" t="str">
        <f>IF(I60&gt;對照表!$F60,"多粉",IF(I60&lt;對照表!$F60,"少粉","正確"))</f>
        <v>正確</v>
      </c>
      <c r="K60" s="122" t="e" vm="1">
        <f>I60-對照表!$F60</f>
        <v>#VALUE!</v>
      </c>
      <c r="L60" s="22"/>
    </row>
    <row r="61" spans="1:12" ht="13.5" customHeight="1" x14ac:dyDescent="0.15">
      <c r="A61" s="22"/>
      <c r="B61" s="138">
        <v>59</v>
      </c>
      <c r="C61" s="119" t="s">
        <v>367</v>
      </c>
      <c r="D61" s="119">
        <f>IF(當前庫存!J62="","-",當前庫存!J62)</f>
        <v>0</v>
      </c>
      <c r="E61" s="119">
        <f>IFERROR(VLOOKUP($C61,當前庫存!$C:$I,4,FALSE),"-")</f>
        <v>0</v>
      </c>
      <c r="F61" s="119" t="str">
        <f>IFERROR(VLOOKUP($C61,烤漆色號編碼!$A:$D,4,FALSE)*對照表!$D61+對照表!$E61,"-")</f>
        <v>-</v>
      </c>
      <c r="G61" s="119"/>
      <c r="H61" s="119"/>
      <c r="I61" s="55" t="str">
        <f>IFERROR(VLOOKUP($C61,烤漆色號編碼!$A:$D,4,FALSE)*對照表!$G61+對照表!$H61,"-")</f>
        <v>-</v>
      </c>
      <c r="J61" s="122" t="str">
        <f>IF(I61&gt;對照表!$F61,"多粉",IF(I61&lt;對照表!$F61,"少粉","正確"))</f>
        <v>正確</v>
      </c>
      <c r="K61" s="122" t="e" vm="1">
        <f>I61-對照表!$F61</f>
        <v>#VALUE!</v>
      </c>
      <c r="L61" s="22"/>
    </row>
    <row r="62" spans="1:12" ht="13.5" customHeight="1" x14ac:dyDescent="0.15">
      <c r="A62" s="22"/>
      <c r="B62" s="138">
        <v>60</v>
      </c>
      <c r="C62" s="119" t="s">
        <v>367</v>
      </c>
      <c r="D62" s="119">
        <f>IF(當前庫存!J63="","-",當前庫存!J63)</f>
        <v>0</v>
      </c>
      <c r="E62" s="119">
        <f>IFERROR(VLOOKUP($C62,當前庫存!$C:$I,4,FALSE),"-")</f>
        <v>0</v>
      </c>
      <c r="F62" s="119" t="str">
        <f>IFERROR(VLOOKUP($C62,烤漆色號編碼!$A:$D,4,FALSE)*對照表!$D62+對照表!$E62,"-")</f>
        <v>-</v>
      </c>
      <c r="G62" s="119"/>
      <c r="H62" s="119"/>
      <c r="I62" s="55" t="str">
        <f>IFERROR(VLOOKUP($C62,烤漆色號編碼!$A:$D,4,FALSE)*對照表!$G62+對照表!$H62,"-")</f>
        <v>-</v>
      </c>
      <c r="J62" s="122" t="str">
        <f>IF(I62&gt;對照表!$F62,"多粉",IF(I62&lt;對照表!$F62,"少粉","正確"))</f>
        <v>正確</v>
      </c>
      <c r="K62" s="122" t="e" vm="1">
        <f>I62-對照表!$F62</f>
        <v>#VALUE!</v>
      </c>
      <c r="L62" s="22"/>
    </row>
    <row r="63" spans="1:12" ht="13.5" customHeight="1" x14ac:dyDescent="0.15">
      <c r="A63" s="22"/>
      <c r="B63" s="138">
        <v>61</v>
      </c>
      <c r="C63" s="119" t="s">
        <v>367</v>
      </c>
      <c r="D63" s="119">
        <f>IF(當前庫存!J64="","-",當前庫存!J64)</f>
        <v>0</v>
      </c>
      <c r="E63" s="119">
        <f>IFERROR(VLOOKUP($C63,當前庫存!$C:$I,4,FALSE),"-")</f>
        <v>0</v>
      </c>
      <c r="F63" s="119" t="str">
        <f>IFERROR(VLOOKUP($C63,烤漆色號編碼!$A:$D,4,FALSE)*對照表!$D63+對照表!$E63,"-")</f>
        <v>-</v>
      </c>
      <c r="G63" s="119"/>
      <c r="H63" s="119"/>
      <c r="I63" s="55" t="str">
        <f>IFERROR(VLOOKUP($C63,烤漆色號編碼!$A:$D,4,FALSE)*對照表!$G63+對照表!$H63,"-")</f>
        <v>-</v>
      </c>
      <c r="J63" s="122" t="str">
        <f>IF(I63&gt;對照表!$F63,"多粉",IF(I63&lt;對照表!$F63,"少粉","正確"))</f>
        <v>正確</v>
      </c>
      <c r="K63" s="122" t="e" vm="1">
        <f>I63-對照表!$F63</f>
        <v>#VALUE!</v>
      </c>
      <c r="L63" s="22"/>
    </row>
    <row r="64" spans="1:12" ht="13.5" customHeight="1" x14ac:dyDescent="0.15">
      <c r="A64" s="22"/>
      <c r="B64" s="138">
        <v>62</v>
      </c>
      <c r="C64" s="119" t="s">
        <v>367</v>
      </c>
      <c r="D64" s="119">
        <f>IF(當前庫存!J65="","-",當前庫存!J65)</f>
        <v>0</v>
      </c>
      <c r="E64" s="119">
        <f>IFERROR(VLOOKUP($C64,當前庫存!$C:$I,4,FALSE),"-")</f>
        <v>0</v>
      </c>
      <c r="F64" s="119" t="str">
        <f>IFERROR(VLOOKUP($C64,烤漆色號編碼!$A:$D,4,FALSE)*對照表!$D64+對照表!$E64,"-")</f>
        <v>-</v>
      </c>
      <c r="G64" s="119"/>
      <c r="H64" s="119"/>
      <c r="I64" s="55" t="str">
        <f>IFERROR(VLOOKUP($C64,烤漆色號編碼!$A:$D,4,FALSE)*對照表!$G64+對照表!$H64,"-")</f>
        <v>-</v>
      </c>
      <c r="J64" s="122" t="str">
        <f>IF(I64&gt;對照表!$F64,"多粉",IF(I64&lt;對照表!$F64,"少粉","正確"))</f>
        <v>正確</v>
      </c>
      <c r="K64" s="122" t="e" vm="1">
        <f>I64-對照表!$F64</f>
        <v>#VALUE!</v>
      </c>
      <c r="L64" s="22"/>
    </row>
    <row r="65" spans="1:12" ht="13.5" customHeight="1" x14ac:dyDescent="0.15">
      <c r="A65" s="22"/>
      <c r="B65" s="138">
        <v>63</v>
      </c>
      <c r="C65" s="119" t="s">
        <v>367</v>
      </c>
      <c r="D65" s="119">
        <f>IF(當前庫存!J66="","-",當前庫存!J66)</f>
        <v>0</v>
      </c>
      <c r="E65" s="119">
        <f>IFERROR(VLOOKUP($C65,當前庫存!$C:$I,4,FALSE),"-")</f>
        <v>0</v>
      </c>
      <c r="F65" s="119" t="str">
        <f>IFERROR(VLOOKUP($C65,烤漆色號編碼!$A:$D,4,FALSE)*對照表!$D65+對照表!$E65,"-")</f>
        <v>-</v>
      </c>
      <c r="G65" s="119"/>
      <c r="H65" s="119"/>
      <c r="I65" s="55" t="str">
        <f>IFERROR(VLOOKUP($C65,烤漆色號編碼!$A:$D,4,FALSE)*對照表!$G65+對照表!$H65,"-")</f>
        <v>-</v>
      </c>
      <c r="J65" s="122" t="str">
        <f>IF(I65&gt;對照表!$F65,"多粉",IF(I65&lt;對照表!$F65,"少粉","正確"))</f>
        <v>正確</v>
      </c>
      <c r="K65" s="122" t="e" vm="1">
        <f>I65-對照表!$F65</f>
        <v>#VALUE!</v>
      </c>
      <c r="L65" s="22"/>
    </row>
    <row r="66" spans="1:12" ht="13.5" customHeight="1" x14ac:dyDescent="0.15">
      <c r="A66" s="22"/>
      <c r="B66" s="138">
        <v>64</v>
      </c>
      <c r="C66" s="119" t="s">
        <v>367</v>
      </c>
      <c r="D66" s="119">
        <f>IF(當前庫存!J67="","-",當前庫存!J67)</f>
        <v>0</v>
      </c>
      <c r="E66" s="119">
        <f>IFERROR(VLOOKUP($C66,當前庫存!$C:$I,4,FALSE),"-")</f>
        <v>0</v>
      </c>
      <c r="F66" s="119" t="str">
        <f>IFERROR(VLOOKUP($C66,烤漆色號編碼!$A:$D,4,FALSE)*對照表!$D66+對照表!$E66,"-")</f>
        <v>-</v>
      </c>
      <c r="G66" s="119"/>
      <c r="H66" s="119"/>
      <c r="I66" s="55" t="str">
        <f>IFERROR(VLOOKUP($C66,烤漆色號編碼!$A:$D,4,FALSE)*對照表!$G66+對照表!$H66,"-")</f>
        <v>-</v>
      </c>
      <c r="J66" s="122" t="str">
        <f>IF(I66&gt;對照表!$F66,"多粉",IF(I66&lt;對照表!$F66,"少粉","正確"))</f>
        <v>正確</v>
      </c>
      <c r="K66" s="122" t="e" vm="1">
        <f>I66-對照表!$F66</f>
        <v>#VALUE!</v>
      </c>
      <c r="L66" s="22"/>
    </row>
    <row r="67" spans="1:12" ht="13.5" customHeight="1" x14ac:dyDescent="0.15">
      <c r="A67" s="22"/>
      <c r="B67" s="138">
        <v>65</v>
      </c>
      <c r="C67" s="119" t="s">
        <v>367</v>
      </c>
      <c r="D67" s="119">
        <f>IF(當前庫存!J68="","-",當前庫存!J68)</f>
        <v>0</v>
      </c>
      <c r="E67" s="119">
        <f>IFERROR(VLOOKUP($C67,當前庫存!$C:$I,4,FALSE),"-")</f>
        <v>0</v>
      </c>
      <c r="F67" s="119" t="str">
        <f>IFERROR(VLOOKUP($C67,烤漆色號編碼!$A:$D,4,FALSE)*對照表!$D67+對照表!$E67,"-")</f>
        <v>-</v>
      </c>
      <c r="G67" s="119"/>
      <c r="H67" s="119"/>
      <c r="I67" s="55" t="str">
        <f>IFERROR(VLOOKUP($C67,烤漆色號編碼!$A:$D,4,FALSE)*對照表!$G67+對照表!$H67,"-")</f>
        <v>-</v>
      </c>
      <c r="J67" s="122" t="str">
        <f>IF(I67&gt;對照表!$F67,"多粉",IF(I67&lt;對照表!$F67,"少粉","正確"))</f>
        <v>正確</v>
      </c>
      <c r="K67" s="122" t="e" vm="1">
        <f>I67-對照表!$F67</f>
        <v>#VALUE!</v>
      </c>
      <c r="L67" s="22"/>
    </row>
    <row r="68" spans="1:12" ht="13.5" customHeight="1" x14ac:dyDescent="0.15">
      <c r="A68" s="22"/>
      <c r="B68" s="138">
        <v>66</v>
      </c>
      <c r="C68" s="119" t="s">
        <v>367</v>
      </c>
      <c r="D68" s="119">
        <f>IF(當前庫存!J69="","-",當前庫存!J69)</f>
        <v>0</v>
      </c>
      <c r="E68" s="119">
        <f>IFERROR(VLOOKUP($C68,當前庫存!$C:$I,4,FALSE),"-")</f>
        <v>0</v>
      </c>
      <c r="F68" s="119" t="str">
        <f>IFERROR(VLOOKUP($C68,烤漆色號編碼!$A:$D,4,FALSE)*對照表!$D68+對照表!$E68,"-")</f>
        <v>-</v>
      </c>
      <c r="G68" s="119"/>
      <c r="H68" s="119"/>
      <c r="I68" s="55" t="str">
        <f>IFERROR(VLOOKUP($C68,烤漆色號編碼!$A:$D,4,FALSE)*對照表!$G68+對照表!$H68,"-")</f>
        <v>-</v>
      </c>
      <c r="J68" s="122" t="str">
        <f>IF(I68&gt;對照表!$F68,"多粉",IF(I68&lt;對照表!$F68,"少粉","正確"))</f>
        <v>正確</v>
      </c>
      <c r="K68" s="122" t="e" vm="1">
        <f>I68-對照表!$F68</f>
        <v>#VALUE!</v>
      </c>
      <c r="L68" s="22"/>
    </row>
    <row r="69" spans="1:12" ht="13.5" customHeight="1" x14ac:dyDescent="0.15">
      <c r="A69" s="22"/>
      <c r="B69" s="138">
        <v>67</v>
      </c>
      <c r="C69" s="119" t="s">
        <v>367</v>
      </c>
      <c r="D69" s="119">
        <f>IF(當前庫存!J70="","-",當前庫存!J70)</f>
        <v>0</v>
      </c>
      <c r="E69" s="119">
        <f>IFERROR(VLOOKUP($C69,當前庫存!$C:$I,4,FALSE),"-")</f>
        <v>0</v>
      </c>
      <c r="F69" s="119" t="str">
        <f>IFERROR(VLOOKUP($C69,烤漆色號編碼!$A:$D,4,FALSE)*對照表!$D69+對照表!$E69,"-")</f>
        <v>-</v>
      </c>
      <c r="G69" s="119"/>
      <c r="H69" s="119"/>
      <c r="I69" s="55" t="str">
        <f>IFERROR(VLOOKUP($C69,烤漆色號編碼!$A:$D,4,FALSE)*對照表!$G69+對照表!$H69,"-")</f>
        <v>-</v>
      </c>
      <c r="J69" s="122" t="str">
        <f>IF(I69&gt;對照表!$F69,"多粉",IF(I69&lt;對照表!$F69,"少粉","正確"))</f>
        <v>正確</v>
      </c>
      <c r="K69" s="122" t="e" vm="1">
        <f>I69-對照表!$F69</f>
        <v>#VALUE!</v>
      </c>
      <c r="L69" s="22"/>
    </row>
    <row r="70" spans="1:12" ht="13.5" customHeight="1" x14ac:dyDescent="0.15">
      <c r="A70" s="22"/>
      <c r="B70" s="138">
        <v>68</v>
      </c>
      <c r="C70" s="119" t="s">
        <v>367</v>
      </c>
      <c r="D70" s="119">
        <f>IF(當前庫存!J71="","-",當前庫存!J71)</f>
        <v>0</v>
      </c>
      <c r="E70" s="119">
        <f>IFERROR(VLOOKUP($C70,當前庫存!$C:$I,4,FALSE),"-")</f>
        <v>0</v>
      </c>
      <c r="F70" s="119" t="str">
        <f>IFERROR(VLOOKUP($C70,烤漆色號編碼!$A:$D,4,FALSE)*對照表!$D70+對照表!$E70,"-")</f>
        <v>-</v>
      </c>
      <c r="G70" s="119"/>
      <c r="H70" s="119"/>
      <c r="I70" s="55" t="str">
        <f>IFERROR(VLOOKUP($C70,烤漆色號編碼!$A:$D,4,FALSE)*對照表!$G70+對照表!$H70,"-")</f>
        <v>-</v>
      </c>
      <c r="J70" s="122" t="str">
        <f>IF(I70&gt;對照表!$F70,"多粉",IF(I70&lt;對照表!$F70,"少粉","正確"))</f>
        <v>正確</v>
      </c>
      <c r="K70" s="122" t="e" vm="1">
        <f>I70-對照表!$F70</f>
        <v>#VALUE!</v>
      </c>
      <c r="L70" s="22"/>
    </row>
    <row r="71" spans="1:12" ht="13.5" customHeight="1" x14ac:dyDescent="0.15">
      <c r="A71" s="22"/>
      <c r="B71" s="138">
        <v>69</v>
      </c>
      <c r="C71" s="119" t="s">
        <v>367</v>
      </c>
      <c r="D71" s="119">
        <f>IF(當前庫存!J72="","-",當前庫存!J72)</f>
        <v>0</v>
      </c>
      <c r="E71" s="119">
        <f>IFERROR(VLOOKUP($C71,當前庫存!$C:$I,4,FALSE),"-")</f>
        <v>0</v>
      </c>
      <c r="F71" s="119" t="str">
        <f>IFERROR(VLOOKUP($C71,烤漆色號編碼!$A:$D,4,FALSE)*對照表!$D71+對照表!$E71,"-")</f>
        <v>-</v>
      </c>
      <c r="G71" s="119"/>
      <c r="H71" s="119"/>
      <c r="I71" s="55" t="str">
        <f>IFERROR(VLOOKUP($C71,烤漆色號編碼!$A:$D,4,FALSE)*對照表!$G71+對照表!$H71,"-")</f>
        <v>-</v>
      </c>
      <c r="J71" s="122" t="str">
        <f>IF(I71&gt;對照表!$F71,"多粉",IF(I71&lt;對照表!$F71,"少粉","正確"))</f>
        <v>正確</v>
      </c>
      <c r="K71" s="122" t="e" vm="1">
        <f>I71-對照表!$F71</f>
        <v>#VALUE!</v>
      </c>
      <c r="L71" s="22"/>
    </row>
    <row r="72" spans="1:12" ht="13.5" customHeight="1" x14ac:dyDescent="0.15">
      <c r="A72" s="22"/>
      <c r="B72" s="138">
        <v>70</v>
      </c>
      <c r="C72" s="119" t="s">
        <v>367</v>
      </c>
      <c r="D72" s="119">
        <f>IF(當前庫存!J73="","-",當前庫存!J73)</f>
        <v>0</v>
      </c>
      <c r="E72" s="119">
        <f>IFERROR(VLOOKUP($C72,當前庫存!$C:$I,4,FALSE),"-")</f>
        <v>0</v>
      </c>
      <c r="F72" s="119" t="str">
        <f>IFERROR(VLOOKUP($C72,烤漆色號編碼!$A:$D,4,FALSE)*對照表!$D72+對照表!$E72,"-")</f>
        <v>-</v>
      </c>
      <c r="G72" s="119"/>
      <c r="H72" s="119"/>
      <c r="I72" s="55" t="str">
        <f>IFERROR(VLOOKUP($C72,烤漆色號編碼!$A:$D,4,FALSE)*對照表!$G72+對照表!$H72,"-")</f>
        <v>-</v>
      </c>
      <c r="J72" s="122" t="str">
        <f>IF(I72&gt;對照表!$F72,"多粉",IF(I72&lt;對照表!$F72,"少粉","正確"))</f>
        <v>正確</v>
      </c>
      <c r="K72" s="122" t="e" vm="1">
        <f>I72-對照表!$F72</f>
        <v>#VALUE!</v>
      </c>
      <c r="L72" s="22"/>
    </row>
    <row r="73" spans="1:12" ht="13.5" customHeight="1" x14ac:dyDescent="0.15">
      <c r="A73" s="22"/>
      <c r="B73" s="138">
        <v>71</v>
      </c>
      <c r="C73" s="119" t="s">
        <v>367</v>
      </c>
      <c r="D73" s="119">
        <f>IF(當前庫存!J74="","-",當前庫存!J74)</f>
        <v>0</v>
      </c>
      <c r="E73" s="119">
        <f>IFERROR(VLOOKUP($C73,當前庫存!$C:$I,4,FALSE),"-")</f>
        <v>0</v>
      </c>
      <c r="F73" s="119" t="str">
        <f>IFERROR(VLOOKUP($C73,烤漆色號編碼!$A:$D,4,FALSE)*對照表!$D73+對照表!$E73,"-")</f>
        <v>-</v>
      </c>
      <c r="G73" s="119"/>
      <c r="H73" s="119"/>
      <c r="I73" s="55" t="str">
        <f>IFERROR(VLOOKUP($C73,烤漆色號編碼!$A:$D,4,FALSE)*對照表!$G73+對照表!$H73,"-")</f>
        <v>-</v>
      </c>
      <c r="J73" s="122" t="str">
        <f>IF(I73&gt;對照表!$F73,"多粉",IF(I73&lt;對照表!$F73,"少粉","正確"))</f>
        <v>正確</v>
      </c>
      <c r="K73" s="122" t="e" vm="1">
        <f>I73-對照表!$F73</f>
        <v>#VALUE!</v>
      </c>
      <c r="L73" s="22"/>
    </row>
    <row r="74" spans="1:12" ht="13.5" customHeight="1" x14ac:dyDescent="0.15">
      <c r="A74" s="22"/>
      <c r="B74" s="138">
        <v>72</v>
      </c>
      <c r="C74" s="119" t="s">
        <v>367</v>
      </c>
      <c r="D74" s="119">
        <f>IF(當前庫存!J75="","-",當前庫存!J75)</f>
        <v>0</v>
      </c>
      <c r="E74" s="119">
        <f>IFERROR(VLOOKUP($C74,當前庫存!$C:$I,4,FALSE),"-")</f>
        <v>0</v>
      </c>
      <c r="F74" s="119" t="str">
        <f>IFERROR(VLOOKUP($C74,烤漆色號編碼!$A:$D,4,FALSE)*對照表!$D74+對照表!$E74,"-")</f>
        <v>-</v>
      </c>
      <c r="G74" s="119"/>
      <c r="H74" s="119"/>
      <c r="I74" s="55" t="str">
        <f>IFERROR(VLOOKUP($C74,烤漆色號編碼!$A:$D,4,FALSE)*對照表!$G74+對照表!$H74,"-")</f>
        <v>-</v>
      </c>
      <c r="J74" s="122" t="str">
        <f>IF(I74&gt;對照表!$F74,"多粉",IF(I74&lt;對照表!$F74,"少粉","正確"))</f>
        <v>正確</v>
      </c>
      <c r="K74" s="122" t="e" vm="1">
        <f>I74-對照表!$F74</f>
        <v>#VALUE!</v>
      </c>
      <c r="L74" s="22"/>
    </row>
    <row r="75" spans="1:12" ht="13.5" customHeight="1" x14ac:dyDescent="0.15">
      <c r="A75" s="22"/>
      <c r="B75" s="138">
        <v>73</v>
      </c>
      <c r="C75" s="119" t="s">
        <v>367</v>
      </c>
      <c r="D75" s="119">
        <f>IF(當前庫存!J76="","-",當前庫存!J76)</f>
        <v>0</v>
      </c>
      <c r="E75" s="119">
        <f>IFERROR(VLOOKUP($C75,當前庫存!$C:$I,4,FALSE),"-")</f>
        <v>0</v>
      </c>
      <c r="F75" s="119" t="str">
        <f>IFERROR(VLOOKUP($C75,烤漆色號編碼!$A:$D,4,FALSE)*對照表!$D75+對照表!$E75,"-")</f>
        <v>-</v>
      </c>
      <c r="G75" s="119"/>
      <c r="H75" s="119"/>
      <c r="I75" s="55" t="str">
        <f>IFERROR(VLOOKUP($C75,烤漆色號編碼!$A:$D,4,FALSE)*對照表!$G75+對照表!$H75,"-")</f>
        <v>-</v>
      </c>
      <c r="J75" s="122" t="str">
        <f>IF(I75&gt;對照表!$F75,"多粉",IF(I75&lt;對照表!$F75,"少粉","正確"))</f>
        <v>正確</v>
      </c>
      <c r="K75" s="122" t="e" vm="1">
        <f>I75-對照表!$F75</f>
        <v>#VALUE!</v>
      </c>
      <c r="L75" s="22"/>
    </row>
    <row r="76" spans="1:12" ht="13.5" customHeight="1" x14ac:dyDescent="0.15">
      <c r="A76" s="22"/>
      <c r="B76" s="138">
        <v>74</v>
      </c>
      <c r="C76" s="119" t="s">
        <v>367</v>
      </c>
      <c r="D76" s="119">
        <f>IF(當前庫存!J77="","-",當前庫存!J77)</f>
        <v>0</v>
      </c>
      <c r="E76" s="119">
        <f>IFERROR(VLOOKUP($C76,當前庫存!$C:$I,4,FALSE),"-")</f>
        <v>0</v>
      </c>
      <c r="F76" s="119" t="str">
        <f>IFERROR(VLOOKUP($C76,烤漆色號編碼!$A:$D,4,FALSE)*對照表!$D76+對照表!$E76,"-")</f>
        <v>-</v>
      </c>
      <c r="G76" s="119"/>
      <c r="H76" s="119"/>
      <c r="I76" s="55" t="str">
        <f>IFERROR(VLOOKUP($C76,烤漆色號編碼!$A:$D,4,FALSE)*對照表!$G76+對照表!$H76,"-")</f>
        <v>-</v>
      </c>
      <c r="J76" s="122" t="str">
        <f>IF(I76&gt;對照表!$F76,"多粉",IF(I76&lt;對照表!$F76,"少粉","正確"))</f>
        <v>正確</v>
      </c>
      <c r="K76" s="122" t="e" vm="1">
        <f>I76-對照表!$F76</f>
        <v>#VALUE!</v>
      </c>
      <c r="L76" s="22"/>
    </row>
    <row r="77" spans="1:12" ht="13.5" customHeight="1" x14ac:dyDescent="0.15">
      <c r="A77" s="22"/>
      <c r="B77" s="138">
        <v>75</v>
      </c>
      <c r="C77" s="119" t="s">
        <v>367</v>
      </c>
      <c r="D77" s="119">
        <f>IF(當前庫存!J78="","-",當前庫存!J78)</f>
        <v>0</v>
      </c>
      <c r="E77" s="119">
        <f>IFERROR(VLOOKUP($C77,當前庫存!$C:$I,4,FALSE),"-")</f>
        <v>0</v>
      </c>
      <c r="F77" s="119" t="str">
        <f>IFERROR(VLOOKUP($C77,烤漆色號編碼!$A:$D,4,FALSE)*對照表!$D77+對照表!$E77,"-")</f>
        <v>-</v>
      </c>
      <c r="G77" s="119"/>
      <c r="H77" s="119"/>
      <c r="I77" s="55" t="str">
        <f>IFERROR(VLOOKUP($C77,烤漆色號編碼!$A:$D,4,FALSE)*對照表!$G77+對照表!$H77,"-")</f>
        <v>-</v>
      </c>
      <c r="J77" s="122" t="str">
        <f>IF(I77&gt;對照表!$F77,"多粉",IF(I77&lt;對照表!$F77,"少粉","正確"))</f>
        <v>正確</v>
      </c>
      <c r="K77" s="122" t="e" vm="1">
        <f>I77-對照表!$F77</f>
        <v>#VALUE!</v>
      </c>
      <c r="L77" s="22"/>
    </row>
    <row r="78" spans="1:12" ht="13.5" customHeight="1" x14ac:dyDescent="0.15">
      <c r="A78" s="22"/>
      <c r="B78" s="138">
        <v>76</v>
      </c>
      <c r="C78" s="119" t="s">
        <v>367</v>
      </c>
      <c r="D78" s="119">
        <f>IF(當前庫存!J79="","-",當前庫存!J79)</f>
        <v>0</v>
      </c>
      <c r="E78" s="119">
        <f>IFERROR(VLOOKUP($C78,當前庫存!$C:$I,4,FALSE),"-")</f>
        <v>0</v>
      </c>
      <c r="F78" s="119" t="str">
        <f>IFERROR(VLOOKUP($C78,烤漆色號編碼!$A:$D,4,FALSE)*對照表!$D78+對照表!$E78,"-")</f>
        <v>-</v>
      </c>
      <c r="G78" s="119"/>
      <c r="H78" s="119"/>
      <c r="I78" s="55" t="str">
        <f>IFERROR(VLOOKUP($C78,烤漆色號編碼!$A:$D,4,FALSE)*對照表!$G78+對照表!$H78,"-")</f>
        <v>-</v>
      </c>
      <c r="J78" s="122" t="str">
        <f>IF(I78&gt;對照表!$F78,"多粉",IF(I78&lt;對照表!$F78,"少粉","正確"))</f>
        <v>正確</v>
      </c>
      <c r="K78" s="122" t="e" vm="1">
        <f>I78-對照表!$F78</f>
        <v>#VALUE!</v>
      </c>
      <c r="L78" s="22"/>
    </row>
    <row r="79" spans="1:12" ht="13.5" customHeight="1" x14ac:dyDescent="0.15">
      <c r="A79" s="22"/>
      <c r="B79" s="138">
        <v>77</v>
      </c>
      <c r="C79" s="119" t="s">
        <v>367</v>
      </c>
      <c r="D79" s="119">
        <f>IF(當前庫存!J80="","-",當前庫存!J80)</f>
        <v>0</v>
      </c>
      <c r="E79" s="119">
        <f>IFERROR(VLOOKUP($C79,當前庫存!$C:$I,4,FALSE),"-")</f>
        <v>0</v>
      </c>
      <c r="F79" s="119" t="str">
        <f>IFERROR(VLOOKUP($C79,烤漆色號編碼!$A:$D,4,FALSE)*對照表!$D79+對照表!$E79,"-")</f>
        <v>-</v>
      </c>
      <c r="G79" s="119"/>
      <c r="H79" s="119"/>
      <c r="I79" s="55" t="str">
        <f>IFERROR(VLOOKUP($C79,烤漆色號編碼!$A:$D,4,FALSE)*對照表!$G79+對照表!$H79,"-")</f>
        <v>-</v>
      </c>
      <c r="J79" s="122" t="str">
        <f>IF(I79&gt;對照表!$F79,"多粉",IF(I79&lt;對照表!$F79,"少粉","正確"))</f>
        <v>正確</v>
      </c>
      <c r="K79" s="122" t="e" vm="1">
        <f>I79-對照表!$F79</f>
        <v>#VALUE!</v>
      </c>
      <c r="L79" s="22"/>
    </row>
    <row r="80" spans="1:12" ht="13.5" customHeight="1" x14ac:dyDescent="0.15">
      <c r="A80" s="22"/>
      <c r="B80" s="138">
        <v>78</v>
      </c>
      <c r="C80" s="119" t="s">
        <v>367</v>
      </c>
      <c r="D80" s="119">
        <f>IF(當前庫存!J81="","-",當前庫存!J81)</f>
        <v>0</v>
      </c>
      <c r="E80" s="119">
        <f>IFERROR(VLOOKUP($C80,當前庫存!$C:$I,4,FALSE),"-")</f>
        <v>0</v>
      </c>
      <c r="F80" s="119" t="str">
        <f>IFERROR(VLOOKUP($C80,烤漆色號編碼!$A:$D,4,FALSE)*對照表!$D80+對照表!$E80,"-")</f>
        <v>-</v>
      </c>
      <c r="G80" s="119"/>
      <c r="H80" s="119"/>
      <c r="I80" s="55" t="str">
        <f>IFERROR(VLOOKUP($C80,烤漆色號編碼!$A:$D,4,FALSE)*對照表!$G80+對照表!$H80,"-")</f>
        <v>-</v>
      </c>
      <c r="J80" s="122" t="str">
        <f>IF(I80&gt;對照表!$F80,"多粉",IF(I80&lt;對照表!$F80,"少粉","正確"))</f>
        <v>正確</v>
      </c>
      <c r="K80" s="122" t="e" vm="1">
        <f>I80-對照表!$F80</f>
        <v>#VALUE!</v>
      </c>
      <c r="L80" s="22"/>
    </row>
    <row r="81" spans="1:12" ht="13.5" customHeight="1" x14ac:dyDescent="0.15">
      <c r="A81" s="22"/>
      <c r="B81" s="138">
        <v>79</v>
      </c>
      <c r="C81" s="119" t="s">
        <v>367</v>
      </c>
      <c r="D81" s="119">
        <f>IF(當前庫存!J82="","-",當前庫存!J82)</f>
        <v>0</v>
      </c>
      <c r="E81" s="119">
        <f>IFERROR(VLOOKUP($C81,當前庫存!$C:$I,4,FALSE),"-")</f>
        <v>0</v>
      </c>
      <c r="F81" s="119" t="str">
        <f>IFERROR(VLOOKUP($C81,烤漆色號編碼!$A:$D,4,FALSE)*對照表!$D81+對照表!$E81,"-")</f>
        <v>-</v>
      </c>
      <c r="G81" s="119"/>
      <c r="H81" s="119"/>
      <c r="I81" s="55" t="str">
        <f>IFERROR(VLOOKUP($C81,烤漆色號編碼!$A:$D,4,FALSE)*對照表!$G81+對照表!$H81,"-")</f>
        <v>-</v>
      </c>
      <c r="J81" s="122" t="str">
        <f>IF(I81&gt;對照表!$F81,"多粉",IF(I81&lt;對照表!$F81,"少粉","正確"))</f>
        <v>正確</v>
      </c>
      <c r="K81" s="122" t="e" vm="1">
        <f>I81-對照表!$F81</f>
        <v>#VALUE!</v>
      </c>
      <c r="L81" s="22"/>
    </row>
    <row r="82" spans="1:12" ht="13.5" customHeight="1" x14ac:dyDescent="0.15">
      <c r="A82" s="22"/>
      <c r="B82" s="138">
        <v>80</v>
      </c>
      <c r="C82" s="119" t="s">
        <v>367</v>
      </c>
      <c r="D82" s="119">
        <f>IF(當前庫存!J83="","-",當前庫存!J83)</f>
        <v>0</v>
      </c>
      <c r="E82" s="119">
        <f>IFERROR(VLOOKUP($C82,當前庫存!$C:$I,4,FALSE),"-")</f>
        <v>0</v>
      </c>
      <c r="F82" s="119" t="str">
        <f>IFERROR(VLOOKUP($C82,烤漆色號編碼!$A:$D,4,FALSE)*對照表!$D82+對照表!$E82,"-")</f>
        <v>-</v>
      </c>
      <c r="G82" s="119"/>
      <c r="H82" s="119"/>
      <c r="I82" s="55" t="str">
        <f>IFERROR(VLOOKUP($C82,烤漆色號編碼!$A:$D,4,FALSE)*對照表!$G82+對照表!$H82,"-")</f>
        <v>-</v>
      </c>
      <c r="J82" s="122" t="str">
        <f>IF(I82&gt;對照表!$F82,"多粉",IF(I82&lt;對照表!$F82,"少粉","正確"))</f>
        <v>正確</v>
      </c>
      <c r="K82" s="122" t="e" vm="1">
        <f>I82-對照表!$F82</f>
        <v>#VALUE!</v>
      </c>
      <c r="L82" s="22"/>
    </row>
    <row r="83" spans="1:12" ht="13.5" customHeight="1" x14ac:dyDescent="0.15">
      <c r="A83" s="22"/>
      <c r="B83" s="138">
        <v>81</v>
      </c>
      <c r="C83" s="119" t="s">
        <v>367</v>
      </c>
      <c r="D83" s="119">
        <f>IF(當前庫存!J84="","-",當前庫存!J84)</f>
        <v>0</v>
      </c>
      <c r="E83" s="119">
        <f>IFERROR(VLOOKUP($C83,當前庫存!$C:$I,4,FALSE),"-")</f>
        <v>0</v>
      </c>
      <c r="F83" s="119" t="str">
        <f>IFERROR(VLOOKUP($C83,烤漆色號編碼!$A:$D,4,FALSE)*對照表!$D83+對照表!$E83,"-")</f>
        <v>-</v>
      </c>
      <c r="G83" s="119"/>
      <c r="H83" s="119"/>
      <c r="I83" s="55" t="str">
        <f>IFERROR(VLOOKUP($C83,烤漆色號編碼!$A:$D,4,FALSE)*對照表!$G83+對照表!$H83,"-")</f>
        <v>-</v>
      </c>
      <c r="J83" s="122" t="str">
        <f>IF(I83&gt;對照表!$F83,"多粉",IF(I83&lt;對照表!$F83,"少粉","正確"))</f>
        <v>正確</v>
      </c>
      <c r="K83" s="122" t="e" vm="1">
        <f>I83-對照表!$F83</f>
        <v>#VALUE!</v>
      </c>
      <c r="L83" s="22"/>
    </row>
    <row r="84" spans="1:12" ht="13.5" customHeight="1" x14ac:dyDescent="0.15">
      <c r="A84" s="22"/>
      <c r="B84" s="138">
        <v>82</v>
      </c>
      <c r="C84" s="119" t="s">
        <v>367</v>
      </c>
      <c r="D84" s="119">
        <f>IF(當前庫存!J85="","-",當前庫存!J85)</f>
        <v>0</v>
      </c>
      <c r="E84" s="119">
        <f>IFERROR(VLOOKUP($C84,當前庫存!$C:$I,4,FALSE),"-")</f>
        <v>0</v>
      </c>
      <c r="F84" s="119" t="str">
        <f>IFERROR(VLOOKUP($C84,烤漆色號編碼!$A:$D,4,FALSE)*對照表!$D84+對照表!$E84,"-")</f>
        <v>-</v>
      </c>
      <c r="G84" s="119"/>
      <c r="H84" s="119"/>
      <c r="I84" s="55" t="str">
        <f>IFERROR(VLOOKUP($C84,烤漆色號編碼!$A:$D,4,FALSE)*對照表!$G84+對照表!$H84,"-")</f>
        <v>-</v>
      </c>
      <c r="J84" s="122" t="str">
        <f>IF(I84&gt;對照表!$F84,"多粉",IF(I84&lt;對照表!$F84,"少粉","正確"))</f>
        <v>正確</v>
      </c>
      <c r="K84" s="122" t="e" vm="1">
        <f>I84-對照表!$F84</f>
        <v>#VALUE!</v>
      </c>
      <c r="L84" s="22"/>
    </row>
    <row r="85" spans="1:12" ht="13.5" customHeight="1" x14ac:dyDescent="0.15">
      <c r="A85" s="22"/>
      <c r="B85" s="138">
        <v>83</v>
      </c>
      <c r="C85" s="119" t="s">
        <v>367</v>
      </c>
      <c r="D85" s="119">
        <f>IF(當前庫存!J86="","-",當前庫存!J86)</f>
        <v>0</v>
      </c>
      <c r="E85" s="119">
        <f>IFERROR(VLOOKUP($C85,當前庫存!$C:$I,4,FALSE),"-")</f>
        <v>0</v>
      </c>
      <c r="F85" s="119" t="str">
        <f>IFERROR(VLOOKUP($C85,烤漆色號編碼!$A:$D,4,FALSE)*對照表!$D85+對照表!$E85,"-")</f>
        <v>-</v>
      </c>
      <c r="G85" s="119"/>
      <c r="H85" s="119"/>
      <c r="I85" s="55" t="str">
        <f>IFERROR(VLOOKUP($C85,烤漆色號編碼!$A:$D,4,FALSE)*對照表!$G85+對照表!$H85,"-")</f>
        <v>-</v>
      </c>
      <c r="J85" s="122" t="str">
        <f>IF(I85&gt;對照表!$F85,"多粉",IF(I85&lt;對照表!$F85,"少粉","正確"))</f>
        <v>正確</v>
      </c>
      <c r="K85" s="122" t="e" vm="1">
        <f>I85-對照表!$F85</f>
        <v>#VALUE!</v>
      </c>
      <c r="L85" s="22"/>
    </row>
    <row r="86" spans="1:12" ht="13.5" customHeight="1" x14ac:dyDescent="0.15">
      <c r="A86" s="22"/>
      <c r="B86" s="138">
        <v>84</v>
      </c>
      <c r="C86" s="119" t="s">
        <v>367</v>
      </c>
      <c r="D86" s="119">
        <f>IF(當前庫存!J87="","-",當前庫存!J87)</f>
        <v>0</v>
      </c>
      <c r="E86" s="119">
        <f>IFERROR(VLOOKUP($C86,當前庫存!$C:$I,4,FALSE),"-")</f>
        <v>0</v>
      </c>
      <c r="F86" s="119" t="str">
        <f>IFERROR(VLOOKUP($C86,烤漆色號編碼!$A:$D,4,FALSE)*對照表!$D86+對照表!$E86,"-")</f>
        <v>-</v>
      </c>
      <c r="G86" s="119"/>
      <c r="H86" s="119"/>
      <c r="I86" s="55" t="str">
        <f>IFERROR(VLOOKUP($C86,烤漆色號編碼!$A:$D,4,FALSE)*對照表!$G86+對照表!$H86,"-")</f>
        <v>-</v>
      </c>
      <c r="J86" s="122" t="str">
        <f>IF(I86&gt;對照表!$F86,"多粉",IF(I86&lt;對照表!$F86,"少粉","正確"))</f>
        <v>正確</v>
      </c>
      <c r="K86" s="122" t="e" vm="1">
        <f>I86-對照表!$F86</f>
        <v>#VALUE!</v>
      </c>
      <c r="L86" s="22"/>
    </row>
    <row r="87" spans="1:12" ht="13.5" customHeight="1" x14ac:dyDescent="0.15">
      <c r="A87" s="22"/>
      <c r="B87" s="138">
        <v>85</v>
      </c>
      <c r="C87" s="119" t="s">
        <v>367</v>
      </c>
      <c r="D87" s="119">
        <f>IF(當前庫存!J88="","-",當前庫存!J88)</f>
        <v>0</v>
      </c>
      <c r="E87" s="119">
        <f>IFERROR(VLOOKUP($C87,當前庫存!$C:$I,4,FALSE),"-")</f>
        <v>0</v>
      </c>
      <c r="F87" s="119" t="str">
        <f>IFERROR(VLOOKUP($C87,烤漆色號編碼!$A:$D,4,FALSE)*對照表!$D87+對照表!$E87,"-")</f>
        <v>-</v>
      </c>
      <c r="G87" s="119"/>
      <c r="H87" s="119"/>
      <c r="I87" s="55" t="str">
        <f>IFERROR(VLOOKUP($C87,烤漆色號編碼!$A:$D,4,FALSE)*對照表!$G87+對照表!$H87,"-")</f>
        <v>-</v>
      </c>
      <c r="J87" s="122" t="str">
        <f>IF(I87&gt;對照表!$F87,"多粉",IF(I87&lt;對照表!$F87,"少粉","正確"))</f>
        <v>正確</v>
      </c>
      <c r="K87" s="122" t="e" vm="1">
        <f>I87-對照表!$F87</f>
        <v>#VALUE!</v>
      </c>
      <c r="L87" s="22"/>
    </row>
    <row r="88" spans="1:12" ht="13.5" customHeight="1" x14ac:dyDescent="0.15">
      <c r="A88" s="22"/>
      <c r="B88" s="138">
        <v>86</v>
      </c>
      <c r="C88" s="119" t="s">
        <v>367</v>
      </c>
      <c r="D88" s="119">
        <f>IF(當前庫存!J89="","-",當前庫存!J89)</f>
        <v>0</v>
      </c>
      <c r="E88" s="119">
        <f>IFERROR(VLOOKUP($C88,當前庫存!$C:$I,4,FALSE),"-")</f>
        <v>0</v>
      </c>
      <c r="F88" s="119" t="str">
        <f>IFERROR(VLOOKUP($C88,烤漆色號編碼!$A:$D,4,FALSE)*對照表!$D88+對照表!$E88,"-")</f>
        <v>-</v>
      </c>
      <c r="G88" s="119"/>
      <c r="H88" s="119"/>
      <c r="I88" s="55" t="str">
        <f>IFERROR(VLOOKUP($C88,烤漆色號編碼!$A:$D,4,FALSE)*對照表!$G88+對照表!$H88,"-")</f>
        <v>-</v>
      </c>
      <c r="J88" s="122" t="str">
        <f>IF(I88&gt;對照表!$F88,"多粉",IF(I88&lt;對照表!$F88,"少粉","正確"))</f>
        <v>正確</v>
      </c>
      <c r="K88" s="122" t="e" vm="1">
        <f>I88-對照表!$F88</f>
        <v>#VALUE!</v>
      </c>
      <c r="L88" s="22"/>
    </row>
    <row r="89" spans="1:12" ht="13.5" customHeight="1" x14ac:dyDescent="0.15">
      <c r="A89" s="22"/>
      <c r="B89" s="138">
        <v>87</v>
      </c>
      <c r="C89" s="119" t="s">
        <v>367</v>
      </c>
      <c r="D89" s="119">
        <f>IF(當前庫存!J90="","-",當前庫存!J90)</f>
        <v>0</v>
      </c>
      <c r="E89" s="119">
        <f>IFERROR(VLOOKUP($C89,當前庫存!$C:$I,4,FALSE),"-")</f>
        <v>0</v>
      </c>
      <c r="F89" s="119" t="str">
        <f>IFERROR(VLOOKUP($C89,烤漆色號編碼!$A:$D,4,FALSE)*對照表!$D89+對照表!$E89,"-")</f>
        <v>-</v>
      </c>
      <c r="G89" s="119"/>
      <c r="H89" s="119"/>
      <c r="I89" s="55" t="str">
        <f>IFERROR(VLOOKUP($C89,烤漆色號編碼!$A:$D,4,FALSE)*對照表!$G89+對照表!$H89,"-")</f>
        <v>-</v>
      </c>
      <c r="J89" s="122" t="str">
        <f>IF(I89&gt;對照表!$F89,"多粉",IF(I89&lt;對照表!$F89,"少粉","正確"))</f>
        <v>正確</v>
      </c>
      <c r="K89" s="122" t="e" vm="1">
        <f>I89-對照表!$F89</f>
        <v>#VALUE!</v>
      </c>
      <c r="L89" s="22"/>
    </row>
    <row r="90" spans="1:12" ht="13.5" customHeight="1" x14ac:dyDescent="0.15">
      <c r="A90" s="22"/>
      <c r="B90" s="138">
        <v>88</v>
      </c>
      <c r="C90" s="119" t="s">
        <v>367</v>
      </c>
      <c r="D90" s="119">
        <f>IF(當前庫存!J91="","-",當前庫存!J91)</f>
        <v>0</v>
      </c>
      <c r="E90" s="119">
        <f>IFERROR(VLOOKUP($C90,當前庫存!$C:$I,4,FALSE),"-")</f>
        <v>0</v>
      </c>
      <c r="F90" s="119" t="str">
        <f>IFERROR(VLOOKUP($C90,烤漆色號編碼!$A:$D,4,FALSE)*對照表!$D90+對照表!$E90,"-")</f>
        <v>-</v>
      </c>
      <c r="G90" s="119"/>
      <c r="H90" s="119"/>
      <c r="I90" s="55" t="str">
        <f>IFERROR(VLOOKUP($C90,烤漆色號編碼!$A:$D,4,FALSE)*對照表!$G90+對照表!$H90,"-")</f>
        <v>-</v>
      </c>
      <c r="J90" s="122" t="str">
        <f>IF(I90&gt;對照表!$F90,"多粉",IF(I90&lt;對照表!$F90,"少粉","正確"))</f>
        <v>正確</v>
      </c>
      <c r="K90" s="122" t="e" vm="1">
        <f>I90-對照表!$F90</f>
        <v>#VALUE!</v>
      </c>
      <c r="L90" s="22"/>
    </row>
    <row r="91" spans="1:12" ht="13.5" customHeight="1" x14ac:dyDescent="0.15">
      <c r="A91" s="22"/>
      <c r="B91" s="138">
        <v>89</v>
      </c>
      <c r="C91" s="119" t="s">
        <v>367</v>
      </c>
      <c r="D91" s="119">
        <f>IF(當前庫存!J92="","-",當前庫存!J92)</f>
        <v>0</v>
      </c>
      <c r="E91" s="119">
        <f>IFERROR(VLOOKUP($C91,當前庫存!$C:$I,4,FALSE),"-")</f>
        <v>0</v>
      </c>
      <c r="F91" s="119" t="str">
        <f>IFERROR(VLOOKUP($C91,烤漆色號編碼!$A:$D,4,FALSE)*對照表!$D91+對照表!$E91,"-")</f>
        <v>-</v>
      </c>
      <c r="G91" s="119"/>
      <c r="H91" s="119"/>
      <c r="I91" s="55" t="str">
        <f>IFERROR(VLOOKUP($C91,烤漆色號編碼!$A:$D,4,FALSE)*對照表!$G91+對照表!$H91,"-")</f>
        <v>-</v>
      </c>
      <c r="J91" s="122" t="str">
        <f>IF(I91&gt;對照表!$F91,"多粉",IF(I91&lt;對照表!$F91,"少粉","正確"))</f>
        <v>正確</v>
      </c>
      <c r="K91" s="122" t="e" vm="1">
        <f>I91-對照表!$F91</f>
        <v>#VALUE!</v>
      </c>
      <c r="L91" s="22"/>
    </row>
    <row r="92" spans="1:12" ht="13.5" customHeight="1" x14ac:dyDescent="0.15">
      <c r="A92" s="22"/>
      <c r="B92" s="138">
        <v>90</v>
      </c>
      <c r="C92" s="119" t="s">
        <v>367</v>
      </c>
      <c r="D92" s="119">
        <f>IF(當前庫存!J93="","-",當前庫存!J93)</f>
        <v>0</v>
      </c>
      <c r="E92" s="119">
        <f>IFERROR(VLOOKUP($C92,當前庫存!$C:$I,4,FALSE),"-")</f>
        <v>0</v>
      </c>
      <c r="F92" s="119" t="str">
        <f>IFERROR(VLOOKUP($C92,烤漆色號編碼!$A:$D,4,FALSE)*對照表!$D92+對照表!$E92,"-")</f>
        <v>-</v>
      </c>
      <c r="G92" s="119"/>
      <c r="H92" s="119"/>
      <c r="I92" s="55" t="str">
        <f>IFERROR(VLOOKUP($C92,烤漆色號編碼!$A:$D,4,FALSE)*對照表!$G92+對照表!$H92,"-")</f>
        <v>-</v>
      </c>
      <c r="J92" s="122" t="str">
        <f>IF(I92&gt;對照表!$F92,"多粉",IF(I92&lt;對照表!$F92,"少粉","正確"))</f>
        <v>正確</v>
      </c>
      <c r="K92" s="122" t="e" vm="1">
        <f>I92-對照表!$F92</f>
        <v>#VALUE!</v>
      </c>
      <c r="L92" s="22"/>
    </row>
    <row r="93" spans="1:12" ht="13.5" customHeight="1" x14ac:dyDescent="0.15">
      <c r="A93" s="22"/>
      <c r="B93" s="138">
        <v>91</v>
      </c>
      <c r="C93" s="119" t="s">
        <v>367</v>
      </c>
      <c r="D93" s="119">
        <f>IF(當前庫存!J94="","-",當前庫存!J94)</f>
        <v>0</v>
      </c>
      <c r="E93" s="119">
        <f>IFERROR(VLOOKUP($C93,當前庫存!$C:$I,4,FALSE),"-")</f>
        <v>0</v>
      </c>
      <c r="F93" s="119" t="str">
        <f>IFERROR(VLOOKUP($C93,烤漆色號編碼!$A:$D,4,FALSE)*對照表!$D93+對照表!$E93,"-")</f>
        <v>-</v>
      </c>
      <c r="G93" s="119"/>
      <c r="H93" s="119"/>
      <c r="I93" s="55" t="str">
        <f>IFERROR(VLOOKUP($C93,烤漆色號編碼!$A:$D,4,FALSE)*對照表!$G93+對照表!$H93,"-")</f>
        <v>-</v>
      </c>
      <c r="J93" s="122" t="str">
        <f>IF(I93&gt;對照表!$F93,"多粉",IF(I93&lt;對照表!$F93,"少粉","正確"))</f>
        <v>正確</v>
      </c>
      <c r="K93" s="122" t="e" vm="1">
        <f>I93-對照表!$F93</f>
        <v>#VALUE!</v>
      </c>
      <c r="L93" s="22"/>
    </row>
    <row r="94" spans="1:12" ht="13.5" customHeight="1" x14ac:dyDescent="0.15">
      <c r="A94" s="22"/>
      <c r="B94" s="138">
        <v>92</v>
      </c>
      <c r="C94" s="119" t="s">
        <v>367</v>
      </c>
      <c r="D94" s="119">
        <f>IF(當前庫存!J95="","-",當前庫存!J95)</f>
        <v>0</v>
      </c>
      <c r="E94" s="119">
        <f>IFERROR(VLOOKUP($C94,當前庫存!$C:$I,4,FALSE),"-")</f>
        <v>0</v>
      </c>
      <c r="F94" s="119" t="str">
        <f>IFERROR(VLOOKUP($C94,烤漆色號編碼!$A:$D,4,FALSE)*對照表!$D94+對照表!$E94,"-")</f>
        <v>-</v>
      </c>
      <c r="G94" s="119"/>
      <c r="H94" s="119"/>
      <c r="I94" s="55" t="str">
        <f>IFERROR(VLOOKUP($C94,烤漆色號編碼!$A:$D,4,FALSE)*對照表!$G94+對照表!$H94,"-")</f>
        <v>-</v>
      </c>
      <c r="J94" s="122" t="str">
        <f>IF(I94&gt;對照表!$F94,"多粉",IF(I94&lt;對照表!$F94,"少粉","正確"))</f>
        <v>正確</v>
      </c>
      <c r="K94" s="122" t="e" vm="1">
        <f>I94-對照表!$F94</f>
        <v>#VALUE!</v>
      </c>
      <c r="L94" s="22"/>
    </row>
    <row r="95" spans="1:12" ht="13.5" customHeight="1" x14ac:dyDescent="0.15">
      <c r="A95" s="22"/>
      <c r="B95" s="138">
        <v>93</v>
      </c>
      <c r="C95" s="119" t="s">
        <v>367</v>
      </c>
      <c r="D95" s="119">
        <f>IF(當前庫存!J96="","-",當前庫存!J96)</f>
        <v>0</v>
      </c>
      <c r="E95" s="119">
        <f>IFERROR(VLOOKUP($C95,當前庫存!$C:$I,4,FALSE),"-")</f>
        <v>0</v>
      </c>
      <c r="F95" s="119" t="str">
        <f>IFERROR(VLOOKUP($C95,烤漆色號編碼!$A:$D,4,FALSE)*對照表!$D95+對照表!$E95,"-")</f>
        <v>-</v>
      </c>
      <c r="G95" s="119"/>
      <c r="H95" s="119"/>
      <c r="I95" s="55" t="str">
        <f>IFERROR(VLOOKUP($C95,烤漆色號編碼!$A:$D,4,FALSE)*對照表!$G95+對照表!$H95,"-")</f>
        <v>-</v>
      </c>
      <c r="J95" s="122" t="str">
        <f>IF(I95&gt;對照表!$F95,"多粉",IF(I95&lt;對照表!$F95,"少粉","正確"))</f>
        <v>正確</v>
      </c>
      <c r="K95" s="122" t="e" vm="1">
        <f>I95-對照表!$F95</f>
        <v>#VALUE!</v>
      </c>
      <c r="L95" s="22"/>
    </row>
    <row r="96" spans="1:12" ht="13.5" customHeight="1" x14ac:dyDescent="0.15">
      <c r="A96" s="22"/>
      <c r="B96" s="138">
        <v>94</v>
      </c>
      <c r="C96" s="119" t="s">
        <v>367</v>
      </c>
      <c r="D96" s="119">
        <f>IF(當前庫存!J97="","-",當前庫存!J97)</f>
        <v>0</v>
      </c>
      <c r="E96" s="119">
        <f>IFERROR(VLOOKUP($C96,當前庫存!$C:$I,4,FALSE),"-")</f>
        <v>0</v>
      </c>
      <c r="F96" s="119" t="str">
        <f>IFERROR(VLOOKUP($C96,烤漆色號編碼!$A:$D,4,FALSE)*對照表!$D96+對照表!$E96,"-")</f>
        <v>-</v>
      </c>
      <c r="G96" s="119"/>
      <c r="H96" s="119"/>
      <c r="I96" s="55" t="str">
        <f>IFERROR(VLOOKUP($C96,烤漆色號編碼!$A:$D,4,FALSE)*對照表!$G96+對照表!$H96,"-")</f>
        <v>-</v>
      </c>
      <c r="J96" s="122" t="str">
        <f>IF(I96&gt;對照表!$F96,"多粉",IF(I96&lt;對照表!$F96,"少粉","正確"))</f>
        <v>正確</v>
      </c>
      <c r="K96" s="122" t="e" vm="1">
        <f>I96-對照表!$F96</f>
        <v>#VALUE!</v>
      </c>
      <c r="L96" s="22"/>
    </row>
    <row r="97" spans="1:12" ht="13.5" customHeight="1" x14ac:dyDescent="0.15">
      <c r="A97" s="22"/>
      <c r="B97" s="138">
        <v>95</v>
      </c>
      <c r="C97" s="119" t="s">
        <v>367</v>
      </c>
      <c r="D97" s="119">
        <f>IF(當前庫存!J98="","-",當前庫存!J98)</f>
        <v>0</v>
      </c>
      <c r="E97" s="119">
        <f>IFERROR(VLOOKUP($C97,當前庫存!$C:$I,4,FALSE),"-")</f>
        <v>0</v>
      </c>
      <c r="F97" s="119" t="str">
        <f>IFERROR(VLOOKUP($C97,烤漆色號編碼!$A:$D,4,FALSE)*對照表!$D97+對照表!$E97,"-")</f>
        <v>-</v>
      </c>
      <c r="G97" s="119"/>
      <c r="H97" s="119"/>
      <c r="I97" s="55" t="str">
        <f>IFERROR(VLOOKUP($C97,烤漆色號編碼!$A:$D,4,FALSE)*對照表!$G97+對照表!$H97,"-")</f>
        <v>-</v>
      </c>
      <c r="J97" s="122" t="str">
        <f>IF(I97&gt;對照表!$F97,"多粉",IF(I97&lt;對照表!$F97,"少粉","正確"))</f>
        <v>正確</v>
      </c>
      <c r="K97" s="122" t="e" vm="1">
        <f>I97-對照表!$F97</f>
        <v>#VALUE!</v>
      </c>
      <c r="L97" s="22"/>
    </row>
    <row r="98" spans="1:12" ht="13.5" customHeight="1" x14ac:dyDescent="0.15">
      <c r="A98" s="22"/>
      <c r="B98" s="138">
        <v>96</v>
      </c>
      <c r="C98" s="119" t="s">
        <v>367</v>
      </c>
      <c r="D98" s="119">
        <f>IF(當前庫存!J99="","-",當前庫存!J99)</f>
        <v>0</v>
      </c>
      <c r="E98" s="119">
        <f>IFERROR(VLOOKUP($C98,當前庫存!$C:$I,4,FALSE),"-")</f>
        <v>0</v>
      </c>
      <c r="F98" s="119" t="str">
        <f>IFERROR(VLOOKUP($C98,烤漆色號編碼!$A:$D,4,FALSE)*對照表!$D98+對照表!$E98,"-")</f>
        <v>-</v>
      </c>
      <c r="G98" s="119"/>
      <c r="H98" s="119"/>
      <c r="I98" s="55" t="str">
        <f>IFERROR(VLOOKUP($C98,烤漆色號編碼!$A:$D,4,FALSE)*對照表!$G98+對照表!$H98,"-")</f>
        <v>-</v>
      </c>
      <c r="J98" s="122" t="str">
        <f>IF(I98&gt;對照表!$F98,"多粉",IF(I98&lt;對照表!$F98,"少粉","正確"))</f>
        <v>正確</v>
      </c>
      <c r="K98" s="122" t="e" vm="1">
        <f>I98-對照表!$F98</f>
        <v>#VALUE!</v>
      </c>
      <c r="L98" s="22"/>
    </row>
    <row r="99" spans="1:12" ht="13.5" customHeight="1" x14ac:dyDescent="0.15">
      <c r="A99" s="22"/>
      <c r="B99" s="138">
        <v>97</v>
      </c>
      <c r="C99" s="119" t="s">
        <v>367</v>
      </c>
      <c r="D99" s="119">
        <f>IF(當前庫存!J100="","-",當前庫存!J100)</f>
        <v>0</v>
      </c>
      <c r="E99" s="119">
        <f>IFERROR(VLOOKUP($C99,當前庫存!$C:$I,4,FALSE),"-")</f>
        <v>0</v>
      </c>
      <c r="F99" s="119" t="str">
        <f>IFERROR(VLOOKUP($C99,烤漆色號編碼!$A:$D,4,FALSE)*對照表!$D99+對照表!$E99,"-")</f>
        <v>-</v>
      </c>
      <c r="G99" s="119"/>
      <c r="H99" s="119"/>
      <c r="I99" s="55" t="str">
        <f>IFERROR(VLOOKUP($C99,烤漆色號編碼!$A:$D,4,FALSE)*對照表!$G99+對照表!$H99,"-")</f>
        <v>-</v>
      </c>
      <c r="J99" s="122" t="str">
        <f>IF(I99&gt;對照表!$F99,"多粉",IF(I99&lt;對照表!$F99,"少粉","正確"))</f>
        <v>正確</v>
      </c>
      <c r="K99" s="122" t="e" vm="1">
        <f>I99-對照表!$F99</f>
        <v>#VALUE!</v>
      </c>
      <c r="L99" s="22"/>
    </row>
    <row r="100" spans="1:12" ht="13.5" customHeight="1" x14ac:dyDescent="0.15">
      <c r="A100" s="22"/>
      <c r="B100" s="138">
        <v>98</v>
      </c>
      <c r="C100" s="119" t="s">
        <v>367</v>
      </c>
      <c r="D100" s="119">
        <f>IF(當前庫存!J101="","-",當前庫存!J101)</f>
        <v>0</v>
      </c>
      <c r="E100" s="119">
        <f>IFERROR(VLOOKUP($C100,當前庫存!$C:$I,4,FALSE),"-")</f>
        <v>0</v>
      </c>
      <c r="F100" s="119" t="str">
        <f>IFERROR(VLOOKUP($C100,烤漆色號編碼!$A:$D,4,FALSE)*對照表!$D100+對照表!$E100,"-")</f>
        <v>-</v>
      </c>
      <c r="G100" s="119"/>
      <c r="H100" s="119"/>
      <c r="I100" s="55" t="str">
        <f>IFERROR(VLOOKUP($C100,烤漆色號編碼!$A:$D,4,FALSE)*對照表!$G100+對照表!$H100,"-")</f>
        <v>-</v>
      </c>
      <c r="J100" s="122" t="str">
        <f>IF(I100&gt;對照表!$F100,"多粉",IF(I100&lt;對照表!$F100,"少粉","正確"))</f>
        <v>正確</v>
      </c>
      <c r="K100" s="122" t="e" vm="1">
        <f>I100-對照表!$F100</f>
        <v>#VALUE!</v>
      </c>
      <c r="L100" s="22"/>
    </row>
    <row r="101" spans="1:12" ht="13.5" customHeight="1" x14ac:dyDescent="0.15">
      <c r="A101" s="22"/>
      <c r="B101" s="138">
        <v>99</v>
      </c>
      <c r="C101" s="122"/>
      <c r="D101" s="119">
        <f>IF(當前庫存!J102="","-",當前庫存!J102)</f>
        <v>0</v>
      </c>
      <c r="E101" s="119" t="str">
        <f>IFERROR(VLOOKUP($C101,當前庫存!$C:$I,4,FALSE),"-")</f>
        <v>-</v>
      </c>
      <c r="F101" s="119" t="str">
        <f>IFERROR(VLOOKUP($C101,烤漆色號編碼!$A:$D,4,FALSE)*對照表!$D101+對照表!$E101,"-")</f>
        <v>-</v>
      </c>
      <c r="G101" s="119"/>
      <c r="H101" s="119"/>
      <c r="I101" s="55" t="str">
        <f>IFERROR(VLOOKUP($C101,烤漆色號編碼!$A:$D,4,FALSE)*對照表!$G101+對照表!$H101,"-")</f>
        <v>-</v>
      </c>
      <c r="J101" s="122" t="str">
        <f>IF(I101&gt;對照表!$F101,"多粉",IF(I101&lt;對照表!$F101,"少粉","正確"))</f>
        <v>正確</v>
      </c>
      <c r="K101" s="122" t="e" vm="1">
        <f>I101-對照表!$F101</f>
        <v>#VALUE!</v>
      </c>
      <c r="L101" s="22"/>
    </row>
    <row r="102" spans="1:12" ht="13.5" customHeight="1" x14ac:dyDescent="0.15">
      <c r="A102" s="22"/>
      <c r="B102" s="139"/>
      <c r="C102" s="122"/>
      <c r="D102" s="119">
        <f>IF(當前庫存!J103="","-",當前庫存!J103)</f>
        <v>0</v>
      </c>
      <c r="E102" s="119" t="str">
        <f>IFERROR(VLOOKUP($C102,當前庫存!$C:$I,4,FALSE),"-")</f>
        <v>-</v>
      </c>
      <c r="F102" s="119" t="str">
        <f>IFERROR(VLOOKUP($C102,烤漆色號編碼!$A:$D,4,FALSE)*對照表!$D102+對照表!$E102,"-")</f>
        <v>-</v>
      </c>
      <c r="G102" s="119"/>
      <c r="H102" s="119"/>
      <c r="I102" s="55" t="str">
        <f>IFERROR(VLOOKUP($C102,烤漆色號編碼!$A:$D,4,FALSE)*對照表!$G102+對照表!$H102,"-")</f>
        <v>-</v>
      </c>
      <c r="J102" s="122" t="str">
        <f>IF(I102&gt;對照表!$F102,"多粉",IF(I102&lt;對照表!$F102,"少粉","正確"))</f>
        <v>正確</v>
      </c>
      <c r="K102" s="122" t="e" vm="1">
        <f>I102-對照表!$F102</f>
        <v>#VALUE!</v>
      </c>
      <c r="L102" s="22"/>
    </row>
    <row r="103" spans="1:12" ht="13.5" customHeight="1" x14ac:dyDescent="0.15">
      <c r="A103" s="22"/>
      <c r="B103" s="139"/>
      <c r="C103" s="122"/>
      <c r="D103" s="122"/>
      <c r="E103" s="122" t="str">
        <f>IFERROR(VLOOKUP($C103,當前庫存!$C:$I,4,FALSE),"-")</f>
        <v>-</v>
      </c>
      <c r="F103" s="122" t="str">
        <f>IFERROR(VLOOKUP($C103,烤漆色號編碼!$A:$D,4,FALSE)*對照表!$D103+對照表!$E103,"-")</f>
        <v>-</v>
      </c>
      <c r="G103" s="122"/>
      <c r="H103" s="122"/>
      <c r="I103" s="55" t="str">
        <f>IFERROR(VLOOKUP($C103,烤漆色號編碼!$A:$D,4,FALSE)*對照表!$G103+對照表!$H103,"-")</f>
        <v>-</v>
      </c>
      <c r="J103" s="122" t="str">
        <f>IF(I103&gt;對照表!$F103,"多粉",IF(I103&lt;對照表!$F103,"少粉","正確"))</f>
        <v>正確</v>
      </c>
      <c r="K103" s="122" t="e" vm="1">
        <f>I103-對照表!$F103</f>
        <v>#VALUE!</v>
      </c>
      <c r="L103" s="22"/>
    </row>
    <row r="104" spans="1:12" ht="13.5" customHeight="1" x14ac:dyDescent="0.15">
      <c r="A104" s="22"/>
      <c r="B104" s="139"/>
      <c r="C104" s="122"/>
      <c r="D104" s="122"/>
      <c r="E104" s="122" t="str">
        <f>IFERROR(VLOOKUP($C104,當前庫存!$C:$I,4,FALSE),"-")</f>
        <v>-</v>
      </c>
      <c r="F104" s="122" t="str">
        <f>IFERROR(VLOOKUP($C104,烤漆色號編碼!$A:$D,4,FALSE)*對照表!$D104+對照表!$E104,"-")</f>
        <v>-</v>
      </c>
      <c r="G104" s="122"/>
      <c r="H104" s="122"/>
      <c r="I104" s="55" t="str">
        <f>IFERROR(VLOOKUP($C104,烤漆色號編碼!$A:$D,4,FALSE)*對照表!$G104+對照表!$H104,"-")</f>
        <v>-</v>
      </c>
      <c r="J104" s="122" t="str">
        <f>IF(I104&gt;對照表!$F104,"多粉",IF(I104&lt;對照表!$F104,"少粉","正確"))</f>
        <v>正確</v>
      </c>
      <c r="K104" s="122" t="e" vm="1">
        <f>I104-對照表!$F104</f>
        <v>#VALUE!</v>
      </c>
      <c r="L104" s="22"/>
    </row>
    <row r="105" spans="1:12" ht="13.5" customHeight="1" x14ac:dyDescent="0.15">
      <c r="A105" s="22"/>
      <c r="B105" s="139"/>
      <c r="C105" s="122"/>
      <c r="D105" s="122"/>
      <c r="E105" s="122" t="str">
        <f>IFERROR(VLOOKUP($C105,當前庫存!$C:$I,4,FALSE),"-")</f>
        <v>-</v>
      </c>
      <c r="F105" s="122" t="str">
        <f>IFERROR(VLOOKUP($C105,烤漆色號編碼!$A:$D,4,FALSE)*對照表!$D105+對照表!$E105,"-")</f>
        <v>-</v>
      </c>
      <c r="G105" s="122"/>
      <c r="H105" s="122"/>
      <c r="I105" s="55" t="str">
        <f>IFERROR(VLOOKUP($C105,烤漆色號編碼!$A:$D,4,FALSE)*對照表!$G105+對照表!$H105,"-")</f>
        <v>-</v>
      </c>
      <c r="J105" s="122"/>
      <c r="K105" s="122" t="e" vm="1">
        <f>I105-對照表!$F105</f>
        <v>#VALUE!</v>
      </c>
      <c r="L105" s="22"/>
    </row>
  </sheetData>
  <conditionalFormatting sqref="D3:E41">
    <cfRule type="cellIs" dxfId="15" priority="4" operator="equal">
      <formula>0</formula>
    </cfRule>
  </conditionalFormatting>
  <conditionalFormatting sqref="J3:J104">
    <cfRule type="containsText" dxfId="14" priority="1" operator="containsText" text="多粉">
      <formula>NOT(ISERROR(SEARCH(("多粉"),(J3))))</formula>
    </cfRule>
    <cfRule type="containsText" dxfId="13" priority="2" operator="containsText" text="少粉">
      <formula>NOT(ISERROR(SEARCH(("少粉"),(J3))))</formula>
    </cfRule>
    <cfRule type="containsText" dxfId="12" priority="3" operator="containsText" text="正確">
      <formula>NOT(ISERROR(SEARCH(("正確"),(J3))))</formula>
    </cfRule>
  </conditionalFormatting>
  <pageMargins left="0.7" right="0.7" top="0.75" bottom="0.75" header="0" footer="0"/>
  <pageSetup paperSize="9" fitToWidth="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7"/>
  <sheetViews>
    <sheetView workbookViewId="0"/>
  </sheetViews>
  <sheetFormatPr defaultColWidth="13.97265625" defaultRowHeight="15" customHeight="1" x14ac:dyDescent="0.15"/>
  <cols>
    <col min="1" max="1" width="1.9609375" customWidth="1"/>
    <col min="2" max="2" width="3.4296875" customWidth="1"/>
    <col min="3" max="3" width="14.33984375" customWidth="1"/>
    <col min="4" max="4" width="11.15234375" customWidth="1"/>
    <col min="5" max="5" width="8.3359375" customWidth="1"/>
    <col min="6" max="8" width="10.05078125" customWidth="1"/>
    <col min="9" max="9" width="15.078125" customWidth="1"/>
    <col min="10" max="17" width="10.05078125" customWidth="1"/>
  </cols>
  <sheetData>
    <row r="1" spans="1:17" ht="9.75" customHeight="1" x14ac:dyDescent="0.15">
      <c r="A1" s="141"/>
      <c r="B1" s="142"/>
      <c r="C1" s="143"/>
      <c r="D1" s="143"/>
      <c r="E1" s="143"/>
      <c r="F1" s="143"/>
      <c r="G1" s="143"/>
      <c r="H1" s="143"/>
      <c r="I1" s="141"/>
      <c r="J1" s="141"/>
      <c r="K1" s="141"/>
      <c r="L1" s="141"/>
      <c r="M1" s="141"/>
      <c r="N1" s="141"/>
      <c r="O1" s="141"/>
      <c r="P1" s="141"/>
      <c r="Q1" s="141"/>
    </row>
    <row r="2" spans="1:17" ht="13.5" customHeight="1" x14ac:dyDescent="0.15">
      <c r="A2" s="141"/>
      <c r="B2" s="144"/>
      <c r="C2" s="145"/>
      <c r="D2" s="108" t="s">
        <v>357</v>
      </c>
      <c r="E2" s="108" t="s">
        <v>358</v>
      </c>
      <c r="F2" s="108" t="s">
        <v>360</v>
      </c>
      <c r="G2" s="109" t="s">
        <v>359</v>
      </c>
      <c r="H2" s="145"/>
      <c r="I2" s="141"/>
      <c r="J2" s="141"/>
      <c r="K2" s="141"/>
      <c r="L2" s="141"/>
      <c r="M2" s="141"/>
      <c r="N2" s="141"/>
      <c r="O2" s="141"/>
      <c r="P2" s="141"/>
      <c r="Q2" s="141"/>
    </row>
    <row r="3" spans="1:17" ht="13.5" customHeight="1" x14ac:dyDescent="0.15">
      <c r="A3" s="141"/>
      <c r="B3" s="131" t="s">
        <v>361</v>
      </c>
      <c r="C3" s="116" t="s">
        <v>23</v>
      </c>
      <c r="D3" s="116" t="s">
        <v>362</v>
      </c>
      <c r="E3" s="116" t="s">
        <v>17</v>
      </c>
      <c r="F3" s="146" t="s">
        <v>363</v>
      </c>
      <c r="G3" s="116" t="s">
        <v>377</v>
      </c>
      <c r="H3" s="146" t="s">
        <v>378</v>
      </c>
      <c r="I3" s="147" t="s">
        <v>379</v>
      </c>
      <c r="J3" s="141"/>
      <c r="K3" s="131" t="s">
        <v>361</v>
      </c>
      <c r="L3" s="131" t="s">
        <v>23</v>
      </c>
      <c r="M3" s="131" t="s">
        <v>362</v>
      </c>
      <c r="N3" s="131" t="s">
        <v>17</v>
      </c>
      <c r="O3" s="131" t="s">
        <v>363</v>
      </c>
      <c r="P3" s="148" t="s">
        <v>380</v>
      </c>
      <c r="Q3" s="148" t="s">
        <v>378</v>
      </c>
    </row>
    <row r="4" spans="1:17" ht="13.5" customHeight="1" x14ac:dyDescent="0.15">
      <c r="A4" s="141"/>
      <c r="B4" s="149">
        <v>1</v>
      </c>
      <c r="C4" s="55" t="str">
        <f>IF(烤漆色號編碼!A2="","-",烤漆色號編碼!A2)</f>
        <v>DP-11485</v>
      </c>
      <c r="D4" s="55" t="str">
        <f>IF(烤漆色號編碼!C2="","-",烤漆色號編碼!C2)</f>
        <v>白亮光</v>
      </c>
      <c r="E4" s="55" t="str">
        <f>IF(烤漆色號編碼!B2="","-",烤漆色號編碼!B2)</f>
        <v>WE</v>
      </c>
      <c r="F4" s="119">
        <f>5+23+10</f>
        <v>38</v>
      </c>
      <c r="G4" s="119">
        <v>1</v>
      </c>
      <c r="H4" s="55">
        <f t="shared" ref="H4:H87" si="0">IFERROR((G4*25)+F4,"-")</f>
        <v>63</v>
      </c>
      <c r="I4" s="150"/>
      <c r="J4" s="141"/>
      <c r="K4" s="148">
        <v>1</v>
      </c>
      <c r="L4" s="151" t="str">
        <f>IF(烤漆色號編碼!K2="","-",烤漆色號編碼!K2)</f>
        <v>-</v>
      </c>
      <c r="M4" s="151" t="str">
        <f>IF(烤漆色號編碼!M2="","-",烤漆色號編碼!M2)</f>
        <v>-</v>
      </c>
      <c r="N4" s="151" t="str">
        <f>IF(烤漆色號編碼!L2="","-",烤漆色號編碼!L2)</f>
        <v>-</v>
      </c>
      <c r="O4" s="151">
        <v>39</v>
      </c>
      <c r="P4" s="151">
        <v>19</v>
      </c>
      <c r="Q4" s="151">
        <f t="shared" ref="Q4:Q33" si="1">(P4*25)+O4</f>
        <v>514</v>
      </c>
    </row>
    <row r="5" spans="1:17" ht="13.5" customHeight="1" x14ac:dyDescent="0.15">
      <c r="A5" s="141"/>
      <c r="B5" s="149">
        <v>2</v>
      </c>
      <c r="C5" s="55" t="str">
        <f>IF(烤漆色號編碼!A3="","-",烤漆色號編碼!A3)</f>
        <v>DP-1856</v>
      </c>
      <c r="D5" s="55" t="str">
        <f>IF(烤漆色號編碼!C3="","-",烤漆色號編碼!C3)</f>
        <v>灰白</v>
      </c>
      <c r="E5" s="55" t="str">
        <f>IF(烤漆色號編碼!B3="","-",烤漆色號編碼!B3)</f>
        <v>WE1</v>
      </c>
      <c r="F5" s="119">
        <v>12</v>
      </c>
      <c r="G5" s="119">
        <v>1</v>
      </c>
      <c r="H5" s="55">
        <f t="shared" si="0"/>
        <v>37</v>
      </c>
      <c r="I5" s="150"/>
      <c r="J5" s="141"/>
      <c r="K5" s="148">
        <v>2</v>
      </c>
      <c r="L5" s="152" t="str">
        <f>IF(烤漆色號編碼!K3="","-",烤漆色號編碼!K3)</f>
        <v>-</v>
      </c>
      <c r="M5" s="152" t="str">
        <f>IF(烤漆色號編碼!M3="","-",烤漆色號編碼!M3)</f>
        <v>-</v>
      </c>
      <c r="N5" s="152" t="str">
        <f>IF(烤漆色號編碼!L3="","-",烤漆色號編碼!L3)</f>
        <v>-</v>
      </c>
      <c r="O5" s="152">
        <v>13</v>
      </c>
      <c r="P5" s="152">
        <v>1</v>
      </c>
      <c r="Q5" s="152">
        <f t="shared" si="1"/>
        <v>38</v>
      </c>
    </row>
    <row r="6" spans="1:17" ht="13.5" customHeight="1" x14ac:dyDescent="0.15">
      <c r="A6" s="141"/>
      <c r="B6" s="149">
        <v>3</v>
      </c>
      <c r="C6" s="55" t="str">
        <f>IF(烤漆色號編碼!A4="","-",烤漆色號編碼!A4)</f>
        <v>O-5905</v>
      </c>
      <c r="D6" s="55" t="str">
        <f>IF(烤漆色號編碼!C4="","-",烤漆色號編碼!C4)</f>
        <v>黃亮光</v>
      </c>
      <c r="E6" s="55" t="str">
        <f>IF(烤漆色號編碼!B4="","-",烤漆色號編碼!B4)</f>
        <v>換粉</v>
      </c>
      <c r="F6" s="119">
        <v>0</v>
      </c>
      <c r="G6" s="119">
        <v>0</v>
      </c>
      <c r="H6" s="55">
        <f t="shared" si="0"/>
        <v>0</v>
      </c>
      <c r="I6" s="141"/>
      <c r="J6" s="141"/>
      <c r="K6" s="148">
        <v>3</v>
      </c>
      <c r="L6" s="151" t="str">
        <f>IF(烤漆色號編碼!K4="","-",烤漆色號編碼!K4)</f>
        <v>-</v>
      </c>
      <c r="M6" s="151" t="str">
        <f>IF(烤漆色號編碼!M4="","-",烤漆色號編碼!M4)</f>
        <v>-</v>
      </c>
      <c r="N6" s="151" t="str">
        <f>IF(烤漆色號編碼!L4="","-",烤漆色號編碼!L4)</f>
        <v>-</v>
      </c>
      <c r="O6" s="151">
        <v>14</v>
      </c>
      <c r="P6" s="151">
        <v>1</v>
      </c>
      <c r="Q6" s="151">
        <f t="shared" si="1"/>
        <v>39</v>
      </c>
    </row>
    <row r="7" spans="1:17" ht="13.5" customHeight="1" x14ac:dyDescent="0.15">
      <c r="A7" s="141"/>
      <c r="B7" s="149"/>
      <c r="C7" s="55" t="str">
        <f>IF(烤漆色號編碼!A5="","-",烤漆色號編碼!A5)</f>
        <v>New O-5905</v>
      </c>
      <c r="D7" s="55" t="str">
        <f>IF(烤漆色號編碼!C5="","-",烤漆色號編碼!C5)</f>
        <v>黃亮光</v>
      </c>
      <c r="E7" s="55" t="str">
        <f>IF(烤漆色號編碼!B5="","-",烤漆色號編碼!B5)</f>
        <v>換粉</v>
      </c>
      <c r="F7" s="119">
        <v>7</v>
      </c>
      <c r="G7" s="119">
        <v>2</v>
      </c>
      <c r="H7" s="55">
        <f t="shared" si="0"/>
        <v>57</v>
      </c>
      <c r="I7" s="141"/>
      <c r="J7" s="141"/>
      <c r="K7" s="148"/>
      <c r="L7" s="152" t="str">
        <f>IF(烤漆色號編碼!K5="","-",烤漆色號編碼!K5)</f>
        <v>-</v>
      </c>
      <c r="M7" s="152" t="str">
        <f>IF(烤漆色號編碼!M5="","-",烤漆色號編碼!M5)</f>
        <v>-</v>
      </c>
      <c r="N7" s="152" t="str">
        <f>IF(烤漆色號編碼!L5="","-",烤漆色號編碼!L5)</f>
        <v>-</v>
      </c>
      <c r="O7" s="152">
        <v>16</v>
      </c>
      <c r="P7" s="152">
        <v>2</v>
      </c>
      <c r="Q7" s="152">
        <f t="shared" si="1"/>
        <v>66</v>
      </c>
    </row>
    <row r="8" spans="1:17" ht="13.5" customHeight="1" x14ac:dyDescent="0.15">
      <c r="A8" s="141"/>
      <c r="B8" s="149">
        <v>4</v>
      </c>
      <c r="C8" s="55" t="str">
        <f>IF(烤漆色號編碼!A6="","-",烤漆色號編碼!A6)</f>
        <v>790-41540H</v>
      </c>
      <c r="D8" s="55" t="str">
        <f>IF(烤漆色號編碼!C6="","-",烤漆色號編碼!C6)</f>
        <v>黃錘紋</v>
      </c>
      <c r="E8" s="55" t="str">
        <f>IF(烤漆色號編碼!B6="","-",烤漆色號編碼!B6)</f>
        <v>YWH</v>
      </c>
      <c r="F8" s="119">
        <f>21+6</f>
        <v>27</v>
      </c>
      <c r="G8" s="119">
        <v>0</v>
      </c>
      <c r="H8" s="55">
        <f t="shared" si="0"/>
        <v>27</v>
      </c>
      <c r="I8" s="141"/>
      <c r="J8" s="141"/>
      <c r="K8" s="148">
        <v>4</v>
      </c>
      <c r="L8" s="151" t="str">
        <f>IF(烤漆色號編碼!K6="","-",烤漆色號編碼!K6)</f>
        <v>-</v>
      </c>
      <c r="M8" s="151" t="str">
        <f>IF(烤漆色號編碼!M6="","-",烤漆色號編碼!M6)</f>
        <v>-</v>
      </c>
      <c r="N8" s="151" t="str">
        <f>IF(烤漆色號編碼!L6="","-",烤漆色號編碼!L6)</f>
        <v>-</v>
      </c>
      <c r="O8" s="151">
        <v>58</v>
      </c>
      <c r="P8" s="151">
        <v>1</v>
      </c>
      <c r="Q8" s="151">
        <f t="shared" si="1"/>
        <v>83</v>
      </c>
    </row>
    <row r="9" spans="1:17" ht="13.5" customHeight="1" x14ac:dyDescent="0.15">
      <c r="A9" s="141"/>
      <c r="B9" s="149">
        <v>5</v>
      </c>
      <c r="C9" s="55" t="str">
        <f>IF(烤漆色號編碼!A7="","-",烤漆色號編碼!A7)</f>
        <v>780-310AT</v>
      </c>
      <c r="D9" s="55" t="str">
        <f>IF(烤漆色號編碼!C7="","-",烤漆色號編碼!C7)</f>
        <v>法拉利紅</v>
      </c>
      <c r="E9" s="55" t="str">
        <f>IF(烤漆色號編碼!B7="","-",烤漆色號編碼!B7)</f>
        <v>RD</v>
      </c>
      <c r="F9" s="119">
        <v>12</v>
      </c>
      <c r="G9" s="119">
        <v>3</v>
      </c>
      <c r="H9" s="55">
        <f t="shared" si="0"/>
        <v>87</v>
      </c>
      <c r="I9" s="141"/>
      <c r="J9" s="141"/>
      <c r="K9" s="148">
        <v>5</v>
      </c>
      <c r="L9" s="152" t="str">
        <f>IF(烤漆色號編碼!K7="","-",烤漆色號編碼!K7)</f>
        <v>-</v>
      </c>
      <c r="M9" s="152" t="str">
        <f>IF(烤漆色號編碼!M7="","-",烤漆色號編碼!M7)</f>
        <v>-</v>
      </c>
      <c r="N9" s="152" t="str">
        <f>IF(烤漆色號編碼!L7="","-",烤漆色號編碼!L7)</f>
        <v>-</v>
      </c>
      <c r="O9" s="152"/>
      <c r="P9" s="152">
        <v>2</v>
      </c>
      <c r="Q9" s="152">
        <f t="shared" si="1"/>
        <v>50</v>
      </c>
    </row>
    <row r="10" spans="1:17" ht="13.5" customHeight="1" x14ac:dyDescent="0.15">
      <c r="A10" s="141"/>
      <c r="B10" s="149">
        <v>6</v>
      </c>
      <c r="C10" s="55" t="str">
        <f>IF(烤漆色號編碼!A8="","-",烤漆色號編碼!A8)</f>
        <v>LT-90442</v>
      </c>
      <c r="D10" s="55" t="str">
        <f>IF(烤漆色號編碼!C8="","-",烤漆色號編碼!C8)</f>
        <v>藍色</v>
      </c>
      <c r="E10" s="55" t="str">
        <f>IF(烤漆色號編碼!B8="","-",烤漆色號編碼!B8)</f>
        <v>BE</v>
      </c>
      <c r="F10" s="119">
        <v>3</v>
      </c>
      <c r="G10" s="119">
        <v>2</v>
      </c>
      <c r="H10" s="55">
        <f t="shared" si="0"/>
        <v>53</v>
      </c>
      <c r="I10" s="141"/>
      <c r="J10" s="141"/>
      <c r="K10" s="148">
        <v>6</v>
      </c>
      <c r="L10" s="151" t="str">
        <f>IF(烤漆色號編碼!K8="","-",烤漆色號編碼!K8)</f>
        <v>-</v>
      </c>
      <c r="M10" s="151" t="str">
        <f>IF(烤漆色號編碼!M8="","-",烤漆色號編碼!M8)</f>
        <v>-</v>
      </c>
      <c r="N10" s="151" t="str">
        <f>IF(烤漆色號編碼!L8="","-",烤漆色號編碼!L8)</f>
        <v>-</v>
      </c>
      <c r="O10" s="151">
        <v>35</v>
      </c>
      <c r="P10" s="151"/>
      <c r="Q10" s="151">
        <f t="shared" si="1"/>
        <v>35</v>
      </c>
    </row>
    <row r="11" spans="1:17" ht="13.5" customHeight="1" x14ac:dyDescent="0.15">
      <c r="A11" s="141"/>
      <c r="B11" s="149">
        <v>7</v>
      </c>
      <c r="C11" s="55" t="str">
        <f>IF(烤漆色號編碼!A9="","-",烤漆色號編碼!A9)</f>
        <v>770-739</v>
      </c>
      <c r="D11" s="55" t="str">
        <f>IF(烤漆色號編碼!C9="","-",烤漆色號編碼!C9)</f>
        <v>豔藍-孔雀藍</v>
      </c>
      <c r="E11" s="55" t="str">
        <f>IF(烤漆色號編碼!B9="","-",烤漆色號編碼!B9)</f>
        <v>BEG</v>
      </c>
      <c r="F11" s="119">
        <v>5</v>
      </c>
      <c r="G11" s="119">
        <v>5</v>
      </c>
      <c r="H11" s="55">
        <f t="shared" si="0"/>
        <v>130</v>
      </c>
      <c r="I11" s="141"/>
      <c r="J11" s="141"/>
      <c r="K11" s="148">
        <v>7</v>
      </c>
      <c r="L11" s="152" t="str">
        <f>IF(烤漆色號編碼!K9="","-",烤漆色號編碼!K9)</f>
        <v>-</v>
      </c>
      <c r="M11" s="152" t="str">
        <f>IF(烤漆色號編碼!M9="","-",烤漆色號編碼!M9)</f>
        <v>-</v>
      </c>
      <c r="N11" s="152" t="str">
        <f>IF(烤漆色號編碼!L9="","-",烤漆色號編碼!L9)</f>
        <v>-</v>
      </c>
      <c r="O11" s="152">
        <v>6</v>
      </c>
      <c r="P11" s="152">
        <v>1</v>
      </c>
      <c r="Q11" s="152">
        <f t="shared" si="1"/>
        <v>31</v>
      </c>
    </row>
    <row r="12" spans="1:17" ht="13.5" customHeight="1" x14ac:dyDescent="0.15">
      <c r="A12" s="141"/>
      <c r="B12" s="149">
        <v>8</v>
      </c>
      <c r="C12" s="55" t="str">
        <f>IF(烤漆色號編碼!A10="","-",烤漆色號編碼!A10)</f>
        <v>4950-502</v>
      </c>
      <c r="D12" s="55" t="str">
        <f>IF(烤漆色號編碼!C10="","-",烤漆色號編碼!C10)</f>
        <v>黑平光</v>
      </c>
      <c r="E12" s="55" t="str">
        <f>IF(烤漆色號編碼!B10="","-",烤漆色號編碼!B10)</f>
        <v>BK</v>
      </c>
      <c r="F12" s="119">
        <v>11</v>
      </c>
      <c r="G12" s="119">
        <v>4</v>
      </c>
      <c r="H12" s="55">
        <f t="shared" si="0"/>
        <v>111</v>
      </c>
      <c r="I12" s="141"/>
      <c r="J12" s="141"/>
      <c r="K12" s="148">
        <v>8</v>
      </c>
      <c r="L12" s="151" t="str">
        <f>IF(烤漆色號編碼!K10="","-",烤漆色號編碼!K10)</f>
        <v>-</v>
      </c>
      <c r="M12" s="151" t="str">
        <f>IF(烤漆色號編碼!M10="","-",烤漆色號編碼!M10)</f>
        <v>-</v>
      </c>
      <c r="N12" s="151" t="str">
        <f>IF(烤漆色號編碼!L10="","-",烤漆色號編碼!L10)</f>
        <v>-</v>
      </c>
      <c r="O12" s="151">
        <v>15</v>
      </c>
      <c r="P12" s="151"/>
      <c r="Q12" s="151">
        <f t="shared" si="1"/>
        <v>15</v>
      </c>
    </row>
    <row r="13" spans="1:17" ht="13.5" customHeight="1" x14ac:dyDescent="0.15">
      <c r="A13" s="141"/>
      <c r="B13" s="149">
        <v>9</v>
      </c>
      <c r="C13" s="55" t="str">
        <f>IF(烤漆色號編碼!A11="","-",烤漆色號編碼!A11)</f>
        <v>EN-402T</v>
      </c>
      <c r="D13" s="55" t="str">
        <f>IF(烤漆色號編碼!C11="","-",烤漆色號編碼!C11)</f>
        <v>黑錘紋</v>
      </c>
      <c r="E13" s="55" t="str">
        <f>IF(烤漆色號編碼!B11="","-",烤漆色號編碼!B11)</f>
        <v>BKH</v>
      </c>
      <c r="F13" s="119">
        <f>20+16</f>
        <v>36</v>
      </c>
      <c r="G13" s="119">
        <v>0</v>
      </c>
      <c r="H13" s="55">
        <f t="shared" si="0"/>
        <v>36</v>
      </c>
      <c r="I13" s="141"/>
      <c r="J13" s="141"/>
      <c r="K13" s="148">
        <v>9</v>
      </c>
      <c r="L13" s="152" t="str">
        <f>IF(烤漆色號編碼!K11="","-",烤漆色號編碼!K11)</f>
        <v>-</v>
      </c>
      <c r="M13" s="152" t="str">
        <f>IF(烤漆色號編碼!M11="","-",烤漆色號編碼!M11)</f>
        <v>-</v>
      </c>
      <c r="N13" s="152" t="str">
        <f>IF(烤漆色號編碼!L11="","-",烤漆色號編碼!L11)</f>
        <v>-</v>
      </c>
      <c r="O13" s="152">
        <v>24</v>
      </c>
      <c r="P13" s="152">
        <v>1</v>
      </c>
      <c r="Q13" s="152">
        <f t="shared" si="1"/>
        <v>49</v>
      </c>
    </row>
    <row r="14" spans="1:17" ht="13.5" customHeight="1" x14ac:dyDescent="0.15">
      <c r="A14" s="141"/>
      <c r="B14" s="149">
        <v>10</v>
      </c>
      <c r="C14" s="55" t="str">
        <f>IF(烤漆色號編碼!A12="","-",烤漆色號編碼!A12)</f>
        <v>K-91097G</v>
      </c>
      <c r="D14" s="55" t="str">
        <f>IF(烤漆色號編碼!C12="","-",烤漆色號編碼!C12)</f>
        <v>新黑砂</v>
      </c>
      <c r="E14" s="55" t="str">
        <f>IF(烤漆色號編碼!B12="","-",烤漆色號編碼!B12)</f>
        <v>BKS1</v>
      </c>
      <c r="F14" s="119">
        <v>8</v>
      </c>
      <c r="G14" s="119">
        <v>17</v>
      </c>
      <c r="H14" s="55">
        <f t="shared" si="0"/>
        <v>433</v>
      </c>
      <c r="I14" s="141"/>
      <c r="J14" s="141"/>
      <c r="K14" s="148">
        <v>10</v>
      </c>
      <c r="L14" s="151" t="str">
        <f>IF(烤漆色號編碼!K12="","-",烤漆色號編碼!K12)</f>
        <v>-</v>
      </c>
      <c r="M14" s="151" t="str">
        <f>IF(烤漆色號編碼!M12="","-",烤漆色號編碼!M12)</f>
        <v>-</v>
      </c>
      <c r="N14" s="151" t="str">
        <f>IF(烤漆色號編碼!L12="","-",烤漆色號編碼!L12)</f>
        <v>-</v>
      </c>
      <c r="O14" s="151">
        <v>27</v>
      </c>
      <c r="P14" s="151">
        <v>18</v>
      </c>
      <c r="Q14" s="151">
        <f t="shared" si="1"/>
        <v>477</v>
      </c>
    </row>
    <row r="15" spans="1:17" ht="13.5" customHeight="1" x14ac:dyDescent="0.15">
      <c r="A15" s="141"/>
      <c r="B15" s="149">
        <v>11</v>
      </c>
      <c r="C15" s="55" t="str">
        <f>IF(烤漆色號編碼!A13="","-",烤漆色號編碼!A13)</f>
        <v>780-45510H</v>
      </c>
      <c r="D15" s="55" t="str">
        <f>IF(烤漆色號編碼!C13="","-",烤漆色號編碼!C13)</f>
        <v>黑砂</v>
      </c>
      <c r="E15" s="55" t="str">
        <f>IF(烤漆色號編碼!B13="","-",烤漆色號編碼!B13)</f>
        <v>換粉</v>
      </c>
      <c r="F15" s="119">
        <v>0</v>
      </c>
      <c r="G15" s="119">
        <v>0</v>
      </c>
      <c r="H15" s="55">
        <f t="shared" si="0"/>
        <v>0</v>
      </c>
      <c r="I15" s="141"/>
      <c r="J15" s="141"/>
      <c r="K15" s="148">
        <v>11</v>
      </c>
      <c r="L15" s="152" t="str">
        <f>IF(烤漆色號編碼!K13="","-",烤漆色號編碼!K13)</f>
        <v>-</v>
      </c>
      <c r="M15" s="152" t="str">
        <f>IF(烤漆色號編碼!M13="","-",烤漆色號編碼!M13)</f>
        <v>-</v>
      </c>
      <c r="N15" s="152" t="str">
        <f>IF(烤漆色號編碼!L13="","-",烤漆色號編碼!L13)</f>
        <v>-</v>
      </c>
      <c r="O15" s="152"/>
      <c r="P15" s="152"/>
      <c r="Q15" s="152">
        <f t="shared" si="1"/>
        <v>0</v>
      </c>
    </row>
    <row r="16" spans="1:17" ht="13.5" customHeight="1" x14ac:dyDescent="0.15">
      <c r="A16" s="141"/>
      <c r="B16" s="149">
        <v>12</v>
      </c>
      <c r="C16" s="55" t="str">
        <f>IF(烤漆色號編碼!A14="","-",烤漆色號編碼!A14)</f>
        <v>4605-505</v>
      </c>
      <c r="D16" s="55" t="str">
        <f>IF(烤漆色號編碼!C14="","-",烤漆色號編碼!C14)</f>
        <v>消光黑</v>
      </c>
      <c r="E16" s="55" t="str">
        <f>IF(烤漆色號編碼!B14="","-",烤漆色號編碼!B14)</f>
        <v>EBK</v>
      </c>
      <c r="F16" s="119">
        <v>26</v>
      </c>
      <c r="G16" s="119">
        <v>3</v>
      </c>
      <c r="H16" s="55">
        <f t="shared" si="0"/>
        <v>101</v>
      </c>
      <c r="I16" s="141"/>
      <c r="J16" s="141"/>
      <c r="K16" s="148">
        <v>12</v>
      </c>
      <c r="L16" s="151" t="str">
        <f>IF(烤漆色號編碼!K14="","-",烤漆色號編碼!K14)</f>
        <v>-</v>
      </c>
      <c r="M16" s="151" t="str">
        <f>IF(烤漆色號編碼!M14="","-",烤漆色號編碼!M14)</f>
        <v>-</v>
      </c>
      <c r="N16" s="151" t="str">
        <f>IF(烤漆色號編碼!L14="","-",烤漆色號編碼!L14)</f>
        <v>-</v>
      </c>
      <c r="O16" s="151">
        <v>22</v>
      </c>
      <c r="P16" s="151"/>
      <c r="Q16" s="151">
        <f t="shared" si="1"/>
        <v>22</v>
      </c>
    </row>
    <row r="17" spans="1:17" ht="13.5" customHeight="1" x14ac:dyDescent="0.15">
      <c r="A17" s="141"/>
      <c r="B17" s="149">
        <v>13</v>
      </c>
      <c r="C17" s="55" t="str">
        <f>IF(烤漆色號編碼!A15="","-",烤漆色號編碼!A15)</f>
        <v>O-9850GSNB</v>
      </c>
      <c r="D17" s="55" t="str">
        <f>IF(烤漆色號編碼!C15="","-",烤漆色號編碼!C15)</f>
        <v>黑砂閃銀</v>
      </c>
      <c r="E17" s="55" t="str">
        <f>IF(烤漆色號編碼!B15="","-",烤漆色號編碼!B15)</f>
        <v>BKSA</v>
      </c>
      <c r="F17" s="119">
        <f>24+21+20</f>
        <v>65</v>
      </c>
      <c r="G17" s="119">
        <v>1</v>
      </c>
      <c r="H17" s="55">
        <f t="shared" si="0"/>
        <v>90</v>
      </c>
      <c r="I17" s="141"/>
      <c r="J17" s="141"/>
      <c r="K17" s="148">
        <v>13</v>
      </c>
      <c r="L17" s="152" t="str">
        <f>IF(烤漆色號編碼!K15="","-",烤漆色號編碼!K15)</f>
        <v>-</v>
      </c>
      <c r="M17" s="152" t="str">
        <f>IF(烤漆色號編碼!M15="","-",烤漆色號編碼!M15)</f>
        <v>-</v>
      </c>
      <c r="N17" s="152" t="str">
        <f>IF(烤漆色號編碼!L15="","-",烤漆色號編碼!L15)</f>
        <v>-</v>
      </c>
      <c r="O17" s="152">
        <v>23</v>
      </c>
      <c r="P17" s="152">
        <v>3</v>
      </c>
      <c r="Q17" s="152">
        <f t="shared" si="1"/>
        <v>98</v>
      </c>
    </row>
    <row r="18" spans="1:17" ht="13.5" customHeight="1" x14ac:dyDescent="0.15">
      <c r="A18" s="141"/>
      <c r="B18" s="149">
        <v>14</v>
      </c>
      <c r="C18" s="55" t="str">
        <f>IF(烤漆色號編碼!A16="","-",烤漆色號編碼!A16)</f>
        <v>K-9287S</v>
      </c>
      <c r="D18" s="55" t="str">
        <f>IF(烤漆色號編碼!C16="","-",烤漆色號編碼!C16)</f>
        <v>黑閃銀</v>
      </c>
      <c r="E18" s="55" t="str">
        <f>IF(烤漆色號編碼!B16="","-",烤漆色號編碼!B16)</f>
        <v>BKSA1</v>
      </c>
      <c r="F18" s="119">
        <v>8</v>
      </c>
      <c r="G18" s="119">
        <v>2</v>
      </c>
      <c r="H18" s="55">
        <f t="shared" si="0"/>
        <v>58</v>
      </c>
      <c r="I18" s="141"/>
      <c r="J18" s="141"/>
      <c r="K18" s="148">
        <v>14</v>
      </c>
      <c r="L18" s="151" t="str">
        <f>IF(烤漆色號編碼!K16="","-",烤漆色號編碼!K16)</f>
        <v>-</v>
      </c>
      <c r="M18" s="151" t="str">
        <f>IF(烤漆色號編碼!M16="","-",烤漆色號編碼!M16)</f>
        <v>-</v>
      </c>
      <c r="N18" s="151" t="str">
        <f>IF(烤漆色號編碼!L16="","-",烤漆色號編碼!L16)</f>
        <v>-</v>
      </c>
      <c r="O18" s="151">
        <v>7</v>
      </c>
      <c r="P18" s="151">
        <v>2</v>
      </c>
      <c r="Q18" s="151">
        <f t="shared" si="1"/>
        <v>57</v>
      </c>
    </row>
    <row r="19" spans="1:17" ht="13.5" customHeight="1" x14ac:dyDescent="0.15">
      <c r="A19" s="141"/>
      <c r="B19" s="149">
        <v>15</v>
      </c>
      <c r="C19" s="55" t="str">
        <f>IF(烤漆色號編碼!A17="","-",烤漆色號編碼!A17)</f>
        <v>EL-0365T</v>
      </c>
      <c r="D19" s="55" t="str">
        <f>IF(烤漆色號編碼!C17="","-",烤漆色號編碼!C17)</f>
        <v>鐵灰砂</v>
      </c>
      <c r="E19" s="55" t="str">
        <f>IF(烤漆色號編碼!B17="","-",烤漆色號編碼!B17)</f>
        <v>IGS</v>
      </c>
      <c r="F19" s="119">
        <v>14</v>
      </c>
      <c r="G19" s="119">
        <v>2</v>
      </c>
      <c r="H19" s="55">
        <f t="shared" si="0"/>
        <v>64</v>
      </c>
      <c r="I19" s="141"/>
      <c r="J19" s="141"/>
      <c r="K19" s="148">
        <v>15</v>
      </c>
      <c r="L19" s="152" t="str">
        <f>IF(烤漆色號編碼!K17="","-",烤漆色號編碼!K17)</f>
        <v>-</v>
      </c>
      <c r="M19" s="152" t="str">
        <f>IF(烤漆色號編碼!M17="","-",烤漆色號編碼!M17)</f>
        <v>-</v>
      </c>
      <c r="N19" s="152" t="str">
        <f>IF(烤漆色號編碼!L17="","-",烤漆色號編碼!L17)</f>
        <v>-</v>
      </c>
      <c r="O19" s="152">
        <v>42</v>
      </c>
      <c r="P19" s="152">
        <v>9</v>
      </c>
      <c r="Q19" s="152">
        <f t="shared" si="1"/>
        <v>267</v>
      </c>
    </row>
    <row r="20" spans="1:17" ht="13.5" customHeight="1" x14ac:dyDescent="0.15">
      <c r="A20" s="141"/>
      <c r="B20" s="149">
        <v>16</v>
      </c>
      <c r="C20" s="55" t="str">
        <f>IF(烤漆色號編碼!A18="","-",烤漆色號編碼!A18)</f>
        <v>O-22170G</v>
      </c>
      <c r="D20" s="55" t="str">
        <f>IF(烤漆色號編碼!C18="","-",烤漆色號編碼!C18)</f>
        <v>深灰砂</v>
      </c>
      <c r="E20" s="55" t="str">
        <f>IF(烤漆色號編碼!B18="","-",烤漆色號編碼!B18)</f>
        <v>DGS</v>
      </c>
      <c r="F20" s="119">
        <v>17</v>
      </c>
      <c r="G20" s="119">
        <v>8</v>
      </c>
      <c r="H20" s="55">
        <f t="shared" si="0"/>
        <v>217</v>
      </c>
      <c r="I20" s="141"/>
      <c r="J20" s="141"/>
      <c r="K20" s="148">
        <v>16</v>
      </c>
      <c r="L20" s="151" t="str">
        <f>IF(烤漆色號編碼!K18="","-",烤漆色號編碼!K18)</f>
        <v>-</v>
      </c>
      <c r="M20" s="151" t="str">
        <f>IF(烤漆色號編碼!M18="","-",烤漆色號編碼!M18)</f>
        <v>-</v>
      </c>
      <c r="N20" s="151" t="str">
        <f>IF(烤漆色號編碼!L18="","-",烤漆色號編碼!L18)</f>
        <v>-</v>
      </c>
      <c r="O20" s="151">
        <v>36</v>
      </c>
      <c r="P20" s="151">
        <v>4</v>
      </c>
      <c r="Q20" s="151">
        <f t="shared" si="1"/>
        <v>136</v>
      </c>
    </row>
    <row r="21" spans="1:17" ht="13.5" customHeight="1" x14ac:dyDescent="0.15">
      <c r="A21" s="141"/>
      <c r="B21" s="149">
        <v>17</v>
      </c>
      <c r="C21" s="55" t="str">
        <f>IF(烤漆色號編碼!A19="","-",烤漆色號編碼!A19)</f>
        <v>O-200SB</v>
      </c>
      <c r="D21" s="55" t="str">
        <f>IF(烤漆色號編碼!C19="","-",烤漆色號編碼!C19)</f>
        <v>閃銀</v>
      </c>
      <c r="E21" s="55" t="str">
        <f>IF(烤漆色號編碼!B19="","-",烤漆色號編碼!B19)</f>
        <v>無粉</v>
      </c>
      <c r="F21" s="119">
        <v>0</v>
      </c>
      <c r="G21" s="119">
        <v>0</v>
      </c>
      <c r="H21" s="55">
        <f t="shared" si="0"/>
        <v>0</v>
      </c>
      <c r="I21" s="141"/>
      <c r="J21" s="141"/>
      <c r="K21" s="148">
        <v>17</v>
      </c>
      <c r="L21" s="152" t="str">
        <f>IF(烤漆色號編碼!K19="","-",烤漆色號編碼!K19)</f>
        <v>-</v>
      </c>
      <c r="M21" s="152" t="str">
        <f>IF(烤漆色號編碼!M19="","-",烤漆色號編碼!M19)</f>
        <v>-</v>
      </c>
      <c r="N21" s="152" t="str">
        <f>IF(烤漆色號編碼!L19="","-",烤漆色號編碼!L19)</f>
        <v>-</v>
      </c>
      <c r="O21" s="152"/>
      <c r="P21" s="152"/>
      <c r="Q21" s="152">
        <f t="shared" si="1"/>
        <v>0</v>
      </c>
    </row>
    <row r="22" spans="1:17" ht="13.5" customHeight="1" x14ac:dyDescent="0.15">
      <c r="A22" s="141"/>
      <c r="B22" s="149">
        <v>18</v>
      </c>
      <c r="C22" s="55" t="str">
        <f>IF(烤漆色號編碼!A20="","-",烤漆色號編碼!A20)</f>
        <v>K-5257CSB</v>
      </c>
      <c r="D22" s="55" t="str">
        <f>IF(烤漆色號編碼!C20="","-",烤漆色號編碼!C20)</f>
        <v>新閃銀</v>
      </c>
      <c r="E22" s="55" t="str">
        <f>IF(烤漆色號編碼!B20="","-",烤漆色號編碼!B20)</f>
        <v>換粉</v>
      </c>
      <c r="F22" s="119">
        <f>23+11+10</f>
        <v>44</v>
      </c>
      <c r="G22" s="119">
        <v>2</v>
      </c>
      <c r="H22" s="55">
        <f t="shared" si="0"/>
        <v>94</v>
      </c>
      <c r="I22" s="141"/>
      <c r="J22" s="141"/>
      <c r="K22" s="148">
        <v>18</v>
      </c>
      <c r="L22" s="151" t="str">
        <f>IF(烤漆色號編碼!K20="","-",烤漆色號編碼!K20)</f>
        <v>-</v>
      </c>
      <c r="M22" s="151" t="str">
        <f>IF(烤漆色號編碼!M20="","-",烤漆色號編碼!M20)</f>
        <v>-</v>
      </c>
      <c r="N22" s="151" t="str">
        <f>IF(烤漆色號編碼!L20="","-",烤漆色號編碼!L20)</f>
        <v>-</v>
      </c>
      <c r="O22" s="151">
        <v>29</v>
      </c>
      <c r="P22" s="151">
        <v>3</v>
      </c>
      <c r="Q22" s="151">
        <f t="shared" si="1"/>
        <v>104</v>
      </c>
    </row>
    <row r="23" spans="1:17" ht="13.5" customHeight="1" x14ac:dyDescent="0.15">
      <c r="A23" s="141"/>
      <c r="B23" s="149">
        <v>19</v>
      </c>
      <c r="C23" s="55" t="str">
        <f>IF(烤漆色號編碼!A21="","-",烤漆色號編碼!A21)</f>
        <v>K-4654</v>
      </c>
      <c r="D23" s="55" t="str">
        <f>IF(烤漆色號編碼!C21="","-",烤漆色號編碼!C21)</f>
        <v>紫色</v>
      </c>
      <c r="E23" s="55" t="str">
        <f>IF(烤漆色號編碼!B21="","-",烤漆色號編碼!B21)</f>
        <v>PEL</v>
      </c>
      <c r="F23" s="119">
        <f>16+12+6</f>
        <v>34</v>
      </c>
      <c r="G23" s="119">
        <v>2</v>
      </c>
      <c r="H23" s="55">
        <f t="shared" si="0"/>
        <v>84</v>
      </c>
      <c r="I23" s="141"/>
      <c r="J23" s="141"/>
      <c r="K23" s="148">
        <v>19</v>
      </c>
      <c r="L23" s="152" t="str">
        <f>IF(烤漆色號編碼!K21="","-",烤漆色號編碼!K21)</f>
        <v>-</v>
      </c>
      <c r="M23" s="152" t="str">
        <f>IF(烤漆色號編碼!M21="","-",烤漆色號編碼!M21)</f>
        <v>-</v>
      </c>
      <c r="N23" s="152" t="str">
        <f>IF(烤漆色號編碼!L21="","-",烤漆色號編碼!L21)</f>
        <v>-</v>
      </c>
      <c r="O23" s="152">
        <v>37</v>
      </c>
      <c r="P23" s="152">
        <v>2</v>
      </c>
      <c r="Q23" s="152">
        <f t="shared" si="1"/>
        <v>87</v>
      </c>
    </row>
    <row r="24" spans="1:17" ht="13.5" customHeight="1" x14ac:dyDescent="0.15">
      <c r="A24" s="141"/>
      <c r="B24" s="149">
        <v>20</v>
      </c>
      <c r="C24" s="55" t="str">
        <f>IF(烤漆色號編碼!A22="","-",烤漆色號編碼!A22)</f>
        <v>780-9B65</v>
      </c>
      <c r="D24" s="55" t="str">
        <f>IF(烤漆色號編碼!C22="","-",烤漆色號編碼!C22)</f>
        <v>銀灰</v>
      </c>
      <c r="E24" s="55" t="str">
        <f>IF(烤漆色號編碼!B22="","-",烤漆色號編碼!B22)</f>
        <v>ATG</v>
      </c>
      <c r="F24" s="119">
        <v>21</v>
      </c>
      <c r="G24" s="119">
        <v>3</v>
      </c>
      <c r="H24" s="55">
        <f t="shared" si="0"/>
        <v>96</v>
      </c>
      <c r="I24" s="141"/>
      <c r="J24" s="141"/>
      <c r="K24" s="148">
        <v>20</v>
      </c>
      <c r="L24" s="151" t="str">
        <f>IF(烤漆色號編碼!K22="","-",烤漆色號編碼!K22)</f>
        <v>-</v>
      </c>
      <c r="M24" s="151" t="str">
        <f>IF(烤漆色號編碼!M22="","-",烤漆色號編碼!M22)</f>
        <v>-</v>
      </c>
      <c r="N24" s="151" t="str">
        <f>IF(烤漆色號編碼!L22="","-",烤漆色號編碼!L22)</f>
        <v>-</v>
      </c>
      <c r="O24" s="151"/>
      <c r="P24" s="151"/>
      <c r="Q24" s="151">
        <f t="shared" si="1"/>
        <v>0</v>
      </c>
    </row>
    <row r="25" spans="1:17" ht="13.5" customHeight="1" x14ac:dyDescent="0.15">
      <c r="A25" s="141"/>
      <c r="B25" s="149">
        <v>20</v>
      </c>
      <c r="C25" s="55" t="str">
        <f>IF(烤漆色號編碼!A23="","-",烤漆色號編碼!A23)</f>
        <v>780-9Q70</v>
      </c>
      <c r="D25" s="55" t="str">
        <f>IF(烤漆色號編碼!C23="","-",烤漆色號編碼!C23)</f>
        <v>銀灰</v>
      </c>
      <c r="E25" s="55" t="str">
        <f>IF(烤漆色號編碼!B23="","-",烤漆色號編碼!B23)</f>
        <v>ATG</v>
      </c>
      <c r="F25" s="119">
        <v>0</v>
      </c>
      <c r="G25" s="119">
        <v>0</v>
      </c>
      <c r="H25" s="55">
        <f t="shared" si="0"/>
        <v>0</v>
      </c>
      <c r="I25" s="141"/>
      <c r="J25" s="141"/>
      <c r="K25" s="148">
        <v>20</v>
      </c>
      <c r="L25" s="152" t="str">
        <f>IF(烤漆色號編碼!K23="","-",烤漆色號編碼!K23)</f>
        <v>-</v>
      </c>
      <c r="M25" s="152" t="str">
        <f>IF(烤漆色號編碼!M23="","-",烤漆色號編碼!M23)</f>
        <v>-</v>
      </c>
      <c r="N25" s="152" t="str">
        <f>IF(烤漆色號編碼!L23="","-",烤漆色號編碼!L23)</f>
        <v>-</v>
      </c>
      <c r="O25" s="152"/>
      <c r="P25" s="152"/>
      <c r="Q25" s="152">
        <f t="shared" si="1"/>
        <v>0</v>
      </c>
    </row>
    <row r="26" spans="1:17" ht="13.5" customHeight="1" x14ac:dyDescent="0.15">
      <c r="A26" s="141"/>
      <c r="B26" s="149">
        <v>21</v>
      </c>
      <c r="C26" s="55" t="str">
        <f>IF(烤漆色號編碼!A24="","-",烤漆色號編碼!A24)</f>
        <v>780-6902</v>
      </c>
      <c r="D26" s="55" t="str">
        <f>IF(烤漆色號編碼!C24="","-",烤漆色號編碼!C24)</f>
        <v>綠色</v>
      </c>
      <c r="E26" s="55" t="str">
        <f>IF(烤漆色號編碼!B24="","-",烤漆色號編碼!B24)</f>
        <v>GN</v>
      </c>
      <c r="F26" s="119">
        <v>12</v>
      </c>
      <c r="G26" s="119">
        <v>2</v>
      </c>
      <c r="H26" s="55">
        <f t="shared" si="0"/>
        <v>62</v>
      </c>
      <c r="I26" s="141"/>
      <c r="J26" s="141"/>
      <c r="K26" s="148">
        <v>21</v>
      </c>
      <c r="L26" s="151" t="str">
        <f>IF(烤漆色號編碼!K24="","-",烤漆色號編碼!K24)</f>
        <v>-</v>
      </c>
      <c r="M26" s="151" t="str">
        <f>IF(烤漆色號編碼!M24="","-",烤漆色號編碼!M24)</f>
        <v>-</v>
      </c>
      <c r="N26" s="151" t="str">
        <f>IF(烤漆色號編碼!L24="","-",烤漆色號編碼!L24)</f>
        <v>-</v>
      </c>
      <c r="O26" s="151">
        <v>16</v>
      </c>
      <c r="P26" s="151">
        <v>3</v>
      </c>
      <c r="Q26" s="151">
        <f t="shared" si="1"/>
        <v>91</v>
      </c>
    </row>
    <row r="27" spans="1:17" ht="13.5" customHeight="1" x14ac:dyDescent="0.15">
      <c r="A27" s="141"/>
      <c r="B27" s="149">
        <v>22</v>
      </c>
      <c r="C27" s="55" t="str">
        <f>IF(烤漆色號編碼!A25="","-",烤漆色號編碼!A25)</f>
        <v>A-10067</v>
      </c>
      <c r="D27" s="55" t="str">
        <f>IF(烤漆色號編碼!C25="","-",烤漆色號編碼!C25)</f>
        <v>橘色</v>
      </c>
      <c r="E27" s="55" t="str">
        <f>IF(烤漆色號編碼!B25="","-",烤漆色號編碼!B25)</f>
        <v>OE</v>
      </c>
      <c r="F27" s="119">
        <f>26+24+21</f>
        <v>71</v>
      </c>
      <c r="G27" s="119">
        <v>1</v>
      </c>
      <c r="H27" s="55">
        <f t="shared" si="0"/>
        <v>96</v>
      </c>
      <c r="I27" s="141"/>
      <c r="J27" s="141"/>
      <c r="K27" s="148">
        <v>22</v>
      </c>
      <c r="L27" s="152" t="str">
        <f>IF(烤漆色號編碼!K25="","-",烤漆色號編碼!K25)</f>
        <v>-</v>
      </c>
      <c r="M27" s="152" t="str">
        <f>IF(烤漆色號編碼!M25="","-",烤漆色號編碼!M25)</f>
        <v>-</v>
      </c>
      <c r="N27" s="152" t="str">
        <f>IF(烤漆色號編碼!L25="","-",烤漆色號編碼!L25)</f>
        <v>-</v>
      </c>
      <c r="O27" s="152">
        <v>46</v>
      </c>
      <c r="P27" s="152">
        <v>2</v>
      </c>
      <c r="Q27" s="152">
        <f t="shared" si="1"/>
        <v>96</v>
      </c>
    </row>
    <row r="28" spans="1:17" ht="13.5" customHeight="1" x14ac:dyDescent="0.15">
      <c r="A28" s="141"/>
      <c r="B28" s="149">
        <v>23</v>
      </c>
      <c r="C28" s="55" t="str">
        <f>IF(烤漆色號編碼!A26="","-",烤漆色號編碼!A26)</f>
        <v>4605-702A</v>
      </c>
      <c r="D28" s="55" t="str">
        <f>IF(烤漆色號編碼!C26="","-",烤漆色號編碼!C26)</f>
        <v>鐵灰</v>
      </c>
      <c r="E28" s="55" t="str">
        <f>IF(烤漆色號編碼!B26="","-",烤漆色號編碼!B26)</f>
        <v>IG</v>
      </c>
      <c r="F28" s="119">
        <v>12</v>
      </c>
      <c r="G28" s="119">
        <v>0</v>
      </c>
      <c r="H28" s="55">
        <f t="shared" si="0"/>
        <v>12</v>
      </c>
      <c r="I28" s="141"/>
      <c r="J28" s="141"/>
      <c r="K28" s="148">
        <v>23</v>
      </c>
      <c r="L28" s="151" t="str">
        <f>IF(烤漆色號編碼!K26="","-",烤漆色號編碼!K26)</f>
        <v>-</v>
      </c>
      <c r="M28" s="151" t="str">
        <f>IF(烤漆色號編碼!M26="","-",烤漆色號編碼!M26)</f>
        <v>-</v>
      </c>
      <c r="N28" s="151" t="str">
        <f>IF(烤漆色號編碼!L26="","-",烤漆色號編碼!L26)</f>
        <v>-</v>
      </c>
      <c r="O28" s="151">
        <v>22</v>
      </c>
      <c r="P28" s="151"/>
      <c r="Q28" s="151">
        <f t="shared" si="1"/>
        <v>22</v>
      </c>
    </row>
    <row r="29" spans="1:17" ht="13.5" customHeight="1" x14ac:dyDescent="0.15">
      <c r="A29" s="141"/>
      <c r="B29" s="149">
        <v>24</v>
      </c>
      <c r="C29" s="55" t="str">
        <f>IF(烤漆色號編碼!A27="","-",烤漆色號編碼!A27)</f>
        <v>4900-246</v>
      </c>
      <c r="D29" s="55" t="str">
        <f>IF(烤漆色號編碼!C27="","-",烤漆色號編碼!C27)</f>
        <v>鵝黃色</v>
      </c>
      <c r="E29" s="55" t="str">
        <f>IF(烤漆色號編碼!B27="","-",烤漆色號編碼!B27)</f>
        <v>GYW</v>
      </c>
      <c r="F29" s="119">
        <v>22</v>
      </c>
      <c r="G29" s="119">
        <v>0</v>
      </c>
      <c r="H29" s="55">
        <f t="shared" si="0"/>
        <v>22</v>
      </c>
      <c r="I29" s="141"/>
      <c r="J29" s="141"/>
      <c r="K29" s="148">
        <v>24</v>
      </c>
      <c r="L29" s="152" t="str">
        <f>IF(烤漆色號編碼!K27="","-",烤漆色號編碼!K27)</f>
        <v>-</v>
      </c>
      <c r="M29" s="152" t="str">
        <f>IF(烤漆色號編碼!M27="","-",烤漆色號編碼!M27)</f>
        <v>-</v>
      </c>
      <c r="N29" s="152" t="str">
        <f>IF(烤漆色號編碼!L27="","-",烤漆色號編碼!L27)</f>
        <v>-</v>
      </c>
      <c r="O29" s="152">
        <v>22</v>
      </c>
      <c r="P29" s="152"/>
      <c r="Q29" s="152">
        <f t="shared" si="1"/>
        <v>22</v>
      </c>
    </row>
    <row r="30" spans="1:17" ht="13.5" customHeight="1" x14ac:dyDescent="0.15">
      <c r="A30" s="141"/>
      <c r="B30" s="149">
        <v>25</v>
      </c>
      <c r="C30" s="55" t="str">
        <f>IF(烤漆色號編碼!A28="","-",烤漆色號編碼!A28)</f>
        <v>4900-149</v>
      </c>
      <c r="D30" s="55" t="str">
        <f>IF(烤漆色號編碼!C28="","-",烤漆色號編碼!C28)</f>
        <v>粉紅色</v>
      </c>
      <c r="E30" s="55" t="str">
        <f>IF(烤漆色號編碼!B28="","-",烤漆色號編碼!B28)</f>
        <v>PK</v>
      </c>
      <c r="F30" s="119">
        <v>4</v>
      </c>
      <c r="G30" s="119">
        <v>2</v>
      </c>
      <c r="H30" s="55">
        <f t="shared" si="0"/>
        <v>54</v>
      </c>
      <c r="I30" s="141"/>
      <c r="J30" s="141"/>
      <c r="K30" s="148">
        <v>25</v>
      </c>
      <c r="L30" s="151" t="str">
        <f>IF(烤漆色號編碼!K28="","-",烤漆色號編碼!K28)</f>
        <v>-</v>
      </c>
      <c r="M30" s="151" t="str">
        <f>IF(烤漆色號編碼!M28="","-",烤漆色號編碼!M28)</f>
        <v>-</v>
      </c>
      <c r="N30" s="151" t="str">
        <f>IF(烤漆色號編碼!L28="","-",烤漆色號編碼!L28)</f>
        <v>-</v>
      </c>
      <c r="O30" s="151">
        <v>34</v>
      </c>
      <c r="P30" s="151"/>
      <c r="Q30" s="151">
        <f t="shared" si="1"/>
        <v>34</v>
      </c>
    </row>
    <row r="31" spans="1:17" ht="13.5" customHeight="1" x14ac:dyDescent="0.15">
      <c r="A31" s="141"/>
      <c r="B31" s="149">
        <v>26</v>
      </c>
      <c r="C31" s="55" t="str">
        <f>IF(烤漆色號編碼!A29="","-",烤漆色號編碼!A29)</f>
        <v>K-5510SCB</v>
      </c>
      <c r="D31" s="55" t="str">
        <f>IF(烤漆色號編碼!C29="","-",烤漆色號編碼!C29)</f>
        <v>黃金閃銀</v>
      </c>
      <c r="E31" s="55" t="str">
        <f>IF(烤漆色號編碼!B29="","-",烤漆色號編碼!B29)</f>
        <v>GSAT</v>
      </c>
      <c r="F31" s="119">
        <v>9</v>
      </c>
      <c r="G31" s="119">
        <v>0</v>
      </c>
      <c r="H31" s="55">
        <f t="shared" si="0"/>
        <v>9</v>
      </c>
      <c r="I31" s="141"/>
      <c r="J31" s="141"/>
      <c r="K31" s="148">
        <v>26</v>
      </c>
      <c r="L31" s="152" t="str">
        <f>IF(烤漆色號編碼!K29="","-",烤漆色號編碼!K29)</f>
        <v>-</v>
      </c>
      <c r="M31" s="152" t="str">
        <f>IF(烤漆色號編碼!M29="","-",烤漆色號編碼!M29)</f>
        <v>-</v>
      </c>
      <c r="N31" s="152" t="str">
        <f>IF(烤漆色號編碼!L29="","-",烤漆色號編碼!L29)</f>
        <v>-</v>
      </c>
      <c r="O31" s="152">
        <v>9</v>
      </c>
      <c r="P31" s="152"/>
      <c r="Q31" s="152">
        <f t="shared" si="1"/>
        <v>9</v>
      </c>
    </row>
    <row r="32" spans="1:17" ht="13.5" customHeight="1" x14ac:dyDescent="0.15">
      <c r="A32" s="141"/>
      <c r="B32" s="149">
        <v>27</v>
      </c>
      <c r="C32" s="55" t="str">
        <f>IF(烤漆色號編碼!A30="","-",烤漆色號編碼!A30)</f>
        <v>O-5337H</v>
      </c>
      <c r="D32" s="55" t="str">
        <f>IF(烤漆色號編碼!C30="","-",烤漆色號編碼!C30)</f>
        <v>黃錘紋</v>
      </c>
      <c r="E32" s="55" t="str">
        <f>IF(烤漆色號編碼!B30="","-",烤漆色號編碼!B30)</f>
        <v>YWH</v>
      </c>
      <c r="F32" s="119">
        <v>0</v>
      </c>
      <c r="G32" s="119">
        <v>0</v>
      </c>
      <c r="H32" s="55">
        <f t="shared" si="0"/>
        <v>0</v>
      </c>
      <c r="I32" s="141"/>
      <c r="J32" s="141"/>
      <c r="K32" s="148">
        <v>27</v>
      </c>
      <c r="L32" s="151" t="str">
        <f>IF(烤漆色號編碼!K30="","-",烤漆色號編碼!K30)</f>
        <v>-</v>
      </c>
      <c r="M32" s="151" t="str">
        <f>IF(烤漆色號編碼!M30="","-",烤漆色號編碼!M30)</f>
        <v>-</v>
      </c>
      <c r="N32" s="151" t="str">
        <f>IF(烤漆色號編碼!L30="","-",烤漆色號編碼!L30)</f>
        <v>-</v>
      </c>
      <c r="O32" s="151">
        <v>18</v>
      </c>
      <c r="P32" s="151"/>
      <c r="Q32" s="151">
        <f t="shared" si="1"/>
        <v>18</v>
      </c>
    </row>
    <row r="33" spans="1:17" ht="13.5" customHeight="1" x14ac:dyDescent="0.15">
      <c r="A33" s="141"/>
      <c r="B33" s="149">
        <v>28</v>
      </c>
      <c r="C33" s="55" t="str">
        <f>IF(烤漆色號編碼!A31="","-",烤漆色號編碼!A31)</f>
        <v>E-BY112</v>
      </c>
      <c r="D33" s="55" t="str">
        <f>IF(烤漆色號編碼!C31="","-",烤漆色號編碼!C31)</f>
        <v>灰色</v>
      </c>
      <c r="E33" s="55" t="str">
        <f>IF(烤漆色號編碼!B31="","-",烤漆色號編碼!B31)</f>
        <v>ATG</v>
      </c>
      <c r="F33" s="119">
        <v>0</v>
      </c>
      <c r="G33" s="119">
        <v>0</v>
      </c>
      <c r="H33" s="55">
        <f t="shared" si="0"/>
        <v>0</v>
      </c>
      <c r="I33" s="141"/>
      <c r="J33" s="141"/>
      <c r="K33" s="148">
        <v>28</v>
      </c>
      <c r="L33" s="152" t="str">
        <f>IF(烤漆色號編碼!K31="","-",烤漆色號編碼!K31)</f>
        <v>-</v>
      </c>
      <c r="M33" s="152" t="str">
        <f>IF(烤漆色號編碼!M31="","-",烤漆色號編碼!M31)</f>
        <v>-</v>
      </c>
      <c r="N33" s="152" t="str">
        <f>IF(烤漆色號編碼!L31="","-",烤漆色號編碼!L31)</f>
        <v>-</v>
      </c>
      <c r="O33" s="152">
        <v>31</v>
      </c>
      <c r="P33" s="152"/>
      <c r="Q33" s="152">
        <f t="shared" si="1"/>
        <v>31</v>
      </c>
    </row>
    <row r="34" spans="1:17" ht="13.5" customHeight="1" x14ac:dyDescent="0.15">
      <c r="A34" s="141"/>
      <c r="B34" s="149">
        <v>29</v>
      </c>
      <c r="C34" s="55" t="str">
        <f>IF(烤漆色號編碼!A32="","-",烤漆色號編碼!A32)</f>
        <v>BP-133S</v>
      </c>
      <c r="D34" s="55" t="str">
        <f>IF(烤漆色號編碼!C32="","-",烤漆色號編碼!C32)</f>
        <v>閃銀</v>
      </c>
      <c r="E34" s="55" t="str">
        <f>IF(烤漆色號編碼!B32="","-",烤漆色號編碼!B32)</f>
        <v>SAT2</v>
      </c>
      <c r="F34" s="119">
        <v>9</v>
      </c>
      <c r="G34" s="119">
        <v>4</v>
      </c>
      <c r="H34" s="55">
        <f t="shared" si="0"/>
        <v>109</v>
      </c>
      <c r="I34" s="141"/>
      <c r="J34" s="141"/>
      <c r="K34" s="148">
        <v>29</v>
      </c>
      <c r="L34" s="151" t="str">
        <f>IF(烤漆色號編碼!K41="","-",烤漆色號編碼!K41)</f>
        <v>-</v>
      </c>
      <c r="M34" s="151" t="str">
        <f>IF(烤漆色號編碼!M41="","-",烤漆色號編碼!M41)</f>
        <v>-</v>
      </c>
      <c r="N34" s="151" t="str">
        <f>IF(烤漆色號編碼!L41="","-",烤漆色號編碼!L41)</f>
        <v>-</v>
      </c>
      <c r="O34" s="151"/>
      <c r="P34" s="151"/>
      <c r="Q34" s="151"/>
    </row>
    <row r="35" spans="1:17" ht="13.5" customHeight="1" x14ac:dyDescent="0.15">
      <c r="A35" s="141"/>
      <c r="B35" s="149">
        <v>30</v>
      </c>
      <c r="C35" s="55" t="str">
        <f>IF(烤漆色號編碼!A33="","-",烤漆色號編碼!A33)</f>
        <v>PC-20537Y</v>
      </c>
      <c r="D35" s="55" t="str">
        <f>IF(烤漆色號編碼!C33="","-",烤漆色號編碼!C33)</f>
        <v>灰平光</v>
      </c>
      <c r="E35" s="55" t="str">
        <f>IF(烤漆色號編碼!B33="","-",烤漆色號編碼!B33)</f>
        <v>ATG</v>
      </c>
      <c r="F35" s="119">
        <v>6</v>
      </c>
      <c r="G35" s="119">
        <v>0</v>
      </c>
      <c r="H35" s="55">
        <f t="shared" si="0"/>
        <v>6</v>
      </c>
      <c r="I35" s="141"/>
      <c r="J35" s="141"/>
      <c r="K35" s="148">
        <v>30</v>
      </c>
      <c r="L35" s="151" t="str">
        <f>IF(烤漆色號編碼!K42="","-",烤漆色號編碼!K42)</f>
        <v>-</v>
      </c>
      <c r="M35" s="151" t="str">
        <f>IF(烤漆色號編碼!M42="","-",烤漆色號編碼!M42)</f>
        <v>-</v>
      </c>
      <c r="N35" s="151" t="str">
        <f>IF(烤漆色號編碼!L42="","-",烤漆色號編碼!L42)</f>
        <v>-</v>
      </c>
      <c r="O35" s="151"/>
      <c r="P35" s="151"/>
      <c r="Q35" s="151"/>
    </row>
    <row r="36" spans="1:17" ht="13.5" customHeight="1" x14ac:dyDescent="0.15">
      <c r="A36" s="141"/>
      <c r="B36" s="149">
        <v>31</v>
      </c>
      <c r="C36" s="55" t="str">
        <f>IF(烤漆色號編碼!A34="","-",烤漆色號編碼!A34)</f>
        <v>008/2H056</v>
      </c>
      <c r="D36" s="55" t="str">
        <f>IF(烤漆色號編碼!C34="","-",烤漆色號編碼!C34)</f>
        <v>黃亮光</v>
      </c>
      <c r="E36" s="55" t="str">
        <f>IF(烤漆色號編碼!B34="","-",烤漆色號編碼!B34)</f>
        <v>YW1</v>
      </c>
      <c r="F36" s="119">
        <f>5</f>
        <v>5</v>
      </c>
      <c r="G36" s="119">
        <v>13</v>
      </c>
      <c r="H36" s="55">
        <f t="shared" si="0"/>
        <v>330</v>
      </c>
      <c r="I36" s="141"/>
      <c r="J36" s="141"/>
      <c r="K36" s="148">
        <v>31</v>
      </c>
      <c r="L36" s="151" t="str">
        <f>IF(烤漆色號編碼!K43="","-",烤漆色號編碼!K43)</f>
        <v>-</v>
      </c>
      <c r="M36" s="151" t="str">
        <f>IF(烤漆色號編碼!M43="","-",烤漆色號編碼!M43)</f>
        <v>-</v>
      </c>
      <c r="N36" s="151" t="str">
        <f>IF(烤漆色號編碼!L43="","-",烤漆色號編碼!L43)</f>
        <v>-</v>
      </c>
      <c r="O36" s="151"/>
      <c r="P36" s="151"/>
      <c r="Q36" s="151"/>
    </row>
    <row r="37" spans="1:17" ht="13.5" customHeight="1" x14ac:dyDescent="0.15">
      <c r="A37" s="141"/>
      <c r="B37" s="149">
        <v>32</v>
      </c>
      <c r="C37" s="55" t="str">
        <f>IF(烤漆色號編碼!A35="","-",烤漆色號編碼!A35)</f>
        <v>008/1H174</v>
      </c>
      <c r="D37" s="55" t="str">
        <f>IF(烤漆色號編碼!C35="","-",烤漆色號編碼!C35)</f>
        <v>白亮光</v>
      </c>
      <c r="E37" s="55" t="str">
        <f>IF(烤漆色號編碼!B35="","-",烤漆色號編碼!B35)</f>
        <v>WE2</v>
      </c>
      <c r="F37" s="119">
        <f>6+8</f>
        <v>14</v>
      </c>
      <c r="G37" s="119">
        <v>27</v>
      </c>
      <c r="H37" s="55">
        <f t="shared" si="0"/>
        <v>689</v>
      </c>
      <c r="I37" s="141"/>
      <c r="J37" s="141"/>
      <c r="K37" s="148">
        <v>32</v>
      </c>
      <c r="L37" s="152" t="s">
        <v>367</v>
      </c>
      <c r="M37" s="152" t="s">
        <v>368</v>
      </c>
      <c r="N37" s="152" t="s">
        <v>367</v>
      </c>
      <c r="O37" s="152" t="s">
        <v>367</v>
      </c>
      <c r="P37" s="152">
        <f t="shared" ref="P37:P83" si="2">Q37/25</f>
        <v>0</v>
      </c>
      <c r="Q37" s="152"/>
    </row>
    <row r="38" spans="1:17" ht="13.5" customHeight="1" x14ac:dyDescent="0.15">
      <c r="A38" s="141"/>
      <c r="B38" s="149">
        <v>33</v>
      </c>
      <c r="C38" s="55" t="str">
        <f>IF(烤漆色號編碼!A36="","-",烤漆色號編碼!A36)</f>
        <v>O-58057</v>
      </c>
      <c r="D38" s="55" t="str">
        <f>IF(烤漆色號編碼!C36="","-",烤漆色號編碼!C36)</f>
        <v>橘色</v>
      </c>
      <c r="E38" s="55" t="str">
        <f>IF(烤漆色號編碼!B36="","-",烤漆色號編碼!B36)</f>
        <v>OE1</v>
      </c>
      <c r="F38" s="119">
        <f>8+3+1</f>
        <v>12</v>
      </c>
      <c r="G38" s="119">
        <v>0</v>
      </c>
      <c r="H38" s="55">
        <f t="shared" si="0"/>
        <v>12</v>
      </c>
      <c r="I38" s="141"/>
      <c r="J38" s="141"/>
      <c r="K38" s="148">
        <v>33</v>
      </c>
      <c r="L38" s="151" t="s">
        <v>367</v>
      </c>
      <c r="M38" s="151" t="s">
        <v>368</v>
      </c>
      <c r="N38" s="151" t="s">
        <v>367</v>
      </c>
      <c r="O38" s="151" t="s">
        <v>367</v>
      </c>
      <c r="P38" s="151">
        <f t="shared" si="2"/>
        <v>0</v>
      </c>
      <c r="Q38" s="151"/>
    </row>
    <row r="39" spans="1:17" ht="13.5" customHeight="1" x14ac:dyDescent="0.15">
      <c r="A39" s="141"/>
      <c r="B39" s="149">
        <v>34</v>
      </c>
      <c r="C39" s="55" t="str">
        <f>IF(烤漆色號編碼!A37="","-",烤漆色號編碼!A37)</f>
        <v>K-7618</v>
      </c>
      <c r="D39" s="55" t="str">
        <f>IF(烤漆色號編碼!C37="","-",烤漆色號編碼!C37)</f>
        <v>青綠色</v>
      </c>
      <c r="E39" s="55" t="str">
        <f>IF(烤漆色號編碼!B37="","-",烤漆色號編碼!B37)</f>
        <v>FGN</v>
      </c>
      <c r="F39" s="119">
        <v>19</v>
      </c>
      <c r="G39" s="119">
        <v>4</v>
      </c>
      <c r="H39" s="55">
        <f t="shared" si="0"/>
        <v>119</v>
      </c>
      <c r="I39" s="141"/>
      <c r="J39" s="141"/>
      <c r="K39" s="148">
        <v>34</v>
      </c>
      <c r="L39" s="151" t="s">
        <v>367</v>
      </c>
      <c r="M39" s="151" t="s">
        <v>368</v>
      </c>
      <c r="N39" s="151" t="s">
        <v>367</v>
      </c>
      <c r="O39" s="151" t="s">
        <v>367</v>
      </c>
      <c r="P39" s="151">
        <f t="shared" si="2"/>
        <v>0</v>
      </c>
      <c r="Q39" s="151"/>
    </row>
    <row r="40" spans="1:17" ht="13.5" customHeight="1" x14ac:dyDescent="0.15">
      <c r="A40" s="141"/>
      <c r="B40" s="149">
        <v>35</v>
      </c>
      <c r="C40" s="55" t="str">
        <f>IF(烤漆色號編碼!A38="","-",烤漆色號編碼!A38)</f>
        <v>008/35624</v>
      </c>
      <c r="D40" s="55" t="str">
        <f>IF(烤漆色號編碼!C38="","-",烤漆色號編碼!C38)</f>
        <v>橘色</v>
      </c>
      <c r="E40" s="55" t="str">
        <f>IF(烤漆色號編碼!B38="","-",烤漆色號編碼!B38)</f>
        <v>OE2</v>
      </c>
      <c r="F40" s="119">
        <v>20</v>
      </c>
      <c r="G40" s="119">
        <v>0</v>
      </c>
      <c r="H40" s="55">
        <f t="shared" si="0"/>
        <v>20</v>
      </c>
      <c r="I40" s="141"/>
      <c r="J40" s="141"/>
      <c r="K40" s="148">
        <v>35</v>
      </c>
      <c r="L40" s="151" t="s">
        <v>367</v>
      </c>
      <c r="M40" s="151" t="s">
        <v>368</v>
      </c>
      <c r="N40" s="151" t="s">
        <v>367</v>
      </c>
      <c r="O40" s="151" t="s">
        <v>367</v>
      </c>
      <c r="P40" s="151">
        <f t="shared" si="2"/>
        <v>0</v>
      </c>
      <c r="Q40" s="151"/>
    </row>
    <row r="41" spans="1:17" ht="13.5" customHeight="1" x14ac:dyDescent="0.15">
      <c r="A41" s="141"/>
      <c r="B41" s="149">
        <v>36</v>
      </c>
      <c r="C41" s="55" t="str">
        <f>IF(烤漆色號編碼!A39="","-",烤漆色號編碼!A39)</f>
        <v>780-7847AT</v>
      </c>
      <c r="D41" s="55" t="str">
        <f>IF(烤漆色號編碼!C39="","-",烤漆色號編碼!C39)</f>
        <v>深藍</v>
      </c>
      <c r="E41" s="55" t="str">
        <f>IF(烤漆色號編碼!B39="","-",烤漆色號編碼!B39)</f>
        <v>DBE</v>
      </c>
      <c r="F41" s="119">
        <v>0</v>
      </c>
      <c r="G41" s="119">
        <v>0</v>
      </c>
      <c r="H41" s="55">
        <f t="shared" si="0"/>
        <v>0</v>
      </c>
      <c r="I41" s="141"/>
      <c r="J41" s="141"/>
      <c r="K41" s="148">
        <v>36</v>
      </c>
      <c r="L41" s="151" t="s">
        <v>367</v>
      </c>
      <c r="M41" s="151" t="s">
        <v>368</v>
      </c>
      <c r="N41" s="151" t="s">
        <v>367</v>
      </c>
      <c r="O41" s="151" t="s">
        <v>367</v>
      </c>
      <c r="P41" s="151">
        <f t="shared" si="2"/>
        <v>0</v>
      </c>
      <c r="Q41" s="151"/>
    </row>
    <row r="42" spans="1:17" ht="13.5" customHeight="1" x14ac:dyDescent="0.15">
      <c r="A42" s="141"/>
      <c r="B42" s="149">
        <v>37</v>
      </c>
      <c r="C42" s="55" t="str">
        <f>IF(烤漆色號編碼!A40="","-",烤漆色號編碼!A40)</f>
        <v>07146D</v>
      </c>
      <c r="D42" s="55" t="str">
        <f>IF(烤漆色號編碼!C40="","-",烤漆色號編碼!C40)</f>
        <v>白色</v>
      </c>
      <c r="E42" s="55" t="str">
        <f>IF(烤漆色號編碼!B40="","-",烤漆色號編碼!B40)</f>
        <v>WE</v>
      </c>
      <c r="F42" s="119">
        <f>20+16</f>
        <v>36</v>
      </c>
      <c r="G42" s="119">
        <v>5</v>
      </c>
      <c r="H42" s="55">
        <f t="shared" si="0"/>
        <v>161</v>
      </c>
      <c r="I42" s="141"/>
      <c r="J42" s="141"/>
      <c r="K42" s="148">
        <v>37</v>
      </c>
      <c r="L42" s="151" t="s">
        <v>367</v>
      </c>
      <c r="M42" s="151" t="s">
        <v>368</v>
      </c>
      <c r="N42" s="151" t="s">
        <v>367</v>
      </c>
      <c r="O42" s="151" t="s">
        <v>367</v>
      </c>
      <c r="P42" s="151">
        <f t="shared" si="2"/>
        <v>0</v>
      </c>
      <c r="Q42" s="151"/>
    </row>
    <row r="43" spans="1:17" ht="13.5" customHeight="1" x14ac:dyDescent="0.15">
      <c r="A43" s="141"/>
      <c r="B43" s="149">
        <v>38</v>
      </c>
      <c r="C43" s="55"/>
      <c r="D43" s="55" t="str">
        <f>IF(烤漆色號編碼!C49="","-",烤漆色號編碼!C49)</f>
        <v>-</v>
      </c>
      <c r="E43" s="55" t="str">
        <f>IF(烤漆色號編碼!B49="","-",烤漆色號編碼!B49)</f>
        <v>-</v>
      </c>
      <c r="F43" s="55"/>
      <c r="G43" s="55"/>
      <c r="H43" s="55">
        <f t="shared" si="0"/>
        <v>0</v>
      </c>
      <c r="I43" s="141"/>
      <c r="J43" s="141"/>
      <c r="K43" s="148">
        <v>38</v>
      </c>
      <c r="L43" s="152" t="s">
        <v>367</v>
      </c>
      <c r="M43" s="152" t="s">
        <v>368</v>
      </c>
      <c r="N43" s="152" t="s">
        <v>367</v>
      </c>
      <c r="O43" s="152" t="s">
        <v>367</v>
      </c>
      <c r="P43" s="152">
        <f t="shared" si="2"/>
        <v>0</v>
      </c>
      <c r="Q43" s="152"/>
    </row>
    <row r="44" spans="1:17" ht="13.5" customHeight="1" x14ac:dyDescent="0.15">
      <c r="A44" s="141"/>
      <c r="B44" s="149">
        <v>39</v>
      </c>
      <c r="C44" s="55"/>
      <c r="D44" s="55" t="str">
        <f>IF(烤漆色號編碼!C50="","-",烤漆色號編碼!C50)</f>
        <v>-</v>
      </c>
      <c r="E44" s="55" t="str">
        <f>IF(烤漆色號編碼!B50="","-",烤漆色號編碼!B50)</f>
        <v>-</v>
      </c>
      <c r="F44" s="55"/>
      <c r="G44" s="55"/>
      <c r="H44" s="55">
        <f t="shared" si="0"/>
        <v>0</v>
      </c>
      <c r="I44" s="141"/>
      <c r="J44" s="141"/>
      <c r="K44" s="148">
        <v>39</v>
      </c>
      <c r="L44" s="151" t="s">
        <v>367</v>
      </c>
      <c r="M44" s="151" t="s">
        <v>368</v>
      </c>
      <c r="N44" s="151" t="s">
        <v>367</v>
      </c>
      <c r="O44" s="151" t="s">
        <v>367</v>
      </c>
      <c r="P44" s="151">
        <f t="shared" si="2"/>
        <v>0</v>
      </c>
      <c r="Q44" s="151"/>
    </row>
    <row r="45" spans="1:17" ht="13.5" customHeight="1" x14ac:dyDescent="0.15">
      <c r="A45" s="141"/>
      <c r="B45" s="149">
        <v>40</v>
      </c>
      <c r="C45" s="55"/>
      <c r="D45" s="55" t="str">
        <f>IF(烤漆色號編碼!C51="","-",烤漆色號編碼!C51)</f>
        <v>-</v>
      </c>
      <c r="E45" s="55" t="str">
        <f>IF(烤漆色號編碼!B51="","-",烤漆色號編碼!B51)</f>
        <v>-</v>
      </c>
      <c r="F45" s="55"/>
      <c r="G45" s="55"/>
      <c r="H45" s="55">
        <f t="shared" si="0"/>
        <v>0</v>
      </c>
      <c r="I45" s="141"/>
      <c r="J45" s="141"/>
      <c r="K45" s="148">
        <v>40</v>
      </c>
      <c r="L45" s="152" t="s">
        <v>367</v>
      </c>
      <c r="M45" s="152" t="s">
        <v>368</v>
      </c>
      <c r="N45" s="152" t="s">
        <v>367</v>
      </c>
      <c r="O45" s="152" t="s">
        <v>367</v>
      </c>
      <c r="P45" s="152">
        <f t="shared" si="2"/>
        <v>0</v>
      </c>
      <c r="Q45" s="152"/>
    </row>
    <row r="46" spans="1:17" ht="13.5" customHeight="1" x14ac:dyDescent="0.15">
      <c r="A46" s="141"/>
      <c r="B46" s="149">
        <v>41</v>
      </c>
      <c r="C46" s="55"/>
      <c r="D46" s="55" t="str">
        <f>IF(烤漆色號編碼!C52="","-",烤漆色號編碼!C52)</f>
        <v>-</v>
      </c>
      <c r="E46" s="55" t="str">
        <f>IF(烤漆色號編碼!B52="","-",烤漆色號編碼!B52)</f>
        <v>-</v>
      </c>
      <c r="F46" s="55"/>
      <c r="G46" s="55"/>
      <c r="H46" s="55">
        <f t="shared" si="0"/>
        <v>0</v>
      </c>
      <c r="I46" s="141"/>
      <c r="J46" s="141"/>
      <c r="K46" s="148">
        <v>41</v>
      </c>
      <c r="L46" s="151" t="s">
        <v>367</v>
      </c>
      <c r="M46" s="151" t="s">
        <v>368</v>
      </c>
      <c r="N46" s="151" t="s">
        <v>367</v>
      </c>
      <c r="O46" s="151" t="s">
        <v>367</v>
      </c>
      <c r="P46" s="151">
        <f t="shared" si="2"/>
        <v>0</v>
      </c>
      <c r="Q46" s="151"/>
    </row>
    <row r="47" spans="1:17" ht="13.5" customHeight="1" x14ac:dyDescent="0.15">
      <c r="A47" s="141"/>
      <c r="B47" s="149">
        <v>42</v>
      </c>
      <c r="C47" s="55"/>
      <c r="D47" s="55" t="str">
        <f>IF(烤漆色號編碼!C53="","-",烤漆色號編碼!C53)</f>
        <v>-</v>
      </c>
      <c r="E47" s="55" t="str">
        <f>IF(烤漆色號編碼!B53="","-",烤漆色號編碼!B53)</f>
        <v>-</v>
      </c>
      <c r="F47" s="55"/>
      <c r="G47" s="55"/>
      <c r="H47" s="55">
        <f t="shared" si="0"/>
        <v>0</v>
      </c>
      <c r="I47" s="141"/>
      <c r="J47" s="141"/>
      <c r="K47" s="148">
        <v>42</v>
      </c>
      <c r="L47" s="152" t="s">
        <v>367</v>
      </c>
      <c r="M47" s="152" t="s">
        <v>368</v>
      </c>
      <c r="N47" s="152" t="s">
        <v>367</v>
      </c>
      <c r="O47" s="152" t="s">
        <v>367</v>
      </c>
      <c r="P47" s="152">
        <f t="shared" si="2"/>
        <v>0</v>
      </c>
      <c r="Q47" s="152"/>
    </row>
    <row r="48" spans="1:17" ht="13.5" customHeight="1" x14ac:dyDescent="0.15">
      <c r="A48" s="141"/>
      <c r="B48" s="149">
        <v>43</v>
      </c>
      <c r="C48" s="55"/>
      <c r="D48" s="55" t="str">
        <f>IF(烤漆色號編碼!C54="","-",烤漆色號編碼!C54)</f>
        <v>-</v>
      </c>
      <c r="E48" s="55" t="str">
        <f>IF(烤漆色號編碼!B54="","-",烤漆色號編碼!B54)</f>
        <v>-</v>
      </c>
      <c r="F48" s="55"/>
      <c r="G48" s="55"/>
      <c r="H48" s="55">
        <f t="shared" si="0"/>
        <v>0</v>
      </c>
      <c r="I48" s="141"/>
      <c r="J48" s="141"/>
      <c r="K48" s="148">
        <v>43</v>
      </c>
      <c r="L48" s="151" t="s">
        <v>367</v>
      </c>
      <c r="M48" s="151" t="s">
        <v>368</v>
      </c>
      <c r="N48" s="151" t="s">
        <v>367</v>
      </c>
      <c r="O48" s="151" t="s">
        <v>367</v>
      </c>
      <c r="P48" s="151">
        <f t="shared" si="2"/>
        <v>0</v>
      </c>
      <c r="Q48" s="151"/>
    </row>
    <row r="49" spans="1:17" ht="13.5" customHeight="1" x14ac:dyDescent="0.15">
      <c r="A49" s="141"/>
      <c r="B49" s="149">
        <v>44</v>
      </c>
      <c r="C49" s="55"/>
      <c r="D49" s="55" t="str">
        <f>IF(烤漆色號編碼!C55="","-",烤漆色號編碼!C55)</f>
        <v>-</v>
      </c>
      <c r="E49" s="55" t="str">
        <f>IF(烤漆色號編碼!B55="","-",烤漆色號編碼!B55)</f>
        <v>-</v>
      </c>
      <c r="F49" s="55"/>
      <c r="G49" s="55"/>
      <c r="H49" s="55">
        <f t="shared" si="0"/>
        <v>0</v>
      </c>
      <c r="I49" s="141"/>
      <c r="J49" s="141"/>
      <c r="K49" s="148">
        <v>44</v>
      </c>
      <c r="L49" s="152" t="s">
        <v>367</v>
      </c>
      <c r="M49" s="152" t="s">
        <v>368</v>
      </c>
      <c r="N49" s="152" t="s">
        <v>367</v>
      </c>
      <c r="O49" s="152" t="s">
        <v>367</v>
      </c>
      <c r="P49" s="152">
        <f t="shared" si="2"/>
        <v>0</v>
      </c>
      <c r="Q49" s="152"/>
    </row>
    <row r="50" spans="1:17" ht="13.5" customHeight="1" x14ac:dyDescent="0.15">
      <c r="A50" s="141"/>
      <c r="B50" s="149">
        <v>45</v>
      </c>
      <c r="C50" s="55"/>
      <c r="D50" s="55" t="str">
        <f>IF(烤漆色號編碼!C56="","-",烤漆色號編碼!C56)</f>
        <v>-</v>
      </c>
      <c r="E50" s="55" t="str">
        <f>IF(烤漆色號編碼!B56="","-",烤漆色號編碼!B56)</f>
        <v>-</v>
      </c>
      <c r="F50" s="55"/>
      <c r="G50" s="55"/>
      <c r="H50" s="55">
        <f t="shared" si="0"/>
        <v>0</v>
      </c>
      <c r="I50" s="141"/>
      <c r="J50" s="141"/>
      <c r="K50" s="148">
        <v>45</v>
      </c>
      <c r="L50" s="151" t="s">
        <v>367</v>
      </c>
      <c r="M50" s="151" t="s">
        <v>368</v>
      </c>
      <c r="N50" s="151" t="s">
        <v>367</v>
      </c>
      <c r="O50" s="151" t="s">
        <v>367</v>
      </c>
      <c r="P50" s="151">
        <f t="shared" si="2"/>
        <v>0</v>
      </c>
      <c r="Q50" s="151"/>
    </row>
    <row r="51" spans="1:17" ht="13.5" customHeight="1" x14ac:dyDescent="0.15">
      <c r="A51" s="141"/>
      <c r="B51" s="149">
        <v>46</v>
      </c>
      <c r="C51" s="55"/>
      <c r="D51" s="55" t="str">
        <f>IF(烤漆色號編碼!C57="","-",烤漆色號編碼!C57)</f>
        <v>-</v>
      </c>
      <c r="E51" s="55" t="str">
        <f>IF(烤漆色號編碼!B57="","-",烤漆色號編碼!B57)</f>
        <v>-</v>
      </c>
      <c r="F51" s="55"/>
      <c r="G51" s="55"/>
      <c r="H51" s="55">
        <f t="shared" si="0"/>
        <v>0</v>
      </c>
      <c r="I51" s="141"/>
      <c r="J51" s="141"/>
      <c r="K51" s="148">
        <v>46</v>
      </c>
      <c r="L51" s="152" t="s">
        <v>367</v>
      </c>
      <c r="M51" s="152" t="s">
        <v>368</v>
      </c>
      <c r="N51" s="152" t="s">
        <v>367</v>
      </c>
      <c r="O51" s="152" t="s">
        <v>367</v>
      </c>
      <c r="P51" s="152">
        <f t="shared" si="2"/>
        <v>0</v>
      </c>
      <c r="Q51" s="152"/>
    </row>
    <row r="52" spans="1:17" ht="13.5" customHeight="1" x14ac:dyDescent="0.15">
      <c r="A52" s="141"/>
      <c r="B52" s="149">
        <v>47</v>
      </c>
      <c r="C52" s="55"/>
      <c r="D52" s="55" t="str">
        <f>IF(烤漆色號編碼!C58="","-",烤漆色號編碼!C58)</f>
        <v>-</v>
      </c>
      <c r="E52" s="55" t="str">
        <f>IF(烤漆色號編碼!B58="","-",烤漆色號編碼!B58)</f>
        <v>-</v>
      </c>
      <c r="F52" s="55"/>
      <c r="G52" s="55"/>
      <c r="H52" s="55">
        <f t="shared" si="0"/>
        <v>0</v>
      </c>
      <c r="I52" s="141"/>
      <c r="J52" s="141"/>
      <c r="K52" s="148">
        <v>47</v>
      </c>
      <c r="L52" s="151" t="s">
        <v>367</v>
      </c>
      <c r="M52" s="151" t="s">
        <v>368</v>
      </c>
      <c r="N52" s="151" t="s">
        <v>367</v>
      </c>
      <c r="O52" s="151" t="s">
        <v>367</v>
      </c>
      <c r="P52" s="151">
        <f t="shared" si="2"/>
        <v>0</v>
      </c>
      <c r="Q52" s="151"/>
    </row>
    <row r="53" spans="1:17" ht="13.5" customHeight="1" x14ac:dyDescent="0.15">
      <c r="A53" s="141"/>
      <c r="B53" s="149">
        <v>48</v>
      </c>
      <c r="C53" s="55"/>
      <c r="D53" s="55" t="str">
        <f>IF(烤漆色號編碼!C59="","-",烤漆色號編碼!C59)</f>
        <v>-</v>
      </c>
      <c r="E53" s="55" t="str">
        <f>IF(烤漆色號編碼!B59="","-",烤漆色號編碼!B59)</f>
        <v>-</v>
      </c>
      <c r="F53" s="55"/>
      <c r="G53" s="55"/>
      <c r="H53" s="55">
        <f t="shared" si="0"/>
        <v>0</v>
      </c>
      <c r="I53" s="141"/>
      <c r="J53" s="141"/>
      <c r="K53" s="148">
        <v>48</v>
      </c>
      <c r="L53" s="152" t="s">
        <v>367</v>
      </c>
      <c r="M53" s="152" t="s">
        <v>368</v>
      </c>
      <c r="N53" s="152" t="s">
        <v>367</v>
      </c>
      <c r="O53" s="152" t="s">
        <v>367</v>
      </c>
      <c r="P53" s="152">
        <f t="shared" si="2"/>
        <v>0</v>
      </c>
      <c r="Q53" s="152"/>
    </row>
    <row r="54" spans="1:17" ht="13.5" customHeight="1" x14ac:dyDescent="0.15">
      <c r="A54" s="141"/>
      <c r="B54" s="149">
        <v>49</v>
      </c>
      <c r="C54" s="55"/>
      <c r="D54" s="55" t="str">
        <f>IF(烤漆色號編碼!C60="","-",烤漆色號編碼!C60)</f>
        <v>-</v>
      </c>
      <c r="E54" s="55" t="str">
        <f>IF(烤漆色號編碼!B60="","-",烤漆色號編碼!B60)</f>
        <v>-</v>
      </c>
      <c r="F54" s="55"/>
      <c r="G54" s="55"/>
      <c r="H54" s="55">
        <f t="shared" si="0"/>
        <v>0</v>
      </c>
      <c r="I54" s="141"/>
      <c r="J54" s="141"/>
      <c r="K54" s="148">
        <v>49</v>
      </c>
      <c r="L54" s="151" t="s">
        <v>367</v>
      </c>
      <c r="M54" s="151" t="s">
        <v>368</v>
      </c>
      <c r="N54" s="151" t="s">
        <v>367</v>
      </c>
      <c r="O54" s="151" t="s">
        <v>367</v>
      </c>
      <c r="P54" s="151">
        <f t="shared" si="2"/>
        <v>0</v>
      </c>
      <c r="Q54" s="151"/>
    </row>
    <row r="55" spans="1:17" ht="13.5" customHeight="1" x14ac:dyDescent="0.15">
      <c r="A55" s="141"/>
      <c r="B55" s="149">
        <v>50</v>
      </c>
      <c r="C55" s="55"/>
      <c r="D55" s="55" t="str">
        <f>IF(烤漆色號編碼!C61="","-",烤漆色號編碼!C61)</f>
        <v>-</v>
      </c>
      <c r="E55" s="55" t="str">
        <f>IF(烤漆色號編碼!B61="","-",烤漆色號編碼!B61)</f>
        <v>-</v>
      </c>
      <c r="F55" s="55"/>
      <c r="G55" s="55"/>
      <c r="H55" s="55">
        <f t="shared" si="0"/>
        <v>0</v>
      </c>
      <c r="I55" s="141"/>
      <c r="J55" s="141"/>
      <c r="K55" s="148">
        <v>50</v>
      </c>
      <c r="L55" s="152" t="s">
        <v>367</v>
      </c>
      <c r="M55" s="152" t="s">
        <v>368</v>
      </c>
      <c r="N55" s="152" t="s">
        <v>367</v>
      </c>
      <c r="O55" s="152" t="s">
        <v>367</v>
      </c>
      <c r="P55" s="152">
        <f t="shared" si="2"/>
        <v>0</v>
      </c>
      <c r="Q55" s="152"/>
    </row>
    <row r="56" spans="1:17" ht="13.5" customHeight="1" x14ac:dyDescent="0.15">
      <c r="A56" s="141"/>
      <c r="B56" s="149">
        <v>51</v>
      </c>
      <c r="C56" s="55"/>
      <c r="D56" s="55" t="str">
        <f>IF(烤漆色號編碼!C62="","-",烤漆色號編碼!C62)</f>
        <v>-</v>
      </c>
      <c r="E56" s="55" t="str">
        <f>IF(烤漆色號編碼!B62="","-",烤漆色號編碼!B62)</f>
        <v>-</v>
      </c>
      <c r="F56" s="55"/>
      <c r="G56" s="55"/>
      <c r="H56" s="55">
        <f t="shared" si="0"/>
        <v>0</v>
      </c>
      <c r="I56" s="141"/>
      <c r="J56" s="141"/>
      <c r="K56" s="148">
        <v>51</v>
      </c>
      <c r="L56" s="151" t="s">
        <v>367</v>
      </c>
      <c r="M56" s="151" t="s">
        <v>367</v>
      </c>
      <c r="N56" s="151" t="s">
        <v>367</v>
      </c>
      <c r="O56" s="151" t="s">
        <v>367</v>
      </c>
      <c r="P56" s="151">
        <f t="shared" si="2"/>
        <v>0</v>
      </c>
      <c r="Q56" s="151"/>
    </row>
    <row r="57" spans="1:17" ht="13.5" customHeight="1" x14ac:dyDescent="0.15">
      <c r="A57" s="141"/>
      <c r="B57" s="149">
        <v>52</v>
      </c>
      <c r="C57" s="55"/>
      <c r="D57" s="55" t="str">
        <f>IF(烤漆色號編碼!C63="","-",烤漆色號編碼!C63)</f>
        <v>-</v>
      </c>
      <c r="E57" s="55" t="str">
        <f>IF(烤漆色號編碼!B63="","-",烤漆色號編碼!B63)</f>
        <v>-</v>
      </c>
      <c r="F57" s="55"/>
      <c r="G57" s="55"/>
      <c r="H57" s="55">
        <f t="shared" si="0"/>
        <v>0</v>
      </c>
      <c r="I57" s="141"/>
      <c r="J57" s="141"/>
      <c r="K57" s="148">
        <v>52</v>
      </c>
      <c r="L57" s="152" t="s">
        <v>367</v>
      </c>
      <c r="M57" s="152" t="s">
        <v>367</v>
      </c>
      <c r="N57" s="152" t="s">
        <v>367</v>
      </c>
      <c r="O57" s="152" t="s">
        <v>367</v>
      </c>
      <c r="P57" s="152">
        <f t="shared" si="2"/>
        <v>0</v>
      </c>
      <c r="Q57" s="152"/>
    </row>
    <row r="58" spans="1:17" ht="13.5" customHeight="1" x14ac:dyDescent="0.15">
      <c r="A58" s="141"/>
      <c r="B58" s="149">
        <v>53</v>
      </c>
      <c r="C58" s="55"/>
      <c r="D58" s="55" t="str">
        <f>IF(烤漆色號編碼!C64="","-",烤漆色號編碼!C64)</f>
        <v>-</v>
      </c>
      <c r="E58" s="55" t="str">
        <f>IF(烤漆色號編碼!B64="","-",烤漆色號編碼!B64)</f>
        <v>-</v>
      </c>
      <c r="F58" s="55"/>
      <c r="G58" s="55"/>
      <c r="H58" s="55">
        <f t="shared" si="0"/>
        <v>0</v>
      </c>
      <c r="I58" s="141"/>
      <c r="J58" s="141"/>
      <c r="K58" s="148">
        <v>53</v>
      </c>
      <c r="L58" s="151" t="s">
        <v>367</v>
      </c>
      <c r="M58" s="151" t="s">
        <v>367</v>
      </c>
      <c r="N58" s="151" t="s">
        <v>367</v>
      </c>
      <c r="O58" s="151" t="s">
        <v>367</v>
      </c>
      <c r="P58" s="151">
        <f t="shared" si="2"/>
        <v>0</v>
      </c>
      <c r="Q58" s="151"/>
    </row>
    <row r="59" spans="1:17" ht="13.5" customHeight="1" x14ac:dyDescent="0.15">
      <c r="A59" s="141"/>
      <c r="B59" s="149">
        <v>54</v>
      </c>
      <c r="C59" s="55"/>
      <c r="D59" s="55" t="str">
        <f>IF(烤漆色號編碼!C65="","-",烤漆色號編碼!C65)</f>
        <v>-</v>
      </c>
      <c r="E59" s="55" t="str">
        <f>IF(烤漆色號編碼!B65="","-",烤漆色號編碼!B65)</f>
        <v>-</v>
      </c>
      <c r="F59" s="55"/>
      <c r="G59" s="55"/>
      <c r="H59" s="55">
        <f t="shared" si="0"/>
        <v>0</v>
      </c>
      <c r="I59" s="141"/>
      <c r="J59" s="141"/>
      <c r="K59" s="148">
        <v>54</v>
      </c>
      <c r="L59" s="152" t="s">
        <v>367</v>
      </c>
      <c r="M59" s="152" t="s">
        <v>367</v>
      </c>
      <c r="N59" s="152" t="s">
        <v>367</v>
      </c>
      <c r="O59" s="152" t="s">
        <v>367</v>
      </c>
      <c r="P59" s="152">
        <f t="shared" si="2"/>
        <v>0</v>
      </c>
      <c r="Q59" s="152"/>
    </row>
    <row r="60" spans="1:17" ht="13.5" customHeight="1" x14ac:dyDescent="0.15">
      <c r="A60" s="141"/>
      <c r="B60" s="149">
        <v>55</v>
      </c>
      <c r="C60" s="55"/>
      <c r="D60" s="55" t="str">
        <f>IF(烤漆色號編碼!C66="","-",烤漆色號編碼!C66)</f>
        <v>-</v>
      </c>
      <c r="E60" s="55" t="str">
        <f>IF(烤漆色號編碼!B66="","-",烤漆色號編碼!B66)</f>
        <v>-</v>
      </c>
      <c r="F60" s="55"/>
      <c r="G60" s="55"/>
      <c r="H60" s="55">
        <f t="shared" si="0"/>
        <v>0</v>
      </c>
      <c r="I60" s="141"/>
      <c r="J60" s="141"/>
      <c r="K60" s="148">
        <v>55</v>
      </c>
      <c r="L60" s="151" t="s">
        <v>367</v>
      </c>
      <c r="M60" s="151" t="s">
        <v>367</v>
      </c>
      <c r="N60" s="151" t="s">
        <v>367</v>
      </c>
      <c r="O60" s="151" t="s">
        <v>367</v>
      </c>
      <c r="P60" s="151">
        <f t="shared" si="2"/>
        <v>0</v>
      </c>
      <c r="Q60" s="151"/>
    </row>
    <row r="61" spans="1:17" ht="13.5" customHeight="1" x14ac:dyDescent="0.15">
      <c r="A61" s="141"/>
      <c r="B61" s="149">
        <v>56</v>
      </c>
      <c r="C61" s="55"/>
      <c r="D61" s="55" t="str">
        <f>IF(烤漆色號編碼!C67="","-",烤漆色號編碼!C67)</f>
        <v>-</v>
      </c>
      <c r="E61" s="55" t="str">
        <f>IF(烤漆色號編碼!B67="","-",烤漆色號編碼!B67)</f>
        <v>-</v>
      </c>
      <c r="F61" s="55"/>
      <c r="G61" s="55"/>
      <c r="H61" s="55">
        <f t="shared" si="0"/>
        <v>0</v>
      </c>
      <c r="I61" s="141"/>
      <c r="J61" s="141"/>
      <c r="K61" s="148">
        <v>56</v>
      </c>
      <c r="L61" s="152" t="s">
        <v>367</v>
      </c>
      <c r="M61" s="152" t="s">
        <v>367</v>
      </c>
      <c r="N61" s="152" t="s">
        <v>367</v>
      </c>
      <c r="O61" s="152" t="s">
        <v>367</v>
      </c>
      <c r="P61" s="152">
        <f t="shared" si="2"/>
        <v>0</v>
      </c>
      <c r="Q61" s="152"/>
    </row>
    <row r="62" spans="1:17" ht="13.5" customHeight="1" x14ac:dyDescent="0.15">
      <c r="A62" s="141"/>
      <c r="B62" s="149">
        <v>57</v>
      </c>
      <c r="C62" s="55"/>
      <c r="D62" s="55" t="str">
        <f>IF(烤漆色號編碼!C68="","-",烤漆色號編碼!C68)</f>
        <v>-</v>
      </c>
      <c r="E62" s="55" t="str">
        <f>IF(烤漆色號編碼!B68="","-",烤漆色號編碼!B68)</f>
        <v>-</v>
      </c>
      <c r="F62" s="55"/>
      <c r="G62" s="55"/>
      <c r="H62" s="55">
        <f t="shared" si="0"/>
        <v>0</v>
      </c>
      <c r="I62" s="141"/>
      <c r="J62" s="141"/>
      <c r="K62" s="148">
        <v>57</v>
      </c>
      <c r="L62" s="151" t="s">
        <v>367</v>
      </c>
      <c r="M62" s="151" t="s">
        <v>367</v>
      </c>
      <c r="N62" s="151" t="s">
        <v>367</v>
      </c>
      <c r="O62" s="151" t="s">
        <v>367</v>
      </c>
      <c r="P62" s="151">
        <f t="shared" si="2"/>
        <v>0</v>
      </c>
      <c r="Q62" s="151"/>
    </row>
    <row r="63" spans="1:17" ht="13.5" customHeight="1" x14ac:dyDescent="0.15">
      <c r="A63" s="141"/>
      <c r="B63" s="149">
        <v>58</v>
      </c>
      <c r="C63" s="55"/>
      <c r="D63" s="55" t="str">
        <f>IF(烤漆色號編碼!C69="","-",烤漆色號編碼!C69)</f>
        <v>-</v>
      </c>
      <c r="E63" s="55" t="str">
        <f>IF(烤漆色號編碼!B69="","-",烤漆色號編碼!B69)</f>
        <v>-</v>
      </c>
      <c r="F63" s="55"/>
      <c r="G63" s="55"/>
      <c r="H63" s="55">
        <f t="shared" si="0"/>
        <v>0</v>
      </c>
      <c r="I63" s="141"/>
      <c r="J63" s="141"/>
      <c r="K63" s="148">
        <v>58</v>
      </c>
      <c r="L63" s="152" t="s">
        <v>367</v>
      </c>
      <c r="M63" s="152" t="s">
        <v>367</v>
      </c>
      <c r="N63" s="152" t="s">
        <v>367</v>
      </c>
      <c r="O63" s="152" t="s">
        <v>367</v>
      </c>
      <c r="P63" s="152">
        <f t="shared" si="2"/>
        <v>0</v>
      </c>
      <c r="Q63" s="152"/>
    </row>
    <row r="64" spans="1:17" ht="13.5" customHeight="1" x14ac:dyDescent="0.15">
      <c r="A64" s="141"/>
      <c r="B64" s="149">
        <v>59</v>
      </c>
      <c r="C64" s="55"/>
      <c r="D64" s="55" t="str">
        <f>IF(烤漆色號編碼!C70="","-",烤漆色號編碼!C70)</f>
        <v>-</v>
      </c>
      <c r="E64" s="55" t="str">
        <f>IF(烤漆色號編碼!B70="","-",烤漆色號編碼!B70)</f>
        <v>-</v>
      </c>
      <c r="F64" s="55"/>
      <c r="G64" s="55"/>
      <c r="H64" s="55">
        <f t="shared" si="0"/>
        <v>0</v>
      </c>
      <c r="I64" s="141"/>
      <c r="J64" s="141"/>
      <c r="K64" s="148">
        <v>59</v>
      </c>
      <c r="L64" s="151" t="s">
        <v>367</v>
      </c>
      <c r="M64" s="151" t="s">
        <v>367</v>
      </c>
      <c r="N64" s="151" t="s">
        <v>367</v>
      </c>
      <c r="O64" s="151" t="s">
        <v>367</v>
      </c>
      <c r="P64" s="151">
        <f t="shared" si="2"/>
        <v>0</v>
      </c>
      <c r="Q64" s="151"/>
    </row>
    <row r="65" spans="1:17" ht="13.5" customHeight="1" x14ac:dyDescent="0.15">
      <c r="A65" s="141"/>
      <c r="B65" s="149">
        <v>60</v>
      </c>
      <c r="C65" s="55"/>
      <c r="D65" s="55" t="str">
        <f>IF(烤漆色號編碼!C71="","-",烤漆色號編碼!C71)</f>
        <v>-</v>
      </c>
      <c r="E65" s="55" t="str">
        <f>IF(烤漆色號編碼!B71="","-",烤漆色號編碼!B71)</f>
        <v>-</v>
      </c>
      <c r="F65" s="55"/>
      <c r="G65" s="55"/>
      <c r="H65" s="55">
        <f t="shared" si="0"/>
        <v>0</v>
      </c>
      <c r="I65" s="141"/>
      <c r="J65" s="141"/>
      <c r="K65" s="148">
        <v>60</v>
      </c>
      <c r="L65" s="152" t="s">
        <v>367</v>
      </c>
      <c r="M65" s="152" t="s">
        <v>367</v>
      </c>
      <c r="N65" s="152" t="s">
        <v>367</v>
      </c>
      <c r="O65" s="152" t="s">
        <v>367</v>
      </c>
      <c r="P65" s="152">
        <f t="shared" si="2"/>
        <v>0</v>
      </c>
      <c r="Q65" s="152"/>
    </row>
    <row r="66" spans="1:17" ht="13.5" customHeight="1" x14ac:dyDescent="0.15">
      <c r="A66" s="141"/>
      <c r="B66" s="149">
        <v>61</v>
      </c>
      <c r="C66" s="55"/>
      <c r="D66" s="55" t="str">
        <f>IF(烤漆色號編碼!C72="","-",烤漆色號編碼!C72)</f>
        <v>-</v>
      </c>
      <c r="E66" s="55" t="str">
        <f>IF(烤漆色號編碼!B72="","-",烤漆色號編碼!B72)</f>
        <v>-</v>
      </c>
      <c r="F66" s="55"/>
      <c r="G66" s="55"/>
      <c r="H66" s="55">
        <f t="shared" si="0"/>
        <v>0</v>
      </c>
      <c r="I66" s="141"/>
      <c r="J66" s="141"/>
      <c r="K66" s="148">
        <v>61</v>
      </c>
      <c r="L66" s="151" t="s">
        <v>367</v>
      </c>
      <c r="M66" s="151" t="s">
        <v>367</v>
      </c>
      <c r="N66" s="151" t="s">
        <v>367</v>
      </c>
      <c r="O66" s="151" t="s">
        <v>367</v>
      </c>
      <c r="P66" s="151">
        <f t="shared" si="2"/>
        <v>0</v>
      </c>
      <c r="Q66" s="151"/>
    </row>
    <row r="67" spans="1:17" ht="13.5" customHeight="1" x14ac:dyDescent="0.15">
      <c r="A67" s="141"/>
      <c r="B67" s="149">
        <v>62</v>
      </c>
      <c r="C67" s="55"/>
      <c r="D67" s="55" t="str">
        <f>IF(烤漆色號編碼!C73="","-",烤漆色號編碼!C73)</f>
        <v>-</v>
      </c>
      <c r="E67" s="55" t="str">
        <f>IF(烤漆色號編碼!B73="","-",烤漆色號編碼!B73)</f>
        <v>-</v>
      </c>
      <c r="F67" s="55"/>
      <c r="G67" s="55"/>
      <c r="H67" s="55">
        <f t="shared" si="0"/>
        <v>0</v>
      </c>
      <c r="I67" s="141"/>
      <c r="J67" s="141"/>
      <c r="K67" s="148">
        <v>62</v>
      </c>
      <c r="L67" s="152" t="s">
        <v>367</v>
      </c>
      <c r="M67" s="152" t="s">
        <v>367</v>
      </c>
      <c r="N67" s="152" t="s">
        <v>367</v>
      </c>
      <c r="O67" s="152" t="s">
        <v>367</v>
      </c>
      <c r="P67" s="152">
        <f t="shared" si="2"/>
        <v>0</v>
      </c>
      <c r="Q67" s="152"/>
    </row>
    <row r="68" spans="1:17" ht="13.5" customHeight="1" x14ac:dyDescent="0.15">
      <c r="A68" s="141"/>
      <c r="B68" s="149">
        <v>63</v>
      </c>
      <c r="C68" s="55"/>
      <c r="D68" s="55" t="str">
        <f>IF(烤漆色號編碼!C74="","-",烤漆色號編碼!C74)</f>
        <v>-</v>
      </c>
      <c r="E68" s="55" t="str">
        <f>IF(烤漆色號編碼!B74="","-",烤漆色號編碼!B74)</f>
        <v>-</v>
      </c>
      <c r="F68" s="55"/>
      <c r="G68" s="55"/>
      <c r="H68" s="55">
        <f t="shared" si="0"/>
        <v>0</v>
      </c>
      <c r="I68" s="141"/>
      <c r="J68" s="141"/>
      <c r="K68" s="148">
        <v>63</v>
      </c>
      <c r="L68" s="151" t="s">
        <v>367</v>
      </c>
      <c r="M68" s="151" t="s">
        <v>367</v>
      </c>
      <c r="N68" s="151" t="s">
        <v>367</v>
      </c>
      <c r="O68" s="151" t="s">
        <v>367</v>
      </c>
      <c r="P68" s="151">
        <f t="shared" si="2"/>
        <v>0</v>
      </c>
      <c r="Q68" s="151"/>
    </row>
    <row r="69" spans="1:17" ht="13.5" customHeight="1" x14ac:dyDescent="0.15">
      <c r="A69" s="141"/>
      <c r="B69" s="149">
        <v>64</v>
      </c>
      <c r="C69" s="55"/>
      <c r="D69" s="55" t="str">
        <f>IF(烤漆色號編碼!C75="","-",烤漆色號編碼!C75)</f>
        <v>-</v>
      </c>
      <c r="E69" s="55" t="str">
        <f>IF(烤漆色號編碼!B75="","-",烤漆色號編碼!B75)</f>
        <v>-</v>
      </c>
      <c r="F69" s="55"/>
      <c r="G69" s="55"/>
      <c r="H69" s="55">
        <f t="shared" si="0"/>
        <v>0</v>
      </c>
      <c r="I69" s="141"/>
      <c r="J69" s="141"/>
      <c r="K69" s="148">
        <v>64</v>
      </c>
      <c r="L69" s="152" t="s">
        <v>367</v>
      </c>
      <c r="M69" s="152" t="s">
        <v>367</v>
      </c>
      <c r="N69" s="152" t="s">
        <v>367</v>
      </c>
      <c r="O69" s="152" t="s">
        <v>367</v>
      </c>
      <c r="P69" s="152">
        <f t="shared" si="2"/>
        <v>0</v>
      </c>
      <c r="Q69" s="152"/>
    </row>
    <row r="70" spans="1:17" ht="13.5" customHeight="1" x14ac:dyDescent="0.15">
      <c r="A70" s="141"/>
      <c r="B70" s="149">
        <v>65</v>
      </c>
      <c r="C70" s="55"/>
      <c r="D70" s="55" t="str">
        <f>IF(烤漆色號編碼!C76="","-",烤漆色號編碼!C76)</f>
        <v>-</v>
      </c>
      <c r="E70" s="55" t="str">
        <f>IF(烤漆色號編碼!B76="","-",烤漆色號編碼!B76)</f>
        <v>-</v>
      </c>
      <c r="F70" s="55"/>
      <c r="G70" s="55"/>
      <c r="H70" s="55">
        <f t="shared" si="0"/>
        <v>0</v>
      </c>
      <c r="I70" s="141"/>
      <c r="J70" s="141"/>
      <c r="K70" s="148">
        <v>65</v>
      </c>
      <c r="L70" s="151" t="s">
        <v>367</v>
      </c>
      <c r="M70" s="151" t="s">
        <v>367</v>
      </c>
      <c r="N70" s="151" t="s">
        <v>367</v>
      </c>
      <c r="O70" s="151" t="s">
        <v>367</v>
      </c>
      <c r="P70" s="151">
        <f t="shared" si="2"/>
        <v>0</v>
      </c>
      <c r="Q70" s="151"/>
    </row>
    <row r="71" spans="1:17" ht="13.5" customHeight="1" x14ac:dyDescent="0.15">
      <c r="A71" s="141"/>
      <c r="B71" s="149">
        <v>66</v>
      </c>
      <c r="C71" s="55"/>
      <c r="D71" s="55" t="str">
        <f>IF(烤漆色號編碼!C77="","-",烤漆色號編碼!C77)</f>
        <v>-</v>
      </c>
      <c r="E71" s="55" t="str">
        <f>IF(烤漆色號編碼!B77="","-",烤漆色號編碼!B77)</f>
        <v>-</v>
      </c>
      <c r="F71" s="55"/>
      <c r="G71" s="55"/>
      <c r="H71" s="55">
        <f t="shared" si="0"/>
        <v>0</v>
      </c>
      <c r="I71" s="141"/>
      <c r="J71" s="141"/>
      <c r="K71" s="148">
        <v>66</v>
      </c>
      <c r="L71" s="152" t="s">
        <v>367</v>
      </c>
      <c r="M71" s="152" t="s">
        <v>367</v>
      </c>
      <c r="N71" s="152" t="s">
        <v>367</v>
      </c>
      <c r="O71" s="152" t="s">
        <v>367</v>
      </c>
      <c r="P71" s="152">
        <f t="shared" si="2"/>
        <v>0</v>
      </c>
      <c r="Q71" s="152"/>
    </row>
    <row r="72" spans="1:17" ht="13.5" customHeight="1" x14ac:dyDescent="0.15">
      <c r="A72" s="141"/>
      <c r="B72" s="149">
        <v>67</v>
      </c>
      <c r="C72" s="55"/>
      <c r="D72" s="55" t="str">
        <f>IF(烤漆色號編碼!C78="","-",烤漆色號編碼!C78)</f>
        <v>-</v>
      </c>
      <c r="E72" s="55" t="str">
        <f>IF(烤漆色號編碼!B78="","-",烤漆色號編碼!B78)</f>
        <v>-</v>
      </c>
      <c r="F72" s="55"/>
      <c r="G72" s="55"/>
      <c r="H72" s="55">
        <f t="shared" si="0"/>
        <v>0</v>
      </c>
      <c r="I72" s="141"/>
      <c r="J72" s="141"/>
      <c r="K72" s="148">
        <v>67</v>
      </c>
      <c r="L72" s="151" t="s">
        <v>367</v>
      </c>
      <c r="M72" s="151" t="s">
        <v>367</v>
      </c>
      <c r="N72" s="151" t="s">
        <v>367</v>
      </c>
      <c r="O72" s="151" t="s">
        <v>367</v>
      </c>
      <c r="P72" s="151">
        <f t="shared" si="2"/>
        <v>0</v>
      </c>
      <c r="Q72" s="151"/>
    </row>
    <row r="73" spans="1:17" ht="13.5" customHeight="1" x14ac:dyDescent="0.15">
      <c r="A73" s="141"/>
      <c r="B73" s="149">
        <v>68</v>
      </c>
      <c r="C73" s="55"/>
      <c r="D73" s="55" t="str">
        <f>IF(烤漆色號編碼!C79="","-",烤漆色號編碼!C79)</f>
        <v>-</v>
      </c>
      <c r="E73" s="55" t="str">
        <f>IF(烤漆色號編碼!B79="","-",烤漆色號編碼!B79)</f>
        <v>-</v>
      </c>
      <c r="F73" s="55"/>
      <c r="G73" s="55"/>
      <c r="H73" s="55">
        <f t="shared" si="0"/>
        <v>0</v>
      </c>
      <c r="I73" s="141"/>
      <c r="J73" s="141"/>
      <c r="K73" s="148">
        <v>68</v>
      </c>
      <c r="L73" s="152" t="s">
        <v>367</v>
      </c>
      <c r="M73" s="152" t="s">
        <v>367</v>
      </c>
      <c r="N73" s="152" t="s">
        <v>367</v>
      </c>
      <c r="O73" s="152" t="s">
        <v>367</v>
      </c>
      <c r="P73" s="152">
        <f t="shared" si="2"/>
        <v>0</v>
      </c>
      <c r="Q73" s="152"/>
    </row>
    <row r="74" spans="1:17" ht="13.5" customHeight="1" x14ac:dyDescent="0.15">
      <c r="A74" s="141"/>
      <c r="B74" s="149">
        <v>69</v>
      </c>
      <c r="C74" s="55"/>
      <c r="D74" s="55" t="str">
        <f>IF(烤漆色號編碼!C80="","-",烤漆色號編碼!C80)</f>
        <v>-</v>
      </c>
      <c r="E74" s="55" t="str">
        <f>IF(烤漆色號編碼!B80="","-",烤漆色號編碼!B80)</f>
        <v>-</v>
      </c>
      <c r="F74" s="55"/>
      <c r="G74" s="55"/>
      <c r="H74" s="55">
        <f t="shared" si="0"/>
        <v>0</v>
      </c>
      <c r="I74" s="141"/>
      <c r="J74" s="141"/>
      <c r="K74" s="148">
        <v>69</v>
      </c>
      <c r="L74" s="151" t="s">
        <v>367</v>
      </c>
      <c r="M74" s="151" t="s">
        <v>367</v>
      </c>
      <c r="N74" s="151" t="s">
        <v>367</v>
      </c>
      <c r="O74" s="151" t="s">
        <v>367</v>
      </c>
      <c r="P74" s="151">
        <f t="shared" si="2"/>
        <v>0</v>
      </c>
      <c r="Q74" s="151"/>
    </row>
    <row r="75" spans="1:17" ht="13.5" customHeight="1" x14ac:dyDescent="0.15">
      <c r="A75" s="141"/>
      <c r="B75" s="149">
        <v>70</v>
      </c>
      <c r="C75" s="55"/>
      <c r="D75" s="55" t="str">
        <f>IF(烤漆色號編碼!C81="","-",烤漆色號編碼!C81)</f>
        <v>-</v>
      </c>
      <c r="E75" s="55" t="str">
        <f>IF(烤漆色號編碼!B81="","-",烤漆色號編碼!B81)</f>
        <v>-</v>
      </c>
      <c r="F75" s="55"/>
      <c r="G75" s="55"/>
      <c r="H75" s="55">
        <f t="shared" si="0"/>
        <v>0</v>
      </c>
      <c r="I75" s="141"/>
      <c r="J75" s="141"/>
      <c r="K75" s="148">
        <v>70</v>
      </c>
      <c r="L75" s="152" t="s">
        <v>367</v>
      </c>
      <c r="M75" s="152" t="s">
        <v>367</v>
      </c>
      <c r="N75" s="152" t="s">
        <v>367</v>
      </c>
      <c r="O75" s="152" t="s">
        <v>367</v>
      </c>
      <c r="P75" s="152">
        <f t="shared" si="2"/>
        <v>0</v>
      </c>
      <c r="Q75" s="152"/>
    </row>
    <row r="76" spans="1:17" ht="13.5" customHeight="1" x14ac:dyDescent="0.15">
      <c r="A76" s="141"/>
      <c r="B76" s="149">
        <v>71</v>
      </c>
      <c r="C76" s="55"/>
      <c r="D76" s="55" t="str">
        <f>IF(烤漆色號編碼!C82="","-",烤漆色號編碼!C82)</f>
        <v>-</v>
      </c>
      <c r="E76" s="55" t="str">
        <f>IF(烤漆色號編碼!B82="","-",烤漆色號編碼!B82)</f>
        <v>-</v>
      </c>
      <c r="F76" s="55"/>
      <c r="G76" s="55"/>
      <c r="H76" s="55">
        <f t="shared" si="0"/>
        <v>0</v>
      </c>
      <c r="I76" s="141"/>
      <c r="J76" s="141"/>
      <c r="K76" s="148">
        <v>71</v>
      </c>
      <c r="L76" s="151" t="s">
        <v>367</v>
      </c>
      <c r="M76" s="151" t="s">
        <v>367</v>
      </c>
      <c r="N76" s="151" t="s">
        <v>367</v>
      </c>
      <c r="O76" s="151" t="s">
        <v>367</v>
      </c>
      <c r="P76" s="151">
        <f t="shared" si="2"/>
        <v>0</v>
      </c>
      <c r="Q76" s="151"/>
    </row>
    <row r="77" spans="1:17" ht="13.5" customHeight="1" x14ac:dyDescent="0.15">
      <c r="A77" s="141"/>
      <c r="B77" s="149">
        <v>72</v>
      </c>
      <c r="C77" s="55"/>
      <c r="D77" s="55" t="str">
        <f>IF(烤漆色號編碼!C83="","-",烤漆色號編碼!C83)</f>
        <v>-</v>
      </c>
      <c r="E77" s="55" t="str">
        <f>IF(烤漆色號編碼!B83="","-",烤漆色號編碼!B83)</f>
        <v>-</v>
      </c>
      <c r="F77" s="55"/>
      <c r="G77" s="55"/>
      <c r="H77" s="55">
        <f t="shared" si="0"/>
        <v>0</v>
      </c>
      <c r="I77" s="141"/>
      <c r="J77" s="141"/>
      <c r="K77" s="148">
        <v>72</v>
      </c>
      <c r="L77" s="152" t="s">
        <v>367</v>
      </c>
      <c r="M77" s="152" t="s">
        <v>367</v>
      </c>
      <c r="N77" s="152" t="s">
        <v>367</v>
      </c>
      <c r="O77" s="152" t="s">
        <v>367</v>
      </c>
      <c r="P77" s="152">
        <f t="shared" si="2"/>
        <v>0</v>
      </c>
      <c r="Q77" s="152"/>
    </row>
    <row r="78" spans="1:17" ht="13.5" customHeight="1" x14ac:dyDescent="0.15">
      <c r="A78" s="141"/>
      <c r="B78" s="149">
        <v>73</v>
      </c>
      <c r="C78" s="55"/>
      <c r="D78" s="55" t="str">
        <f>IF(烤漆色號編碼!C84="","-",烤漆色號編碼!C84)</f>
        <v>-</v>
      </c>
      <c r="E78" s="55" t="str">
        <f>IF(烤漆色號編碼!B84="","-",烤漆色號編碼!B84)</f>
        <v>-</v>
      </c>
      <c r="F78" s="55"/>
      <c r="G78" s="55"/>
      <c r="H78" s="55">
        <f t="shared" si="0"/>
        <v>0</v>
      </c>
      <c r="I78" s="141"/>
      <c r="J78" s="141"/>
      <c r="K78" s="148">
        <v>73</v>
      </c>
      <c r="L78" s="151" t="s">
        <v>367</v>
      </c>
      <c r="M78" s="151" t="s">
        <v>367</v>
      </c>
      <c r="N78" s="151" t="s">
        <v>367</v>
      </c>
      <c r="O78" s="151" t="s">
        <v>367</v>
      </c>
      <c r="P78" s="151">
        <f t="shared" si="2"/>
        <v>0</v>
      </c>
      <c r="Q78" s="151"/>
    </row>
    <row r="79" spans="1:17" ht="13.5" customHeight="1" x14ac:dyDescent="0.15">
      <c r="A79" s="141"/>
      <c r="B79" s="149">
        <v>74</v>
      </c>
      <c r="C79" s="55"/>
      <c r="D79" s="55" t="str">
        <f>IF(烤漆色號編碼!C85="","-",烤漆色號編碼!C85)</f>
        <v>-</v>
      </c>
      <c r="E79" s="55" t="str">
        <f>IF(烤漆色號編碼!B85="","-",烤漆色號編碼!B85)</f>
        <v>-</v>
      </c>
      <c r="F79" s="55"/>
      <c r="G79" s="55"/>
      <c r="H79" s="55">
        <f t="shared" si="0"/>
        <v>0</v>
      </c>
      <c r="I79" s="141"/>
      <c r="J79" s="141"/>
      <c r="K79" s="148">
        <v>74</v>
      </c>
      <c r="L79" s="152" t="s">
        <v>367</v>
      </c>
      <c r="M79" s="152" t="s">
        <v>367</v>
      </c>
      <c r="N79" s="152" t="s">
        <v>367</v>
      </c>
      <c r="O79" s="152" t="s">
        <v>367</v>
      </c>
      <c r="P79" s="152">
        <f t="shared" si="2"/>
        <v>0</v>
      </c>
      <c r="Q79" s="152"/>
    </row>
    <row r="80" spans="1:17" ht="13.5" customHeight="1" x14ac:dyDescent="0.15">
      <c r="A80" s="141"/>
      <c r="B80" s="149">
        <v>75</v>
      </c>
      <c r="C80" s="55"/>
      <c r="D80" s="55" t="str">
        <f>IF(烤漆色號編碼!C86="","-",烤漆色號編碼!C86)</f>
        <v>-</v>
      </c>
      <c r="E80" s="55" t="str">
        <f>IF(烤漆色號編碼!B86="","-",烤漆色號編碼!B86)</f>
        <v>-</v>
      </c>
      <c r="F80" s="55"/>
      <c r="G80" s="55"/>
      <c r="H80" s="55">
        <f t="shared" si="0"/>
        <v>0</v>
      </c>
      <c r="I80" s="141"/>
      <c r="J80" s="141"/>
      <c r="K80" s="148">
        <v>75</v>
      </c>
      <c r="L80" s="151" t="s">
        <v>367</v>
      </c>
      <c r="M80" s="151" t="s">
        <v>367</v>
      </c>
      <c r="N80" s="151" t="s">
        <v>367</v>
      </c>
      <c r="O80" s="151" t="s">
        <v>367</v>
      </c>
      <c r="P80" s="151">
        <f t="shared" si="2"/>
        <v>0</v>
      </c>
      <c r="Q80" s="151"/>
    </row>
    <row r="81" spans="1:17" ht="13.5" customHeight="1" x14ac:dyDescent="0.15">
      <c r="A81" s="141"/>
      <c r="B81" s="149">
        <v>76</v>
      </c>
      <c r="C81" s="55"/>
      <c r="D81" s="55" t="str">
        <f>IF(烤漆色號編碼!C87="","-",烤漆色號編碼!C87)</f>
        <v>-</v>
      </c>
      <c r="E81" s="55" t="str">
        <f>IF(烤漆色號編碼!B87="","-",烤漆色號編碼!B87)</f>
        <v>-</v>
      </c>
      <c r="F81" s="55"/>
      <c r="G81" s="55"/>
      <c r="H81" s="55">
        <f t="shared" si="0"/>
        <v>0</v>
      </c>
      <c r="I81" s="141"/>
      <c r="J81" s="141"/>
      <c r="K81" s="148">
        <v>76</v>
      </c>
      <c r="L81" s="152" t="s">
        <v>367</v>
      </c>
      <c r="M81" s="152" t="s">
        <v>367</v>
      </c>
      <c r="N81" s="152" t="s">
        <v>367</v>
      </c>
      <c r="O81" s="152" t="s">
        <v>367</v>
      </c>
      <c r="P81" s="152">
        <f t="shared" si="2"/>
        <v>0</v>
      </c>
      <c r="Q81" s="152"/>
    </row>
    <row r="82" spans="1:17" ht="13.5" customHeight="1" x14ac:dyDescent="0.15">
      <c r="A82" s="141"/>
      <c r="B82" s="149">
        <v>77</v>
      </c>
      <c r="C82" s="55"/>
      <c r="D82" s="55" t="str">
        <f>IF(烤漆色號編碼!C88="","-",烤漆色號編碼!C88)</f>
        <v>-</v>
      </c>
      <c r="E82" s="55" t="str">
        <f>IF(烤漆色號編碼!B88="","-",烤漆色號編碼!B88)</f>
        <v>-</v>
      </c>
      <c r="F82" s="55"/>
      <c r="G82" s="55"/>
      <c r="H82" s="55">
        <f t="shared" si="0"/>
        <v>0</v>
      </c>
      <c r="I82" s="141"/>
      <c r="J82" s="141"/>
      <c r="K82" s="148">
        <v>77</v>
      </c>
      <c r="L82" s="151" t="s">
        <v>367</v>
      </c>
      <c r="M82" s="151" t="s">
        <v>367</v>
      </c>
      <c r="N82" s="151" t="s">
        <v>367</v>
      </c>
      <c r="O82" s="151" t="s">
        <v>367</v>
      </c>
      <c r="P82" s="151">
        <f t="shared" si="2"/>
        <v>0</v>
      </c>
      <c r="Q82" s="151"/>
    </row>
    <row r="83" spans="1:17" ht="13.5" customHeight="1" x14ac:dyDescent="0.15">
      <c r="A83" s="141"/>
      <c r="B83" s="149">
        <v>78</v>
      </c>
      <c r="C83" s="55"/>
      <c r="D83" s="55" t="str">
        <f>IF(烤漆色號編碼!C89="","-",烤漆色號編碼!C89)</f>
        <v>-</v>
      </c>
      <c r="E83" s="55" t="str">
        <f>IF(烤漆色號編碼!B89="","-",烤漆色號編碼!B89)</f>
        <v>-</v>
      </c>
      <c r="F83" s="55"/>
      <c r="G83" s="55"/>
      <c r="H83" s="55">
        <f t="shared" si="0"/>
        <v>0</v>
      </c>
      <c r="I83" s="141"/>
      <c r="J83" s="141"/>
      <c r="K83" s="148">
        <v>78</v>
      </c>
      <c r="L83" s="152" t="s">
        <v>367</v>
      </c>
      <c r="M83" s="152" t="s">
        <v>367</v>
      </c>
      <c r="N83" s="152" t="s">
        <v>367</v>
      </c>
      <c r="O83" s="152" t="s">
        <v>367</v>
      </c>
      <c r="P83" s="152">
        <f t="shared" si="2"/>
        <v>0</v>
      </c>
      <c r="Q83" s="152"/>
    </row>
    <row r="84" spans="1:17" ht="13.5" customHeight="1" x14ac:dyDescent="0.15">
      <c r="A84" s="141"/>
      <c r="B84" s="149">
        <v>79</v>
      </c>
      <c r="C84" s="55"/>
      <c r="D84" s="55" t="str">
        <f>IF(烤漆色號編碼!C90="","-",烤漆色號編碼!C90)</f>
        <v>-</v>
      </c>
      <c r="E84" s="55" t="str">
        <f>IF(烤漆色號編碼!B90="","-",烤漆色號編碼!B90)</f>
        <v>-</v>
      </c>
      <c r="F84" s="55"/>
      <c r="G84" s="55"/>
      <c r="H84" s="55">
        <f t="shared" si="0"/>
        <v>0</v>
      </c>
      <c r="I84" s="141"/>
      <c r="J84" s="141"/>
      <c r="K84" s="148">
        <v>79</v>
      </c>
      <c r="L84" s="151" t="s">
        <v>367</v>
      </c>
      <c r="M84" s="151" t="s">
        <v>367</v>
      </c>
      <c r="N84" s="151" t="s">
        <v>367</v>
      </c>
      <c r="O84" s="151" t="s">
        <v>367</v>
      </c>
      <c r="P84" s="151"/>
      <c r="Q84" s="151"/>
    </row>
    <row r="85" spans="1:17" ht="13.5" customHeight="1" x14ac:dyDescent="0.15">
      <c r="A85" s="141"/>
      <c r="B85" s="149">
        <v>80</v>
      </c>
      <c r="C85" s="55"/>
      <c r="D85" s="55" t="str">
        <f>IF(烤漆色號編碼!C91="","-",烤漆色號編碼!C91)</f>
        <v>-</v>
      </c>
      <c r="E85" s="55" t="str">
        <f>IF(烤漆色號編碼!B91="","-",烤漆色號編碼!B91)</f>
        <v>-</v>
      </c>
      <c r="F85" s="55"/>
      <c r="G85" s="55"/>
      <c r="H85" s="55">
        <f t="shared" si="0"/>
        <v>0</v>
      </c>
      <c r="I85" s="141"/>
      <c r="J85" s="141"/>
      <c r="K85" s="141"/>
      <c r="L85" s="141"/>
      <c r="M85" s="141"/>
      <c r="N85" s="141"/>
      <c r="O85" s="141"/>
      <c r="P85" s="141"/>
      <c r="Q85" s="141"/>
    </row>
    <row r="86" spans="1:17" ht="13.5" customHeight="1" x14ac:dyDescent="0.15">
      <c r="A86" s="141"/>
      <c r="B86" s="149">
        <v>81</v>
      </c>
      <c r="C86" s="55"/>
      <c r="D86" s="55" t="str">
        <f>IF(烤漆色號編碼!C92="","-",烤漆色號編碼!C92)</f>
        <v>-</v>
      </c>
      <c r="E86" s="55" t="str">
        <f>IF(烤漆色號編碼!B92="","-",烤漆色號編碼!B92)</f>
        <v>-</v>
      </c>
      <c r="F86" s="55"/>
      <c r="G86" s="55"/>
      <c r="H86" s="55">
        <f t="shared" si="0"/>
        <v>0</v>
      </c>
      <c r="I86" s="141"/>
      <c r="J86" s="141"/>
      <c r="K86" s="141"/>
      <c r="L86" s="141"/>
      <c r="M86" s="141"/>
      <c r="N86" s="141"/>
      <c r="O86" s="141"/>
      <c r="P86" s="141"/>
      <c r="Q86" s="141"/>
    </row>
    <row r="87" spans="1:17" ht="13.5" customHeight="1" x14ac:dyDescent="0.15">
      <c r="A87" s="141"/>
      <c r="B87" s="149">
        <v>82</v>
      </c>
      <c r="C87" s="55"/>
      <c r="D87" s="55" t="str">
        <f>IF(烤漆色號編碼!C93="","-",烤漆色號編碼!C93)</f>
        <v>-</v>
      </c>
      <c r="E87" s="55" t="str">
        <f>IF(烤漆色號編碼!B93="","-",烤漆色號編碼!B93)</f>
        <v>-</v>
      </c>
      <c r="F87" s="55"/>
      <c r="G87" s="55"/>
      <c r="H87" s="55">
        <f t="shared" si="0"/>
        <v>0</v>
      </c>
      <c r="I87" s="141"/>
      <c r="J87" s="141"/>
      <c r="K87" s="141"/>
      <c r="L87" s="141"/>
      <c r="M87" s="141"/>
      <c r="N87" s="141"/>
      <c r="O87" s="141"/>
      <c r="P87" s="141"/>
      <c r="Q87" s="141"/>
    </row>
    <row r="88" spans="1:17" ht="13.5" customHeight="1" x14ac:dyDescent="0.15">
      <c r="A88" s="141"/>
      <c r="B88" s="149">
        <v>83</v>
      </c>
      <c r="C88" s="55"/>
      <c r="D88" s="55" t="str">
        <f>IF(烤漆色號編碼!C94="","-",烤漆色號編碼!C94)</f>
        <v>-</v>
      </c>
      <c r="E88" s="55" t="str">
        <f>IF(烤漆色號編碼!B94="","-",烤漆色號編碼!B94)</f>
        <v>-</v>
      </c>
      <c r="F88" s="55"/>
      <c r="G88" s="55"/>
      <c r="H88" s="55">
        <f t="shared" ref="H88:H205" si="3">IFERROR((F88*25)+G88,"-")</f>
        <v>0</v>
      </c>
      <c r="I88" s="141"/>
      <c r="J88" s="141"/>
      <c r="K88" s="141"/>
      <c r="L88" s="141"/>
      <c r="M88" s="141"/>
      <c r="N88" s="141"/>
      <c r="O88" s="141"/>
      <c r="P88" s="141"/>
      <c r="Q88" s="141"/>
    </row>
    <row r="89" spans="1:17" ht="13.5" customHeight="1" x14ac:dyDescent="0.15">
      <c r="A89" s="141"/>
      <c r="B89" s="149">
        <v>84</v>
      </c>
      <c r="C89" s="55"/>
      <c r="D89" s="55" t="str">
        <f>IF(烤漆色號編碼!C95="","-",烤漆色號編碼!C95)</f>
        <v>-</v>
      </c>
      <c r="E89" s="55" t="str">
        <f>IF(烤漆色號編碼!B95="","-",烤漆色號編碼!B95)</f>
        <v>-</v>
      </c>
      <c r="F89" s="55"/>
      <c r="G89" s="55"/>
      <c r="H89" s="55">
        <f t="shared" si="3"/>
        <v>0</v>
      </c>
      <c r="I89" s="141"/>
      <c r="J89" s="141"/>
      <c r="K89" s="141"/>
      <c r="L89" s="141"/>
      <c r="M89" s="141"/>
      <c r="N89" s="141"/>
      <c r="O89" s="141"/>
      <c r="P89" s="141"/>
      <c r="Q89" s="141"/>
    </row>
    <row r="90" spans="1:17" ht="13.5" customHeight="1" x14ac:dyDescent="0.15">
      <c r="A90" s="141"/>
      <c r="B90" s="149">
        <v>85</v>
      </c>
      <c r="C90" s="55"/>
      <c r="D90" s="55" t="str">
        <f>IF(烤漆色號編碼!C96="","-",烤漆色號編碼!C96)</f>
        <v>-</v>
      </c>
      <c r="E90" s="55" t="str">
        <f>IF(烤漆色號編碼!B96="","-",烤漆色號編碼!B96)</f>
        <v>-</v>
      </c>
      <c r="F90" s="55"/>
      <c r="G90" s="55"/>
      <c r="H90" s="55">
        <f t="shared" si="3"/>
        <v>0</v>
      </c>
      <c r="I90" s="141"/>
      <c r="J90" s="141"/>
      <c r="K90" s="141"/>
      <c r="L90" s="141"/>
      <c r="M90" s="141"/>
      <c r="N90" s="141"/>
      <c r="O90" s="141"/>
      <c r="P90" s="141"/>
      <c r="Q90" s="141"/>
    </row>
    <row r="91" spans="1:17" ht="13.5" customHeight="1" x14ac:dyDescent="0.15">
      <c r="A91" s="141"/>
      <c r="B91" s="149">
        <v>86</v>
      </c>
      <c r="C91" s="55"/>
      <c r="D91" s="55" t="str">
        <f>IF(烤漆色號編碼!C97="","-",烤漆色號編碼!C97)</f>
        <v>-</v>
      </c>
      <c r="E91" s="55" t="str">
        <f>IF(烤漆色號編碼!B97="","-",烤漆色號編碼!B97)</f>
        <v>-</v>
      </c>
      <c r="F91" s="55"/>
      <c r="G91" s="55"/>
      <c r="H91" s="55">
        <f t="shared" si="3"/>
        <v>0</v>
      </c>
      <c r="I91" s="141"/>
      <c r="J91" s="141"/>
      <c r="K91" s="141"/>
      <c r="L91" s="141"/>
      <c r="M91" s="141"/>
      <c r="N91" s="141"/>
      <c r="O91" s="141"/>
      <c r="P91" s="141"/>
      <c r="Q91" s="141"/>
    </row>
    <row r="92" spans="1:17" ht="13.5" customHeight="1" x14ac:dyDescent="0.15">
      <c r="A92" s="141"/>
      <c r="B92" s="149">
        <v>87</v>
      </c>
      <c r="C92" s="55"/>
      <c r="D92" s="55" t="str">
        <f>IF(烤漆色號編碼!C98="","-",烤漆色號編碼!C98)</f>
        <v>-</v>
      </c>
      <c r="E92" s="55" t="str">
        <f>IF(烤漆色號編碼!B98="","-",烤漆色號編碼!B98)</f>
        <v>-</v>
      </c>
      <c r="F92" s="55"/>
      <c r="G92" s="55"/>
      <c r="H92" s="55">
        <f t="shared" si="3"/>
        <v>0</v>
      </c>
      <c r="I92" s="141"/>
      <c r="J92" s="141"/>
      <c r="K92" s="141"/>
      <c r="L92" s="141"/>
      <c r="M92" s="141"/>
      <c r="N92" s="141"/>
      <c r="O92" s="141"/>
      <c r="P92" s="141"/>
      <c r="Q92" s="141"/>
    </row>
    <row r="93" spans="1:17" ht="13.5" customHeight="1" x14ac:dyDescent="0.15">
      <c r="A93" s="141"/>
      <c r="B93" s="149">
        <v>88</v>
      </c>
      <c r="C93" s="55"/>
      <c r="D93" s="55" t="str">
        <f>IF(烤漆色號編碼!C99="","-",烤漆色號編碼!C99)</f>
        <v>-</v>
      </c>
      <c r="E93" s="55" t="str">
        <f>IF(烤漆色號編碼!B99="","-",烤漆色號編碼!B99)</f>
        <v>-</v>
      </c>
      <c r="F93" s="55"/>
      <c r="G93" s="55"/>
      <c r="H93" s="55">
        <f t="shared" si="3"/>
        <v>0</v>
      </c>
      <c r="I93" s="141"/>
      <c r="J93" s="141"/>
      <c r="K93" s="141"/>
      <c r="L93" s="141"/>
      <c r="M93" s="141"/>
      <c r="N93" s="141"/>
      <c r="O93" s="141"/>
      <c r="P93" s="141"/>
      <c r="Q93" s="141"/>
    </row>
    <row r="94" spans="1:17" ht="13.5" customHeight="1" x14ac:dyDescent="0.15">
      <c r="A94" s="141"/>
      <c r="B94" s="149">
        <v>89</v>
      </c>
      <c r="C94" s="55"/>
      <c r="D94" s="55" t="str">
        <f>IF(烤漆色號編碼!C100="","-",烤漆色號編碼!C100)</f>
        <v>-</v>
      </c>
      <c r="E94" s="55" t="str">
        <f>IF(烤漆色號編碼!B100="","-",烤漆色號編碼!B100)</f>
        <v>-</v>
      </c>
      <c r="F94" s="55"/>
      <c r="G94" s="55"/>
      <c r="H94" s="55">
        <f t="shared" si="3"/>
        <v>0</v>
      </c>
      <c r="I94" s="141"/>
      <c r="J94" s="141"/>
      <c r="K94" s="141"/>
      <c r="L94" s="141"/>
      <c r="M94" s="141"/>
      <c r="N94" s="141"/>
      <c r="O94" s="141"/>
      <c r="P94" s="141"/>
      <c r="Q94" s="141"/>
    </row>
    <row r="95" spans="1:17" ht="13.5" customHeight="1" x14ac:dyDescent="0.15">
      <c r="A95" s="141"/>
      <c r="B95" s="149">
        <v>90</v>
      </c>
      <c r="C95" s="55"/>
      <c r="D95" s="55" t="str">
        <f>IF(烤漆色號編碼!C101="","-",烤漆色號編碼!C101)</f>
        <v>-</v>
      </c>
      <c r="E95" s="55" t="str">
        <f>IF(烤漆色號編碼!B101="","-",烤漆色號編碼!B101)</f>
        <v>-</v>
      </c>
      <c r="F95" s="55"/>
      <c r="G95" s="55"/>
      <c r="H95" s="55">
        <f t="shared" si="3"/>
        <v>0</v>
      </c>
      <c r="I95" s="141"/>
      <c r="J95" s="141"/>
      <c r="K95" s="141"/>
      <c r="L95" s="141"/>
      <c r="M95" s="141"/>
      <c r="N95" s="141"/>
      <c r="O95" s="141"/>
      <c r="P95" s="141"/>
      <c r="Q95" s="141"/>
    </row>
    <row r="96" spans="1:17" ht="13.5" customHeight="1" x14ac:dyDescent="0.15">
      <c r="A96" s="141"/>
      <c r="B96" s="149">
        <v>91</v>
      </c>
      <c r="C96" s="55"/>
      <c r="D96" s="55" t="str">
        <f>IF(烤漆色號編碼!C102="","-",烤漆色號編碼!C102)</f>
        <v>-</v>
      </c>
      <c r="E96" s="55" t="str">
        <f>IF(烤漆色號編碼!B102="","-",烤漆色號編碼!B102)</f>
        <v>-</v>
      </c>
      <c r="F96" s="55"/>
      <c r="G96" s="55"/>
      <c r="H96" s="55">
        <f t="shared" si="3"/>
        <v>0</v>
      </c>
      <c r="I96" s="141"/>
      <c r="J96" s="141"/>
      <c r="K96" s="141"/>
      <c r="L96" s="141"/>
      <c r="M96" s="141"/>
      <c r="N96" s="141"/>
      <c r="O96" s="141"/>
      <c r="P96" s="141"/>
      <c r="Q96" s="141"/>
    </row>
    <row r="97" spans="1:17" ht="13.5" customHeight="1" x14ac:dyDescent="0.15">
      <c r="A97" s="141"/>
      <c r="B97" s="149">
        <v>92</v>
      </c>
      <c r="C97" s="55"/>
      <c r="D97" s="55" t="str">
        <f>IF(烤漆色號編碼!C103="","-",烤漆色號編碼!C103)</f>
        <v>-</v>
      </c>
      <c r="E97" s="55" t="str">
        <f>IF(烤漆色號編碼!B103="","-",烤漆色號編碼!B103)</f>
        <v>-</v>
      </c>
      <c r="F97" s="55"/>
      <c r="G97" s="55"/>
      <c r="H97" s="55">
        <f t="shared" si="3"/>
        <v>0</v>
      </c>
      <c r="I97" s="141"/>
      <c r="J97" s="141"/>
      <c r="K97" s="141"/>
      <c r="L97" s="141"/>
      <c r="M97" s="141"/>
      <c r="N97" s="141"/>
      <c r="O97" s="141"/>
      <c r="P97" s="141"/>
      <c r="Q97" s="141"/>
    </row>
    <row r="98" spans="1:17" ht="13.5" customHeight="1" x14ac:dyDescent="0.15">
      <c r="A98" s="141"/>
      <c r="B98" s="149">
        <v>93</v>
      </c>
      <c r="C98" s="55"/>
      <c r="D98" s="55" t="str">
        <f>IF(烤漆色號編碼!C104="","-",烤漆色號編碼!C104)</f>
        <v>-</v>
      </c>
      <c r="E98" s="55" t="str">
        <f>IF(烤漆色號編碼!B104="","-",烤漆色號編碼!B104)</f>
        <v>-</v>
      </c>
      <c r="F98" s="55"/>
      <c r="G98" s="55"/>
      <c r="H98" s="55">
        <f t="shared" si="3"/>
        <v>0</v>
      </c>
      <c r="I98" s="141"/>
      <c r="J98" s="141"/>
      <c r="K98" s="141"/>
      <c r="L98" s="141"/>
      <c r="M98" s="141"/>
      <c r="N98" s="141"/>
      <c r="O98" s="141"/>
      <c r="P98" s="141"/>
      <c r="Q98" s="141"/>
    </row>
    <row r="99" spans="1:17" ht="13.5" customHeight="1" x14ac:dyDescent="0.15">
      <c r="A99" s="141"/>
      <c r="B99" s="149">
        <v>94</v>
      </c>
      <c r="C99" s="55"/>
      <c r="D99" s="55" t="str">
        <f>IF(烤漆色號編碼!C105="","-",烤漆色號編碼!C105)</f>
        <v>-</v>
      </c>
      <c r="E99" s="55" t="str">
        <f>IF(烤漆色號編碼!B105="","-",烤漆色號編碼!B105)</f>
        <v>-</v>
      </c>
      <c r="F99" s="55"/>
      <c r="G99" s="55"/>
      <c r="H99" s="55">
        <f t="shared" si="3"/>
        <v>0</v>
      </c>
      <c r="I99" s="141"/>
      <c r="J99" s="141"/>
      <c r="K99" s="141"/>
      <c r="L99" s="141"/>
      <c r="M99" s="141"/>
      <c r="N99" s="141"/>
      <c r="O99" s="141"/>
      <c r="P99" s="141"/>
      <c r="Q99" s="141"/>
    </row>
    <row r="100" spans="1:17" ht="13.5" customHeight="1" x14ac:dyDescent="0.15">
      <c r="A100" s="141"/>
      <c r="B100" s="149">
        <v>95</v>
      </c>
      <c r="C100" s="55"/>
      <c r="D100" s="55" t="str">
        <f>IF(烤漆色號編碼!C106="","-",烤漆色號編碼!C106)</f>
        <v>-</v>
      </c>
      <c r="E100" s="55" t="str">
        <f>IF(烤漆色號編碼!B106="","-",烤漆色號編碼!B106)</f>
        <v>-</v>
      </c>
      <c r="F100" s="55"/>
      <c r="G100" s="55"/>
      <c r="H100" s="55">
        <f t="shared" si="3"/>
        <v>0</v>
      </c>
      <c r="I100" s="141"/>
      <c r="J100" s="141"/>
      <c r="K100" s="141"/>
      <c r="L100" s="141"/>
      <c r="M100" s="141"/>
      <c r="N100" s="141"/>
      <c r="O100" s="141"/>
      <c r="P100" s="141"/>
      <c r="Q100" s="141"/>
    </row>
    <row r="101" spans="1:17" ht="13.5" customHeight="1" x14ac:dyDescent="0.15">
      <c r="A101" s="141"/>
      <c r="B101" s="149">
        <v>96</v>
      </c>
      <c r="C101" s="55"/>
      <c r="D101" s="55" t="str">
        <f>IF(烤漆色號編碼!C107="","-",烤漆色號編碼!C107)</f>
        <v>-</v>
      </c>
      <c r="E101" s="55" t="str">
        <f>IF(烤漆色號編碼!B107="","-",烤漆色號編碼!B107)</f>
        <v>-</v>
      </c>
      <c r="F101" s="55"/>
      <c r="G101" s="55"/>
      <c r="H101" s="55">
        <f t="shared" si="3"/>
        <v>0</v>
      </c>
      <c r="I101" s="141"/>
      <c r="J101" s="141"/>
      <c r="K101" s="141"/>
      <c r="L101" s="141"/>
      <c r="M101" s="141"/>
      <c r="N101" s="141"/>
      <c r="O101" s="141"/>
      <c r="P101" s="141"/>
      <c r="Q101" s="141"/>
    </row>
    <row r="102" spans="1:17" ht="13.5" customHeight="1" x14ac:dyDescent="0.15">
      <c r="A102" s="141"/>
      <c r="B102" s="149">
        <v>97</v>
      </c>
      <c r="C102" s="55"/>
      <c r="D102" s="55" t="str">
        <f>IF(烤漆色號編碼!C108="","-",烤漆色號編碼!C108)</f>
        <v>-</v>
      </c>
      <c r="E102" s="55" t="str">
        <f>IF(烤漆色號編碼!B108="","-",烤漆色號編碼!B108)</f>
        <v>-</v>
      </c>
      <c r="F102" s="55"/>
      <c r="G102" s="55"/>
      <c r="H102" s="55">
        <f t="shared" si="3"/>
        <v>0</v>
      </c>
      <c r="I102" s="141"/>
      <c r="J102" s="141"/>
      <c r="K102" s="141"/>
      <c r="L102" s="141"/>
      <c r="M102" s="141"/>
      <c r="N102" s="141"/>
      <c r="O102" s="141"/>
      <c r="P102" s="141"/>
      <c r="Q102" s="141"/>
    </row>
    <row r="103" spans="1:17" ht="13.5" customHeight="1" x14ac:dyDescent="0.15">
      <c r="A103" s="141"/>
      <c r="B103" s="149">
        <v>98</v>
      </c>
      <c r="C103" s="55"/>
      <c r="D103" s="55" t="str">
        <f>IF(烤漆色號編碼!C109="","-",烤漆色號編碼!C109)</f>
        <v>-</v>
      </c>
      <c r="E103" s="55" t="str">
        <f>IF(烤漆色號編碼!B109="","-",烤漆色號編碼!B109)</f>
        <v>-</v>
      </c>
      <c r="F103" s="55"/>
      <c r="G103" s="55"/>
      <c r="H103" s="55">
        <f t="shared" si="3"/>
        <v>0</v>
      </c>
      <c r="I103" s="141"/>
      <c r="J103" s="141"/>
      <c r="K103" s="141"/>
      <c r="L103" s="141"/>
      <c r="M103" s="141"/>
      <c r="N103" s="141"/>
      <c r="O103" s="141"/>
      <c r="P103" s="141"/>
      <c r="Q103" s="141"/>
    </row>
    <row r="104" spans="1:17" ht="13.5" customHeight="1" x14ac:dyDescent="0.15">
      <c r="A104" s="141"/>
      <c r="B104" s="149">
        <v>99</v>
      </c>
      <c r="C104" s="55"/>
      <c r="D104" s="55" t="str">
        <f>IF(烤漆色號編碼!C110="","-",烤漆色號編碼!C110)</f>
        <v>-</v>
      </c>
      <c r="E104" s="55" t="str">
        <f>IF(烤漆色號編碼!B110="","-",烤漆色號編碼!B110)</f>
        <v>-</v>
      </c>
      <c r="F104" s="55"/>
      <c r="G104" s="55"/>
      <c r="H104" s="55">
        <f t="shared" si="3"/>
        <v>0</v>
      </c>
      <c r="I104" s="141"/>
      <c r="J104" s="141"/>
      <c r="K104" s="141"/>
      <c r="L104" s="141"/>
      <c r="M104" s="141"/>
      <c r="N104" s="141"/>
      <c r="O104" s="141"/>
      <c r="P104" s="141"/>
      <c r="Q104" s="141"/>
    </row>
    <row r="105" spans="1:17" ht="13.5" customHeight="1" x14ac:dyDescent="0.15">
      <c r="A105" s="141"/>
      <c r="B105" s="149">
        <v>100</v>
      </c>
      <c r="C105" s="55"/>
      <c r="D105" s="55" t="str">
        <f>IF(烤漆色號編碼!C111="","-",烤漆色號編碼!C111)</f>
        <v>-</v>
      </c>
      <c r="E105" s="55" t="str">
        <f>IF(烤漆色號編碼!B111="","-",烤漆色號編碼!B111)</f>
        <v>-</v>
      </c>
      <c r="F105" s="55"/>
      <c r="G105" s="55"/>
      <c r="H105" s="55">
        <f t="shared" si="3"/>
        <v>0</v>
      </c>
      <c r="I105" s="141"/>
      <c r="J105" s="141"/>
      <c r="K105" s="141"/>
      <c r="L105" s="141"/>
      <c r="M105" s="141"/>
      <c r="N105" s="141"/>
      <c r="O105" s="141"/>
      <c r="P105" s="141"/>
      <c r="Q105" s="141"/>
    </row>
    <row r="106" spans="1:17" ht="13.5" customHeight="1" x14ac:dyDescent="0.15">
      <c r="A106" s="141"/>
      <c r="B106" s="149">
        <v>101</v>
      </c>
      <c r="C106" s="55"/>
      <c r="D106" s="55" t="str">
        <f>IF(烤漆色號編碼!C112="","-",烤漆色號編碼!C112)</f>
        <v>-</v>
      </c>
      <c r="E106" s="55" t="str">
        <f>IF(烤漆色號編碼!B112="","-",烤漆色號編碼!B112)</f>
        <v>-</v>
      </c>
      <c r="F106" s="55"/>
      <c r="G106" s="55"/>
      <c r="H106" s="55">
        <f t="shared" si="3"/>
        <v>0</v>
      </c>
      <c r="I106" s="141"/>
      <c r="J106" s="141"/>
      <c r="K106" s="141"/>
      <c r="L106" s="141"/>
      <c r="M106" s="141"/>
      <c r="N106" s="141"/>
      <c r="O106" s="141"/>
      <c r="P106" s="141"/>
      <c r="Q106" s="141"/>
    </row>
    <row r="107" spans="1:17" ht="13.5" customHeight="1" x14ac:dyDescent="0.15">
      <c r="A107" s="141"/>
      <c r="B107" s="149">
        <v>102</v>
      </c>
      <c r="C107" s="55"/>
      <c r="D107" s="55" t="str">
        <f>IF(烤漆色號編碼!C113="","-",烤漆色號編碼!C113)</f>
        <v>-</v>
      </c>
      <c r="E107" s="55" t="str">
        <f>IF(烤漆色號編碼!B113="","-",烤漆色號編碼!B113)</f>
        <v>-</v>
      </c>
      <c r="F107" s="55"/>
      <c r="G107" s="55"/>
      <c r="H107" s="55">
        <f t="shared" si="3"/>
        <v>0</v>
      </c>
      <c r="I107" s="141"/>
      <c r="J107" s="141"/>
      <c r="K107" s="141"/>
      <c r="L107" s="141"/>
      <c r="M107" s="141"/>
      <c r="N107" s="141"/>
      <c r="O107" s="141"/>
      <c r="P107" s="141"/>
      <c r="Q107" s="141"/>
    </row>
    <row r="108" spans="1:17" ht="13.5" customHeight="1" x14ac:dyDescent="0.15">
      <c r="A108" s="141"/>
      <c r="B108" s="149">
        <v>103</v>
      </c>
      <c r="C108" s="55"/>
      <c r="D108" s="55" t="str">
        <f>IF(烤漆色號編碼!C114="","-",烤漆色號編碼!C114)</f>
        <v>-</v>
      </c>
      <c r="E108" s="55" t="str">
        <f>IF(烤漆色號編碼!B114="","-",烤漆色號編碼!B114)</f>
        <v>-</v>
      </c>
      <c r="F108" s="55"/>
      <c r="G108" s="55"/>
      <c r="H108" s="55">
        <f t="shared" si="3"/>
        <v>0</v>
      </c>
      <c r="I108" s="141"/>
      <c r="J108" s="141"/>
      <c r="K108" s="141"/>
      <c r="L108" s="141"/>
      <c r="M108" s="141"/>
      <c r="N108" s="141"/>
      <c r="O108" s="141"/>
      <c r="P108" s="141"/>
      <c r="Q108" s="141"/>
    </row>
    <row r="109" spans="1:17" ht="13.5" customHeight="1" x14ac:dyDescent="0.15">
      <c r="A109" s="141"/>
      <c r="B109" s="149">
        <v>104</v>
      </c>
      <c r="C109" s="55"/>
      <c r="D109" s="55" t="str">
        <f>IF(烤漆色號編碼!C115="","-",烤漆色號編碼!C115)</f>
        <v>-</v>
      </c>
      <c r="E109" s="55" t="str">
        <f>IF(烤漆色號編碼!B115="","-",烤漆色號編碼!B115)</f>
        <v>-</v>
      </c>
      <c r="F109" s="55"/>
      <c r="G109" s="55"/>
      <c r="H109" s="55">
        <f t="shared" si="3"/>
        <v>0</v>
      </c>
      <c r="I109" s="141"/>
      <c r="J109" s="141"/>
      <c r="K109" s="141"/>
      <c r="L109" s="141"/>
      <c r="M109" s="141"/>
      <c r="N109" s="141"/>
      <c r="O109" s="141"/>
      <c r="P109" s="141"/>
      <c r="Q109" s="141"/>
    </row>
    <row r="110" spans="1:17" ht="13.5" customHeight="1" x14ac:dyDescent="0.15">
      <c r="A110" s="141"/>
      <c r="B110" s="149">
        <v>105</v>
      </c>
      <c r="C110" s="55"/>
      <c r="D110" s="55" t="str">
        <f>IF(烤漆色號編碼!C116="","-",烤漆色號編碼!C116)</f>
        <v>-</v>
      </c>
      <c r="E110" s="55" t="str">
        <f>IF(烤漆色號編碼!B116="","-",烤漆色號編碼!B116)</f>
        <v>-</v>
      </c>
      <c r="F110" s="55"/>
      <c r="G110" s="55"/>
      <c r="H110" s="55">
        <f t="shared" si="3"/>
        <v>0</v>
      </c>
      <c r="I110" s="141"/>
      <c r="J110" s="141"/>
      <c r="K110" s="141"/>
      <c r="L110" s="141"/>
      <c r="M110" s="141"/>
      <c r="N110" s="141"/>
      <c r="O110" s="141"/>
      <c r="P110" s="141"/>
      <c r="Q110" s="141"/>
    </row>
    <row r="111" spans="1:17" ht="13.5" customHeight="1" x14ac:dyDescent="0.15">
      <c r="A111" s="141"/>
      <c r="B111" s="149">
        <v>106</v>
      </c>
      <c r="C111" s="55"/>
      <c r="D111" s="55" t="str">
        <f>IF(烤漆色號編碼!C117="","-",烤漆色號編碼!C117)</f>
        <v>-</v>
      </c>
      <c r="E111" s="55" t="str">
        <f>IF(烤漆色號編碼!B117="","-",烤漆色號編碼!B117)</f>
        <v>-</v>
      </c>
      <c r="F111" s="55"/>
      <c r="G111" s="55"/>
      <c r="H111" s="55">
        <f t="shared" si="3"/>
        <v>0</v>
      </c>
      <c r="I111" s="141"/>
      <c r="J111" s="141"/>
      <c r="K111" s="141"/>
      <c r="L111" s="141"/>
      <c r="M111" s="141"/>
      <c r="N111" s="141"/>
      <c r="O111" s="141"/>
      <c r="P111" s="141"/>
      <c r="Q111" s="141"/>
    </row>
    <row r="112" spans="1:17" ht="13.5" customHeight="1" x14ac:dyDescent="0.15">
      <c r="A112" s="141"/>
      <c r="B112" s="149">
        <v>107</v>
      </c>
      <c r="C112" s="55"/>
      <c r="D112" s="55" t="str">
        <f>IF(烤漆色號編碼!C118="","-",烤漆色號編碼!C118)</f>
        <v>-</v>
      </c>
      <c r="E112" s="55" t="str">
        <f>IF(烤漆色號編碼!B118="","-",烤漆色號編碼!B118)</f>
        <v>-</v>
      </c>
      <c r="F112" s="55"/>
      <c r="G112" s="55"/>
      <c r="H112" s="55">
        <f t="shared" si="3"/>
        <v>0</v>
      </c>
      <c r="I112" s="141"/>
      <c r="J112" s="141"/>
      <c r="K112" s="141"/>
      <c r="L112" s="141"/>
      <c r="M112" s="141"/>
      <c r="N112" s="141"/>
      <c r="O112" s="141"/>
      <c r="P112" s="141"/>
      <c r="Q112" s="141"/>
    </row>
    <row r="113" spans="1:17" ht="13.5" customHeight="1" x14ac:dyDescent="0.15">
      <c r="A113" s="141"/>
      <c r="B113" s="149">
        <v>108</v>
      </c>
      <c r="C113" s="55"/>
      <c r="D113" s="55" t="str">
        <f>IF(烤漆色號編碼!C119="","-",烤漆色號編碼!C119)</f>
        <v>-</v>
      </c>
      <c r="E113" s="55" t="str">
        <f>IF(烤漆色號編碼!B119="","-",烤漆色號編碼!B119)</f>
        <v>-</v>
      </c>
      <c r="F113" s="55"/>
      <c r="G113" s="55"/>
      <c r="H113" s="55">
        <f t="shared" si="3"/>
        <v>0</v>
      </c>
      <c r="I113" s="141"/>
      <c r="J113" s="141"/>
      <c r="K113" s="141"/>
      <c r="L113" s="141"/>
      <c r="M113" s="141"/>
      <c r="N113" s="141"/>
      <c r="O113" s="141"/>
      <c r="P113" s="141"/>
      <c r="Q113" s="141"/>
    </row>
    <row r="114" spans="1:17" ht="13.5" customHeight="1" x14ac:dyDescent="0.15">
      <c r="A114" s="141"/>
      <c r="B114" s="149">
        <v>109</v>
      </c>
      <c r="C114" s="55"/>
      <c r="D114" s="55" t="str">
        <f>IF(烤漆色號編碼!C120="","-",烤漆色號編碼!C120)</f>
        <v>-</v>
      </c>
      <c r="E114" s="55" t="str">
        <f>IF(烤漆色號編碼!B120="","-",烤漆色號編碼!B120)</f>
        <v>-</v>
      </c>
      <c r="F114" s="55"/>
      <c r="G114" s="55"/>
      <c r="H114" s="55">
        <f t="shared" si="3"/>
        <v>0</v>
      </c>
      <c r="I114" s="141"/>
      <c r="J114" s="141"/>
      <c r="K114" s="141"/>
      <c r="L114" s="141"/>
      <c r="M114" s="141"/>
      <c r="N114" s="141"/>
      <c r="O114" s="141"/>
      <c r="P114" s="141"/>
      <c r="Q114" s="141"/>
    </row>
    <row r="115" spans="1:17" ht="13.5" customHeight="1" x14ac:dyDescent="0.15">
      <c r="A115" s="141"/>
      <c r="B115" s="149">
        <v>110</v>
      </c>
      <c r="C115" s="55"/>
      <c r="D115" s="55" t="str">
        <f>IF(烤漆色號編碼!C121="","-",烤漆色號編碼!C121)</f>
        <v>-</v>
      </c>
      <c r="E115" s="55" t="str">
        <f>IF(烤漆色號編碼!B121="","-",烤漆色號編碼!B121)</f>
        <v>-</v>
      </c>
      <c r="F115" s="55"/>
      <c r="G115" s="55"/>
      <c r="H115" s="55">
        <f t="shared" si="3"/>
        <v>0</v>
      </c>
      <c r="I115" s="141"/>
      <c r="J115" s="141"/>
      <c r="K115" s="141"/>
      <c r="L115" s="141"/>
      <c r="M115" s="141"/>
      <c r="N115" s="141"/>
      <c r="O115" s="141"/>
      <c r="P115" s="141"/>
      <c r="Q115" s="141"/>
    </row>
    <row r="116" spans="1:17" ht="13.5" customHeight="1" x14ac:dyDescent="0.15">
      <c r="A116" s="141"/>
      <c r="B116" s="149">
        <v>111</v>
      </c>
      <c r="C116" s="55"/>
      <c r="D116" s="55" t="str">
        <f>IF(烤漆色號編碼!C122="","-",烤漆色號編碼!C122)</f>
        <v>-</v>
      </c>
      <c r="E116" s="55" t="str">
        <f>IF(烤漆色號編碼!B122="","-",烤漆色號編碼!B122)</f>
        <v>-</v>
      </c>
      <c r="F116" s="55"/>
      <c r="G116" s="55"/>
      <c r="H116" s="55">
        <f t="shared" si="3"/>
        <v>0</v>
      </c>
      <c r="I116" s="141"/>
      <c r="J116" s="141"/>
      <c r="K116" s="141"/>
      <c r="L116" s="141"/>
      <c r="M116" s="141"/>
      <c r="N116" s="141"/>
      <c r="O116" s="141"/>
      <c r="P116" s="141"/>
      <c r="Q116" s="141"/>
    </row>
    <row r="117" spans="1:17" ht="13.5" customHeight="1" x14ac:dyDescent="0.15">
      <c r="A117" s="141"/>
      <c r="B117" s="149">
        <v>112</v>
      </c>
      <c r="C117" s="55"/>
      <c r="D117" s="55" t="str">
        <f>IF(烤漆色號編碼!C123="","-",烤漆色號編碼!C123)</f>
        <v>-</v>
      </c>
      <c r="E117" s="55" t="str">
        <f>IF(烤漆色號編碼!B123="","-",烤漆色號編碼!B123)</f>
        <v>-</v>
      </c>
      <c r="F117" s="55"/>
      <c r="G117" s="55"/>
      <c r="H117" s="55">
        <f t="shared" si="3"/>
        <v>0</v>
      </c>
      <c r="I117" s="141"/>
      <c r="J117" s="141"/>
      <c r="K117" s="141"/>
      <c r="L117" s="141"/>
      <c r="M117" s="141"/>
      <c r="N117" s="141"/>
      <c r="O117" s="141"/>
      <c r="P117" s="141"/>
      <c r="Q117" s="141"/>
    </row>
    <row r="118" spans="1:17" ht="13.5" customHeight="1" x14ac:dyDescent="0.15">
      <c r="A118" s="141"/>
      <c r="B118" s="149">
        <v>113</v>
      </c>
      <c r="C118" s="55"/>
      <c r="D118" s="55" t="str">
        <f>IF(烤漆色號編碼!C124="","-",烤漆色號編碼!C124)</f>
        <v>-</v>
      </c>
      <c r="E118" s="55" t="str">
        <f>IF(烤漆色號編碼!B124="","-",烤漆色號編碼!B124)</f>
        <v>-</v>
      </c>
      <c r="F118" s="55"/>
      <c r="G118" s="55"/>
      <c r="H118" s="55">
        <f t="shared" si="3"/>
        <v>0</v>
      </c>
      <c r="I118" s="141"/>
      <c r="J118" s="141"/>
      <c r="K118" s="141"/>
      <c r="L118" s="141"/>
      <c r="M118" s="141"/>
      <c r="N118" s="141"/>
      <c r="O118" s="141"/>
      <c r="P118" s="141"/>
      <c r="Q118" s="141"/>
    </row>
    <row r="119" spans="1:17" ht="13.5" customHeight="1" x14ac:dyDescent="0.15">
      <c r="A119" s="141"/>
      <c r="B119" s="149">
        <v>114</v>
      </c>
      <c r="C119" s="55"/>
      <c r="D119" s="55" t="str">
        <f>IF(烤漆色號編碼!C125="","-",烤漆色號編碼!C125)</f>
        <v>-</v>
      </c>
      <c r="E119" s="55" t="str">
        <f>IF(烤漆色號編碼!B125="","-",烤漆色號編碼!B125)</f>
        <v>-</v>
      </c>
      <c r="F119" s="55"/>
      <c r="G119" s="55"/>
      <c r="H119" s="55">
        <f t="shared" si="3"/>
        <v>0</v>
      </c>
      <c r="I119" s="141"/>
      <c r="J119" s="141"/>
      <c r="K119" s="141"/>
      <c r="L119" s="141"/>
      <c r="M119" s="141"/>
      <c r="N119" s="141"/>
      <c r="O119" s="141"/>
      <c r="P119" s="141"/>
      <c r="Q119" s="141"/>
    </row>
    <row r="120" spans="1:17" ht="13.5" customHeight="1" x14ac:dyDescent="0.15">
      <c r="A120" s="141"/>
      <c r="B120" s="149">
        <v>115</v>
      </c>
      <c r="C120" s="55"/>
      <c r="D120" s="55" t="str">
        <f>IF(烤漆色號編碼!C126="","-",烤漆色號編碼!C126)</f>
        <v>-</v>
      </c>
      <c r="E120" s="55" t="str">
        <f>IF(烤漆色號編碼!B126="","-",烤漆色號編碼!B126)</f>
        <v>-</v>
      </c>
      <c r="F120" s="55"/>
      <c r="G120" s="55"/>
      <c r="H120" s="55">
        <f t="shared" si="3"/>
        <v>0</v>
      </c>
      <c r="I120" s="141"/>
      <c r="J120" s="141"/>
      <c r="K120" s="141"/>
      <c r="L120" s="141"/>
      <c r="M120" s="141"/>
      <c r="N120" s="141"/>
      <c r="O120" s="141"/>
      <c r="P120" s="141"/>
      <c r="Q120" s="141"/>
    </row>
    <row r="121" spans="1:17" ht="13.5" customHeight="1" x14ac:dyDescent="0.15">
      <c r="A121" s="141"/>
      <c r="B121" s="149">
        <v>116</v>
      </c>
      <c r="C121" s="55"/>
      <c r="D121" s="55" t="str">
        <f>IF(烤漆色號編碼!C127="","-",烤漆色號編碼!C127)</f>
        <v>-</v>
      </c>
      <c r="E121" s="55" t="str">
        <f>IF(烤漆色號編碼!B127="","-",烤漆色號編碼!B127)</f>
        <v>-</v>
      </c>
      <c r="F121" s="55"/>
      <c r="G121" s="55"/>
      <c r="H121" s="55">
        <f t="shared" si="3"/>
        <v>0</v>
      </c>
      <c r="I121" s="141"/>
      <c r="J121" s="141"/>
      <c r="K121" s="141"/>
      <c r="L121" s="141"/>
      <c r="M121" s="141"/>
      <c r="N121" s="141"/>
      <c r="O121" s="141"/>
      <c r="P121" s="141"/>
      <c r="Q121" s="141"/>
    </row>
    <row r="122" spans="1:17" ht="13.5" customHeight="1" x14ac:dyDescent="0.15">
      <c r="A122" s="141"/>
      <c r="B122" s="149">
        <v>117</v>
      </c>
      <c r="C122" s="55"/>
      <c r="D122" s="55" t="str">
        <f>IF(烤漆色號編碼!C128="","-",烤漆色號編碼!C128)</f>
        <v>-</v>
      </c>
      <c r="E122" s="55" t="str">
        <f>IF(烤漆色號編碼!B128="","-",烤漆色號編碼!B128)</f>
        <v>-</v>
      </c>
      <c r="F122" s="55"/>
      <c r="G122" s="55"/>
      <c r="H122" s="55">
        <f t="shared" si="3"/>
        <v>0</v>
      </c>
      <c r="I122" s="141"/>
      <c r="J122" s="141"/>
      <c r="K122" s="141"/>
      <c r="L122" s="141"/>
      <c r="M122" s="141"/>
      <c r="N122" s="141"/>
      <c r="O122" s="141"/>
      <c r="P122" s="141"/>
      <c r="Q122" s="141"/>
    </row>
    <row r="123" spans="1:17" ht="13.5" customHeight="1" x14ac:dyDescent="0.15">
      <c r="A123" s="141"/>
      <c r="B123" s="149">
        <v>118</v>
      </c>
      <c r="C123" s="55"/>
      <c r="D123" s="55" t="str">
        <f>IF(烤漆色號編碼!C129="","-",烤漆色號編碼!C129)</f>
        <v>-</v>
      </c>
      <c r="E123" s="55" t="str">
        <f>IF(烤漆色號編碼!B129="","-",烤漆色號編碼!B129)</f>
        <v>-</v>
      </c>
      <c r="F123" s="55"/>
      <c r="G123" s="55"/>
      <c r="H123" s="55">
        <f t="shared" si="3"/>
        <v>0</v>
      </c>
      <c r="I123" s="141"/>
      <c r="J123" s="141"/>
      <c r="K123" s="141"/>
      <c r="L123" s="141"/>
      <c r="M123" s="141"/>
      <c r="N123" s="141"/>
      <c r="O123" s="141"/>
      <c r="P123" s="141"/>
      <c r="Q123" s="141"/>
    </row>
    <row r="124" spans="1:17" ht="13.5" customHeight="1" x14ac:dyDescent="0.15">
      <c r="A124" s="141"/>
      <c r="B124" s="149">
        <v>119</v>
      </c>
      <c r="C124" s="55"/>
      <c r="D124" s="55" t="str">
        <f>IF(烤漆色號編碼!C130="","-",烤漆色號編碼!C130)</f>
        <v>-</v>
      </c>
      <c r="E124" s="55" t="str">
        <f>IF(烤漆色號編碼!B130="","-",烤漆色號編碼!B130)</f>
        <v>-</v>
      </c>
      <c r="F124" s="55"/>
      <c r="G124" s="55"/>
      <c r="H124" s="55">
        <f t="shared" si="3"/>
        <v>0</v>
      </c>
      <c r="I124" s="141"/>
      <c r="J124" s="141"/>
      <c r="K124" s="141"/>
      <c r="L124" s="141"/>
      <c r="M124" s="141"/>
      <c r="N124" s="141"/>
      <c r="O124" s="141"/>
      <c r="P124" s="141"/>
      <c r="Q124" s="141"/>
    </row>
    <row r="125" spans="1:17" ht="13.5" customHeight="1" x14ac:dyDescent="0.15">
      <c r="A125" s="141"/>
      <c r="B125" s="149">
        <v>120</v>
      </c>
      <c r="C125" s="55"/>
      <c r="D125" s="55" t="str">
        <f>IF(烤漆色號編碼!C131="","-",烤漆色號編碼!C131)</f>
        <v>-</v>
      </c>
      <c r="E125" s="55" t="str">
        <f>IF(烤漆色號編碼!B131="","-",烤漆色號編碼!B131)</f>
        <v>-</v>
      </c>
      <c r="F125" s="55"/>
      <c r="G125" s="55"/>
      <c r="H125" s="55">
        <f t="shared" si="3"/>
        <v>0</v>
      </c>
      <c r="I125" s="141"/>
      <c r="J125" s="141"/>
      <c r="K125" s="141"/>
      <c r="L125" s="141"/>
      <c r="M125" s="141"/>
      <c r="N125" s="141"/>
      <c r="O125" s="141"/>
      <c r="P125" s="141"/>
      <c r="Q125" s="141"/>
    </row>
    <row r="126" spans="1:17" ht="13.5" customHeight="1" x14ac:dyDescent="0.15">
      <c r="A126" s="141"/>
      <c r="B126" s="149">
        <v>121</v>
      </c>
      <c r="C126" s="55"/>
      <c r="D126" s="55" t="str">
        <f>IF(烤漆色號編碼!C132="","-",烤漆色號編碼!C132)</f>
        <v>-</v>
      </c>
      <c r="E126" s="55" t="str">
        <f>IF(烤漆色號編碼!B132="","-",烤漆色號編碼!B132)</f>
        <v>-</v>
      </c>
      <c r="F126" s="55"/>
      <c r="G126" s="55"/>
      <c r="H126" s="55">
        <f t="shared" si="3"/>
        <v>0</v>
      </c>
      <c r="I126" s="141"/>
      <c r="J126" s="141"/>
      <c r="K126" s="141"/>
      <c r="L126" s="141"/>
      <c r="M126" s="141"/>
      <c r="N126" s="141"/>
      <c r="O126" s="141"/>
      <c r="P126" s="141"/>
      <c r="Q126" s="141"/>
    </row>
    <row r="127" spans="1:17" ht="13.5" customHeight="1" x14ac:dyDescent="0.15">
      <c r="A127" s="141"/>
      <c r="B127" s="149">
        <v>122</v>
      </c>
      <c r="C127" s="55"/>
      <c r="D127" s="55" t="str">
        <f>IF(烤漆色號編碼!C133="","-",烤漆色號編碼!C133)</f>
        <v>-</v>
      </c>
      <c r="E127" s="55" t="str">
        <f>IF(烤漆色號編碼!B133="","-",烤漆色號編碼!B133)</f>
        <v>-</v>
      </c>
      <c r="F127" s="55"/>
      <c r="G127" s="55"/>
      <c r="H127" s="55">
        <f t="shared" si="3"/>
        <v>0</v>
      </c>
      <c r="I127" s="141"/>
      <c r="J127" s="141"/>
      <c r="K127" s="141"/>
      <c r="L127" s="141"/>
      <c r="M127" s="141"/>
      <c r="N127" s="141"/>
      <c r="O127" s="141"/>
      <c r="P127" s="141"/>
      <c r="Q127" s="141"/>
    </row>
    <row r="128" spans="1:17" ht="13.5" customHeight="1" x14ac:dyDescent="0.15">
      <c r="A128" s="141"/>
      <c r="B128" s="149">
        <v>123</v>
      </c>
      <c r="C128" s="55"/>
      <c r="D128" s="55" t="str">
        <f>IF(烤漆色號編碼!C134="","-",烤漆色號編碼!C134)</f>
        <v>-</v>
      </c>
      <c r="E128" s="55" t="str">
        <f>IF(烤漆色號編碼!B134="","-",烤漆色號編碼!B134)</f>
        <v>-</v>
      </c>
      <c r="F128" s="55"/>
      <c r="G128" s="55"/>
      <c r="H128" s="55">
        <f t="shared" si="3"/>
        <v>0</v>
      </c>
      <c r="I128" s="141"/>
      <c r="J128" s="141"/>
      <c r="K128" s="141"/>
      <c r="L128" s="141"/>
      <c r="M128" s="141"/>
      <c r="N128" s="141"/>
      <c r="O128" s="141"/>
      <c r="P128" s="141"/>
      <c r="Q128" s="141"/>
    </row>
    <row r="129" spans="1:17" ht="13.5" customHeight="1" x14ac:dyDescent="0.15">
      <c r="A129" s="141"/>
      <c r="B129" s="149">
        <v>124</v>
      </c>
      <c r="C129" s="55"/>
      <c r="D129" s="55" t="str">
        <f>IF(烤漆色號編碼!C135="","-",烤漆色號編碼!C135)</f>
        <v>-</v>
      </c>
      <c r="E129" s="55" t="str">
        <f>IF(烤漆色號編碼!B135="","-",烤漆色號編碼!B135)</f>
        <v>-</v>
      </c>
      <c r="F129" s="55"/>
      <c r="G129" s="55"/>
      <c r="H129" s="55">
        <f t="shared" si="3"/>
        <v>0</v>
      </c>
      <c r="I129" s="141"/>
      <c r="J129" s="141"/>
      <c r="K129" s="141"/>
      <c r="L129" s="141"/>
      <c r="M129" s="141"/>
      <c r="N129" s="141"/>
      <c r="O129" s="141"/>
      <c r="P129" s="141"/>
      <c r="Q129" s="141"/>
    </row>
    <row r="130" spans="1:17" ht="13.5" customHeight="1" x14ac:dyDescent="0.15">
      <c r="A130" s="141"/>
      <c r="B130" s="149">
        <v>125</v>
      </c>
      <c r="C130" s="55"/>
      <c r="D130" s="55" t="str">
        <f>IF(烤漆色號編碼!C136="","-",烤漆色號編碼!C136)</f>
        <v>-</v>
      </c>
      <c r="E130" s="55" t="str">
        <f>IF(烤漆色號編碼!B136="","-",烤漆色號編碼!B136)</f>
        <v>-</v>
      </c>
      <c r="F130" s="55"/>
      <c r="G130" s="55"/>
      <c r="H130" s="55">
        <f t="shared" si="3"/>
        <v>0</v>
      </c>
      <c r="I130" s="141"/>
      <c r="J130" s="141"/>
      <c r="K130" s="141"/>
      <c r="L130" s="141"/>
      <c r="M130" s="141"/>
      <c r="N130" s="141"/>
      <c r="O130" s="141"/>
      <c r="P130" s="141"/>
      <c r="Q130" s="141"/>
    </row>
    <row r="131" spans="1:17" ht="13.5" customHeight="1" x14ac:dyDescent="0.15">
      <c r="A131" s="141"/>
      <c r="B131" s="149">
        <v>126</v>
      </c>
      <c r="C131" s="55"/>
      <c r="D131" s="55" t="str">
        <f>IF(烤漆色號編碼!C137="","-",烤漆色號編碼!C137)</f>
        <v>-</v>
      </c>
      <c r="E131" s="55" t="str">
        <f>IF(烤漆色號編碼!B137="","-",烤漆色號編碼!B137)</f>
        <v>-</v>
      </c>
      <c r="F131" s="55"/>
      <c r="G131" s="55"/>
      <c r="H131" s="55">
        <f t="shared" si="3"/>
        <v>0</v>
      </c>
      <c r="I131" s="141"/>
      <c r="J131" s="141"/>
      <c r="K131" s="141"/>
      <c r="L131" s="141"/>
      <c r="M131" s="141"/>
      <c r="N131" s="141"/>
      <c r="O131" s="141"/>
      <c r="P131" s="141"/>
      <c r="Q131" s="141"/>
    </row>
    <row r="132" spans="1:17" ht="13.5" customHeight="1" x14ac:dyDescent="0.15">
      <c r="A132" s="141"/>
      <c r="B132" s="149">
        <v>127</v>
      </c>
      <c r="C132" s="55"/>
      <c r="D132" s="55" t="str">
        <f>IF(烤漆色號編碼!C138="","-",烤漆色號編碼!C138)</f>
        <v>-</v>
      </c>
      <c r="E132" s="55" t="str">
        <f>IF(烤漆色號編碼!B138="","-",烤漆色號編碼!B138)</f>
        <v>-</v>
      </c>
      <c r="F132" s="55"/>
      <c r="G132" s="55"/>
      <c r="H132" s="55">
        <f t="shared" si="3"/>
        <v>0</v>
      </c>
      <c r="I132" s="141"/>
      <c r="J132" s="141"/>
      <c r="K132" s="141"/>
      <c r="L132" s="141"/>
      <c r="M132" s="141"/>
      <c r="N132" s="141"/>
      <c r="O132" s="141"/>
      <c r="P132" s="141"/>
      <c r="Q132" s="141"/>
    </row>
    <row r="133" spans="1:17" ht="13.5" customHeight="1" x14ac:dyDescent="0.15">
      <c r="A133" s="141"/>
      <c r="B133" s="149">
        <v>128</v>
      </c>
      <c r="C133" s="55"/>
      <c r="D133" s="55" t="str">
        <f>IF(烤漆色號編碼!C139="","-",烤漆色號編碼!C139)</f>
        <v>-</v>
      </c>
      <c r="E133" s="55" t="str">
        <f>IF(烤漆色號編碼!B139="","-",烤漆色號編碼!B139)</f>
        <v>-</v>
      </c>
      <c r="F133" s="55"/>
      <c r="G133" s="55"/>
      <c r="H133" s="55">
        <f t="shared" si="3"/>
        <v>0</v>
      </c>
      <c r="I133" s="141"/>
      <c r="J133" s="141"/>
      <c r="K133" s="141"/>
      <c r="L133" s="141"/>
      <c r="M133" s="141"/>
      <c r="N133" s="141"/>
      <c r="O133" s="141"/>
      <c r="P133" s="141"/>
      <c r="Q133" s="141"/>
    </row>
    <row r="134" spans="1:17" ht="13.5" customHeight="1" x14ac:dyDescent="0.15">
      <c r="A134" s="141"/>
      <c r="B134" s="149">
        <v>129</v>
      </c>
      <c r="C134" s="55"/>
      <c r="D134" s="55" t="str">
        <f>IF(烤漆色號編碼!C140="","-",烤漆色號編碼!C140)</f>
        <v>-</v>
      </c>
      <c r="E134" s="55" t="str">
        <f>IF(烤漆色號編碼!B140="","-",烤漆色號編碼!B140)</f>
        <v>-</v>
      </c>
      <c r="F134" s="55"/>
      <c r="G134" s="55"/>
      <c r="H134" s="55">
        <f t="shared" si="3"/>
        <v>0</v>
      </c>
      <c r="I134" s="141"/>
      <c r="J134" s="141"/>
      <c r="K134" s="141"/>
      <c r="L134" s="141"/>
      <c r="M134" s="141"/>
      <c r="N134" s="141"/>
      <c r="O134" s="141"/>
      <c r="P134" s="141"/>
      <c r="Q134" s="141"/>
    </row>
    <row r="135" spans="1:17" ht="13.5" customHeight="1" x14ac:dyDescent="0.15">
      <c r="A135" s="141"/>
      <c r="B135" s="149">
        <v>130</v>
      </c>
      <c r="C135" s="55"/>
      <c r="D135" s="55" t="str">
        <f>IF(烤漆色號編碼!C141="","-",烤漆色號編碼!C141)</f>
        <v>-</v>
      </c>
      <c r="E135" s="55" t="str">
        <f>IF(烤漆色號編碼!B141="","-",烤漆色號編碼!B141)</f>
        <v>-</v>
      </c>
      <c r="F135" s="55"/>
      <c r="G135" s="55"/>
      <c r="H135" s="55">
        <f t="shared" si="3"/>
        <v>0</v>
      </c>
      <c r="I135" s="141"/>
      <c r="J135" s="141"/>
      <c r="K135" s="141"/>
      <c r="L135" s="141"/>
      <c r="M135" s="141"/>
      <c r="N135" s="141"/>
      <c r="O135" s="141"/>
      <c r="P135" s="141"/>
      <c r="Q135" s="141"/>
    </row>
    <row r="136" spans="1:17" ht="13.5" customHeight="1" x14ac:dyDescent="0.15">
      <c r="A136" s="141"/>
      <c r="B136" s="149">
        <v>131</v>
      </c>
      <c r="C136" s="55"/>
      <c r="D136" s="55" t="str">
        <f>IF(烤漆色號編碼!C142="","-",烤漆色號編碼!C142)</f>
        <v>-</v>
      </c>
      <c r="E136" s="55" t="str">
        <f>IF(烤漆色號編碼!B142="","-",烤漆色號編碼!B142)</f>
        <v>-</v>
      </c>
      <c r="F136" s="55"/>
      <c r="G136" s="55"/>
      <c r="H136" s="55">
        <f t="shared" si="3"/>
        <v>0</v>
      </c>
      <c r="I136" s="141"/>
      <c r="J136" s="141"/>
      <c r="K136" s="141"/>
      <c r="L136" s="141"/>
      <c r="M136" s="141"/>
      <c r="N136" s="141"/>
      <c r="O136" s="141"/>
      <c r="P136" s="141"/>
      <c r="Q136" s="141"/>
    </row>
    <row r="137" spans="1:17" ht="13.5" customHeight="1" x14ac:dyDescent="0.15">
      <c r="A137" s="141"/>
      <c r="B137" s="149">
        <v>132</v>
      </c>
      <c r="C137" s="55"/>
      <c r="D137" s="55" t="str">
        <f>IF(烤漆色號編碼!C143="","-",烤漆色號編碼!C143)</f>
        <v>-</v>
      </c>
      <c r="E137" s="55" t="str">
        <f>IF(烤漆色號編碼!B143="","-",烤漆色號編碼!B143)</f>
        <v>-</v>
      </c>
      <c r="F137" s="55"/>
      <c r="G137" s="55"/>
      <c r="H137" s="55">
        <f t="shared" si="3"/>
        <v>0</v>
      </c>
      <c r="I137" s="141"/>
      <c r="J137" s="141"/>
      <c r="K137" s="141"/>
      <c r="L137" s="141"/>
      <c r="M137" s="141"/>
      <c r="N137" s="141"/>
      <c r="O137" s="141"/>
      <c r="P137" s="141"/>
      <c r="Q137" s="141"/>
    </row>
    <row r="138" spans="1:17" ht="13.5" customHeight="1" x14ac:dyDescent="0.15">
      <c r="A138" s="141"/>
      <c r="B138" s="149">
        <v>133</v>
      </c>
      <c r="C138" s="55"/>
      <c r="D138" s="55" t="str">
        <f>IF(烤漆色號編碼!C144="","-",烤漆色號編碼!C144)</f>
        <v>-</v>
      </c>
      <c r="E138" s="55" t="str">
        <f>IF(烤漆色號編碼!B144="","-",烤漆色號編碼!B144)</f>
        <v>-</v>
      </c>
      <c r="F138" s="55"/>
      <c r="G138" s="55"/>
      <c r="H138" s="55">
        <f t="shared" si="3"/>
        <v>0</v>
      </c>
      <c r="I138" s="141"/>
      <c r="J138" s="141"/>
      <c r="K138" s="141"/>
      <c r="L138" s="141"/>
      <c r="M138" s="141"/>
      <c r="N138" s="141"/>
      <c r="O138" s="141"/>
      <c r="P138" s="141"/>
      <c r="Q138" s="141"/>
    </row>
    <row r="139" spans="1:17" ht="13.5" customHeight="1" x14ac:dyDescent="0.15">
      <c r="A139" s="141"/>
      <c r="B139" s="149">
        <v>134</v>
      </c>
      <c r="C139" s="55"/>
      <c r="D139" s="55" t="str">
        <f>IF(烤漆色號編碼!C145="","-",烤漆色號編碼!C145)</f>
        <v>-</v>
      </c>
      <c r="E139" s="55" t="str">
        <f>IF(烤漆色號編碼!B145="","-",烤漆色號編碼!B145)</f>
        <v>-</v>
      </c>
      <c r="F139" s="55"/>
      <c r="G139" s="55"/>
      <c r="H139" s="55">
        <f t="shared" si="3"/>
        <v>0</v>
      </c>
      <c r="I139" s="141"/>
      <c r="J139" s="141"/>
      <c r="K139" s="141"/>
      <c r="L139" s="141"/>
      <c r="M139" s="141"/>
      <c r="N139" s="141"/>
      <c r="O139" s="141"/>
      <c r="P139" s="141"/>
      <c r="Q139" s="141"/>
    </row>
    <row r="140" spans="1:17" ht="13.5" customHeight="1" x14ac:dyDescent="0.15">
      <c r="A140" s="141"/>
      <c r="B140" s="149">
        <v>135</v>
      </c>
      <c r="C140" s="55"/>
      <c r="D140" s="55" t="str">
        <f>IF(烤漆色號編碼!C146="","-",烤漆色號編碼!C146)</f>
        <v>-</v>
      </c>
      <c r="E140" s="55" t="str">
        <f>IF(烤漆色號編碼!B146="","-",烤漆色號編碼!B146)</f>
        <v>-</v>
      </c>
      <c r="F140" s="55"/>
      <c r="G140" s="55"/>
      <c r="H140" s="55">
        <f t="shared" si="3"/>
        <v>0</v>
      </c>
      <c r="I140" s="141"/>
      <c r="J140" s="141"/>
      <c r="K140" s="141"/>
      <c r="L140" s="141"/>
      <c r="M140" s="141"/>
      <c r="N140" s="141"/>
      <c r="O140" s="141"/>
      <c r="P140" s="141"/>
      <c r="Q140" s="141"/>
    </row>
    <row r="141" spans="1:17" ht="13.5" customHeight="1" x14ac:dyDescent="0.15">
      <c r="A141" s="141"/>
      <c r="B141" s="149">
        <v>136</v>
      </c>
      <c r="C141" s="55"/>
      <c r="D141" s="55" t="str">
        <f>IF(烤漆色號編碼!C147="","-",烤漆色號編碼!C147)</f>
        <v>-</v>
      </c>
      <c r="E141" s="55" t="str">
        <f>IF(烤漆色號編碼!B147="","-",烤漆色號編碼!B147)</f>
        <v>-</v>
      </c>
      <c r="F141" s="55"/>
      <c r="G141" s="55"/>
      <c r="H141" s="55">
        <f t="shared" si="3"/>
        <v>0</v>
      </c>
      <c r="I141" s="141"/>
      <c r="J141" s="141"/>
      <c r="K141" s="141"/>
      <c r="L141" s="141"/>
      <c r="M141" s="141"/>
      <c r="N141" s="141"/>
      <c r="O141" s="141"/>
      <c r="P141" s="141"/>
      <c r="Q141" s="141"/>
    </row>
    <row r="142" spans="1:17" ht="13.5" customHeight="1" x14ac:dyDescent="0.15">
      <c r="A142" s="141"/>
      <c r="B142" s="149">
        <v>137</v>
      </c>
      <c r="C142" s="55"/>
      <c r="D142" s="55" t="str">
        <f>IF(烤漆色號編碼!C148="","-",烤漆色號編碼!C148)</f>
        <v>-</v>
      </c>
      <c r="E142" s="55" t="str">
        <f>IF(烤漆色號編碼!B148="","-",烤漆色號編碼!B148)</f>
        <v>-</v>
      </c>
      <c r="F142" s="55"/>
      <c r="G142" s="55"/>
      <c r="H142" s="55">
        <f t="shared" si="3"/>
        <v>0</v>
      </c>
      <c r="I142" s="141"/>
      <c r="J142" s="141"/>
      <c r="K142" s="141"/>
      <c r="L142" s="141"/>
      <c r="M142" s="141"/>
      <c r="N142" s="141"/>
      <c r="O142" s="141"/>
      <c r="P142" s="141"/>
      <c r="Q142" s="141"/>
    </row>
    <row r="143" spans="1:17" ht="13.5" customHeight="1" x14ac:dyDescent="0.15">
      <c r="A143" s="141"/>
      <c r="B143" s="149">
        <v>138</v>
      </c>
      <c r="C143" s="55"/>
      <c r="D143" s="55" t="str">
        <f>IF(烤漆色號編碼!C149="","-",烤漆色號編碼!C149)</f>
        <v>-</v>
      </c>
      <c r="E143" s="55" t="str">
        <f>IF(烤漆色號編碼!B149="","-",烤漆色號編碼!B149)</f>
        <v>-</v>
      </c>
      <c r="F143" s="55"/>
      <c r="G143" s="55"/>
      <c r="H143" s="55">
        <f t="shared" si="3"/>
        <v>0</v>
      </c>
      <c r="I143" s="141"/>
      <c r="J143" s="141"/>
      <c r="K143" s="141"/>
      <c r="L143" s="141"/>
      <c r="M143" s="141"/>
      <c r="N143" s="141"/>
      <c r="O143" s="141"/>
      <c r="P143" s="141"/>
      <c r="Q143" s="141"/>
    </row>
    <row r="144" spans="1:17" ht="13.5" customHeight="1" x14ac:dyDescent="0.15">
      <c r="A144" s="141"/>
      <c r="B144" s="149">
        <v>139</v>
      </c>
      <c r="C144" s="55"/>
      <c r="D144" s="55" t="str">
        <f>IF(烤漆色號編碼!C150="","-",烤漆色號編碼!C150)</f>
        <v>-</v>
      </c>
      <c r="E144" s="55" t="str">
        <f>IF(烤漆色號編碼!B150="","-",烤漆色號編碼!B150)</f>
        <v>-</v>
      </c>
      <c r="F144" s="55"/>
      <c r="G144" s="55"/>
      <c r="H144" s="55">
        <f t="shared" si="3"/>
        <v>0</v>
      </c>
      <c r="I144" s="141"/>
      <c r="J144" s="141"/>
      <c r="K144" s="141"/>
      <c r="L144" s="141"/>
      <c r="M144" s="141"/>
      <c r="N144" s="141"/>
      <c r="O144" s="141"/>
      <c r="P144" s="141"/>
      <c r="Q144" s="141"/>
    </row>
    <row r="145" spans="1:17" ht="13.5" customHeight="1" x14ac:dyDescent="0.15">
      <c r="A145" s="141"/>
      <c r="B145" s="149">
        <v>140</v>
      </c>
      <c r="C145" s="55"/>
      <c r="D145" s="55" t="str">
        <f>IF(烤漆色號編碼!C151="","-",烤漆色號編碼!C151)</f>
        <v>-</v>
      </c>
      <c r="E145" s="55" t="str">
        <f>IF(烤漆色號編碼!B151="","-",烤漆色號編碼!B151)</f>
        <v>-</v>
      </c>
      <c r="F145" s="55"/>
      <c r="G145" s="55"/>
      <c r="H145" s="55">
        <f t="shared" si="3"/>
        <v>0</v>
      </c>
      <c r="I145" s="141"/>
      <c r="J145" s="141"/>
      <c r="K145" s="141"/>
      <c r="L145" s="141"/>
      <c r="M145" s="141"/>
      <c r="N145" s="141"/>
      <c r="O145" s="141"/>
      <c r="P145" s="141"/>
      <c r="Q145" s="141"/>
    </row>
    <row r="146" spans="1:17" ht="13.5" customHeight="1" x14ac:dyDescent="0.15">
      <c r="A146" s="141"/>
      <c r="B146" s="149">
        <v>141</v>
      </c>
      <c r="C146" s="55"/>
      <c r="D146" s="55" t="str">
        <f>IF(烤漆色號編碼!C152="","-",烤漆色號編碼!C152)</f>
        <v>-</v>
      </c>
      <c r="E146" s="55" t="str">
        <f>IF(烤漆色號編碼!B152="","-",烤漆色號編碼!B152)</f>
        <v>-</v>
      </c>
      <c r="F146" s="55"/>
      <c r="G146" s="55"/>
      <c r="H146" s="55">
        <f t="shared" si="3"/>
        <v>0</v>
      </c>
      <c r="I146" s="141"/>
      <c r="J146" s="141"/>
      <c r="K146" s="141"/>
      <c r="L146" s="141"/>
      <c r="M146" s="141"/>
      <c r="N146" s="141"/>
      <c r="O146" s="141"/>
      <c r="P146" s="141"/>
      <c r="Q146" s="141"/>
    </row>
    <row r="147" spans="1:17" ht="13.5" customHeight="1" x14ac:dyDescent="0.15">
      <c r="A147" s="141"/>
      <c r="B147" s="149">
        <v>142</v>
      </c>
      <c r="C147" s="55"/>
      <c r="D147" s="55" t="str">
        <f>IF(烤漆色號編碼!C153="","-",烤漆色號編碼!C153)</f>
        <v>-</v>
      </c>
      <c r="E147" s="55" t="str">
        <f>IF(烤漆色號編碼!B153="","-",烤漆色號編碼!B153)</f>
        <v>-</v>
      </c>
      <c r="F147" s="55"/>
      <c r="G147" s="55"/>
      <c r="H147" s="55">
        <f t="shared" si="3"/>
        <v>0</v>
      </c>
      <c r="I147" s="141"/>
      <c r="J147" s="141"/>
      <c r="K147" s="141"/>
      <c r="L147" s="141"/>
      <c r="M147" s="141"/>
      <c r="N147" s="141"/>
      <c r="O147" s="141"/>
      <c r="P147" s="141"/>
      <c r="Q147" s="141"/>
    </row>
    <row r="148" spans="1:17" ht="13.5" customHeight="1" x14ac:dyDescent="0.15">
      <c r="A148" s="141"/>
      <c r="B148" s="149">
        <v>143</v>
      </c>
      <c r="C148" s="55"/>
      <c r="D148" s="55" t="str">
        <f>IF(烤漆色號編碼!C154="","-",烤漆色號編碼!C154)</f>
        <v>-</v>
      </c>
      <c r="E148" s="55" t="str">
        <f>IF(烤漆色號編碼!B154="","-",烤漆色號編碼!B154)</f>
        <v>-</v>
      </c>
      <c r="F148" s="55"/>
      <c r="G148" s="55"/>
      <c r="H148" s="55">
        <f t="shared" si="3"/>
        <v>0</v>
      </c>
      <c r="I148" s="141"/>
      <c r="J148" s="141"/>
      <c r="K148" s="141"/>
      <c r="L148" s="141"/>
      <c r="M148" s="141"/>
      <c r="N148" s="141"/>
      <c r="O148" s="141"/>
      <c r="P148" s="141"/>
      <c r="Q148" s="141"/>
    </row>
    <row r="149" spans="1:17" ht="13.5" customHeight="1" x14ac:dyDescent="0.15">
      <c r="A149" s="141"/>
      <c r="B149" s="149">
        <v>144</v>
      </c>
      <c r="C149" s="55"/>
      <c r="D149" s="55" t="str">
        <f>IF(烤漆色號編碼!C155="","-",烤漆色號編碼!C155)</f>
        <v>-</v>
      </c>
      <c r="E149" s="55" t="str">
        <f>IF(烤漆色號編碼!B155="","-",烤漆色號編碼!B155)</f>
        <v>-</v>
      </c>
      <c r="F149" s="55"/>
      <c r="G149" s="55"/>
      <c r="H149" s="55">
        <f t="shared" si="3"/>
        <v>0</v>
      </c>
      <c r="I149" s="141"/>
      <c r="J149" s="141"/>
      <c r="K149" s="141"/>
      <c r="L149" s="141"/>
      <c r="M149" s="141"/>
      <c r="N149" s="141"/>
      <c r="O149" s="141"/>
      <c r="P149" s="141"/>
      <c r="Q149" s="141"/>
    </row>
    <row r="150" spans="1:17" ht="13.5" customHeight="1" x14ac:dyDescent="0.15">
      <c r="A150" s="141"/>
      <c r="B150" s="149">
        <v>145</v>
      </c>
      <c r="C150" s="55"/>
      <c r="D150" s="55" t="str">
        <f>IF(烤漆色號編碼!C156="","-",烤漆色號編碼!C156)</f>
        <v>-</v>
      </c>
      <c r="E150" s="55" t="str">
        <f>IF(烤漆色號編碼!B156="","-",烤漆色號編碼!B156)</f>
        <v>-</v>
      </c>
      <c r="F150" s="55"/>
      <c r="G150" s="55"/>
      <c r="H150" s="55">
        <f t="shared" si="3"/>
        <v>0</v>
      </c>
      <c r="I150" s="141"/>
      <c r="J150" s="141"/>
      <c r="K150" s="141"/>
      <c r="L150" s="141"/>
      <c r="M150" s="141"/>
      <c r="N150" s="141"/>
      <c r="O150" s="141"/>
      <c r="P150" s="141"/>
      <c r="Q150" s="141"/>
    </row>
    <row r="151" spans="1:17" ht="13.5" customHeight="1" x14ac:dyDescent="0.15">
      <c r="A151" s="141"/>
      <c r="B151" s="149">
        <v>146</v>
      </c>
      <c r="C151" s="55"/>
      <c r="D151" s="55" t="str">
        <f>IF(烤漆色號編碼!C157="","-",烤漆色號編碼!C157)</f>
        <v>-</v>
      </c>
      <c r="E151" s="55" t="str">
        <f>IF(烤漆色號編碼!B157="","-",烤漆色號編碼!B157)</f>
        <v>-</v>
      </c>
      <c r="F151" s="55"/>
      <c r="G151" s="55"/>
      <c r="H151" s="55">
        <f t="shared" si="3"/>
        <v>0</v>
      </c>
      <c r="I151" s="141"/>
      <c r="J151" s="141"/>
      <c r="K151" s="141"/>
      <c r="L151" s="141"/>
      <c r="M151" s="141"/>
      <c r="N151" s="141"/>
      <c r="O151" s="141"/>
      <c r="P151" s="141"/>
      <c r="Q151" s="141"/>
    </row>
    <row r="152" spans="1:17" ht="13.5" customHeight="1" x14ac:dyDescent="0.15">
      <c r="A152" s="141"/>
      <c r="B152" s="149">
        <v>147</v>
      </c>
      <c r="C152" s="55"/>
      <c r="D152" s="55" t="str">
        <f>IF(烤漆色號編碼!C158="","-",烤漆色號編碼!C158)</f>
        <v>-</v>
      </c>
      <c r="E152" s="55" t="str">
        <f>IF(烤漆色號編碼!B158="","-",烤漆色號編碼!B158)</f>
        <v>-</v>
      </c>
      <c r="F152" s="55"/>
      <c r="G152" s="55"/>
      <c r="H152" s="55">
        <f t="shared" si="3"/>
        <v>0</v>
      </c>
      <c r="I152" s="141"/>
      <c r="J152" s="141"/>
      <c r="K152" s="141"/>
      <c r="L152" s="141"/>
      <c r="M152" s="141"/>
      <c r="N152" s="141"/>
      <c r="O152" s="141"/>
      <c r="P152" s="141"/>
      <c r="Q152" s="141"/>
    </row>
    <row r="153" spans="1:17" ht="13.5" customHeight="1" x14ac:dyDescent="0.15">
      <c r="A153" s="141"/>
      <c r="B153" s="149">
        <v>148</v>
      </c>
      <c r="C153" s="55"/>
      <c r="D153" s="55" t="str">
        <f>IF(烤漆色號編碼!C159="","-",烤漆色號編碼!C159)</f>
        <v>-</v>
      </c>
      <c r="E153" s="55" t="str">
        <f>IF(烤漆色號編碼!B159="","-",烤漆色號編碼!B159)</f>
        <v>-</v>
      </c>
      <c r="F153" s="55"/>
      <c r="G153" s="55"/>
      <c r="H153" s="55">
        <f t="shared" si="3"/>
        <v>0</v>
      </c>
      <c r="I153" s="141"/>
      <c r="J153" s="141"/>
      <c r="K153" s="141"/>
      <c r="L153" s="141"/>
      <c r="M153" s="141"/>
      <c r="N153" s="141"/>
      <c r="O153" s="141"/>
      <c r="P153" s="141"/>
      <c r="Q153" s="141"/>
    </row>
    <row r="154" spans="1:17" ht="13.5" customHeight="1" x14ac:dyDescent="0.15">
      <c r="A154" s="141"/>
      <c r="B154" s="149">
        <v>149</v>
      </c>
      <c r="C154" s="55"/>
      <c r="D154" s="55" t="str">
        <f>IF(烤漆色號編碼!C160="","-",烤漆色號編碼!C160)</f>
        <v>-</v>
      </c>
      <c r="E154" s="55" t="str">
        <f>IF(烤漆色號編碼!B160="","-",烤漆色號編碼!B160)</f>
        <v>-</v>
      </c>
      <c r="F154" s="55"/>
      <c r="G154" s="55"/>
      <c r="H154" s="55">
        <f t="shared" si="3"/>
        <v>0</v>
      </c>
      <c r="I154" s="141"/>
      <c r="J154" s="141"/>
      <c r="K154" s="141"/>
      <c r="L154" s="141"/>
      <c r="M154" s="141"/>
      <c r="N154" s="141"/>
      <c r="O154" s="141"/>
      <c r="P154" s="141"/>
      <c r="Q154" s="141"/>
    </row>
    <row r="155" spans="1:17" ht="13.5" customHeight="1" x14ac:dyDescent="0.15">
      <c r="A155" s="141"/>
      <c r="B155" s="149">
        <v>150</v>
      </c>
      <c r="C155" s="55"/>
      <c r="D155" s="55" t="str">
        <f>IF(烤漆色號編碼!C161="","-",烤漆色號編碼!C161)</f>
        <v>-</v>
      </c>
      <c r="E155" s="55" t="str">
        <f>IF(烤漆色號編碼!B161="","-",烤漆色號編碼!B161)</f>
        <v>-</v>
      </c>
      <c r="F155" s="55"/>
      <c r="G155" s="55"/>
      <c r="H155" s="55">
        <f t="shared" si="3"/>
        <v>0</v>
      </c>
      <c r="I155" s="141"/>
      <c r="J155" s="141"/>
      <c r="K155" s="141"/>
      <c r="L155" s="141"/>
      <c r="M155" s="141"/>
      <c r="N155" s="141"/>
      <c r="O155" s="141"/>
      <c r="P155" s="141"/>
      <c r="Q155" s="141"/>
    </row>
    <row r="156" spans="1:17" ht="13.5" customHeight="1" x14ac:dyDescent="0.15">
      <c r="A156" s="141"/>
      <c r="B156" s="149">
        <v>151</v>
      </c>
      <c r="C156" s="55"/>
      <c r="D156" s="55" t="str">
        <f>IF(烤漆色號編碼!C162="","-",烤漆色號編碼!C162)</f>
        <v>-</v>
      </c>
      <c r="E156" s="55" t="str">
        <f>IF(烤漆色號編碼!B162="","-",烤漆色號編碼!B162)</f>
        <v>-</v>
      </c>
      <c r="F156" s="55"/>
      <c r="G156" s="55"/>
      <c r="H156" s="55">
        <f t="shared" si="3"/>
        <v>0</v>
      </c>
      <c r="I156" s="141"/>
      <c r="J156" s="141"/>
      <c r="K156" s="141"/>
      <c r="L156" s="141"/>
      <c r="M156" s="141"/>
      <c r="N156" s="141"/>
      <c r="O156" s="141"/>
      <c r="P156" s="141"/>
      <c r="Q156" s="141"/>
    </row>
    <row r="157" spans="1:17" ht="13.5" customHeight="1" x14ac:dyDescent="0.15">
      <c r="A157" s="141"/>
      <c r="B157" s="149">
        <v>152</v>
      </c>
      <c r="C157" s="55"/>
      <c r="D157" s="55" t="str">
        <f>IF(烤漆色號編碼!C163="","-",烤漆色號編碼!C163)</f>
        <v>-</v>
      </c>
      <c r="E157" s="55" t="str">
        <f>IF(烤漆色號編碼!B163="","-",烤漆色號編碼!B163)</f>
        <v>-</v>
      </c>
      <c r="F157" s="55"/>
      <c r="G157" s="55"/>
      <c r="H157" s="55">
        <f t="shared" si="3"/>
        <v>0</v>
      </c>
      <c r="I157" s="141"/>
      <c r="J157" s="141"/>
      <c r="K157" s="141"/>
      <c r="L157" s="141"/>
      <c r="M157" s="141"/>
      <c r="N157" s="141"/>
      <c r="O157" s="141"/>
      <c r="P157" s="141"/>
      <c r="Q157" s="141"/>
    </row>
    <row r="158" spans="1:17" ht="13.5" customHeight="1" x14ac:dyDescent="0.15">
      <c r="A158" s="141"/>
      <c r="B158" s="149">
        <v>153</v>
      </c>
      <c r="C158" s="55"/>
      <c r="D158" s="55" t="str">
        <f>IF(烤漆色號編碼!C164="","-",烤漆色號編碼!C164)</f>
        <v>-</v>
      </c>
      <c r="E158" s="55" t="str">
        <f>IF(烤漆色號編碼!B164="","-",烤漆色號編碼!B164)</f>
        <v>-</v>
      </c>
      <c r="F158" s="55"/>
      <c r="G158" s="55"/>
      <c r="H158" s="55">
        <f t="shared" si="3"/>
        <v>0</v>
      </c>
      <c r="I158" s="141"/>
      <c r="J158" s="141"/>
      <c r="K158" s="141"/>
      <c r="L158" s="141"/>
      <c r="M158" s="141"/>
      <c r="N158" s="141"/>
      <c r="O158" s="141"/>
      <c r="P158" s="141"/>
      <c r="Q158" s="141"/>
    </row>
    <row r="159" spans="1:17" ht="13.5" customHeight="1" x14ac:dyDescent="0.15">
      <c r="A159" s="141"/>
      <c r="B159" s="149">
        <v>154</v>
      </c>
      <c r="C159" s="55"/>
      <c r="D159" s="55" t="str">
        <f>IF(烤漆色號編碼!C165="","-",烤漆色號編碼!C165)</f>
        <v>-</v>
      </c>
      <c r="E159" s="55" t="str">
        <f>IF(烤漆色號編碼!B165="","-",烤漆色號編碼!B165)</f>
        <v>-</v>
      </c>
      <c r="F159" s="55"/>
      <c r="G159" s="55"/>
      <c r="H159" s="55">
        <f t="shared" si="3"/>
        <v>0</v>
      </c>
      <c r="I159" s="141"/>
      <c r="J159" s="141"/>
      <c r="K159" s="141"/>
      <c r="L159" s="141"/>
      <c r="M159" s="141"/>
      <c r="N159" s="141"/>
      <c r="O159" s="141"/>
      <c r="P159" s="141"/>
      <c r="Q159" s="141"/>
    </row>
    <row r="160" spans="1:17" ht="13.5" customHeight="1" x14ac:dyDescent="0.15">
      <c r="A160" s="141"/>
      <c r="B160" s="149">
        <v>155</v>
      </c>
      <c r="C160" s="55"/>
      <c r="D160" s="55" t="str">
        <f>IF(烤漆色號編碼!C166="","-",烤漆色號編碼!C166)</f>
        <v>-</v>
      </c>
      <c r="E160" s="55" t="str">
        <f>IF(烤漆色號編碼!B166="","-",烤漆色號編碼!B166)</f>
        <v>-</v>
      </c>
      <c r="F160" s="55"/>
      <c r="G160" s="55"/>
      <c r="H160" s="55">
        <f t="shared" si="3"/>
        <v>0</v>
      </c>
      <c r="I160" s="141"/>
      <c r="J160" s="141"/>
      <c r="K160" s="141"/>
      <c r="L160" s="141"/>
      <c r="M160" s="141"/>
      <c r="N160" s="141"/>
      <c r="O160" s="141"/>
      <c r="P160" s="141"/>
      <c r="Q160" s="141"/>
    </row>
    <row r="161" spans="1:17" ht="13.5" customHeight="1" x14ac:dyDescent="0.15">
      <c r="A161" s="141"/>
      <c r="B161" s="149">
        <v>156</v>
      </c>
      <c r="C161" s="55"/>
      <c r="D161" s="55" t="str">
        <f>IF(烤漆色號編碼!C167="","-",烤漆色號編碼!C167)</f>
        <v>-</v>
      </c>
      <c r="E161" s="55" t="str">
        <f>IF(烤漆色號編碼!B167="","-",烤漆色號編碼!B167)</f>
        <v>-</v>
      </c>
      <c r="F161" s="55"/>
      <c r="G161" s="55"/>
      <c r="H161" s="55">
        <f t="shared" si="3"/>
        <v>0</v>
      </c>
      <c r="I161" s="141"/>
      <c r="J161" s="141"/>
      <c r="K161" s="141"/>
      <c r="L161" s="141"/>
      <c r="M161" s="141"/>
      <c r="N161" s="141"/>
      <c r="O161" s="141"/>
      <c r="P161" s="141"/>
      <c r="Q161" s="141"/>
    </row>
    <row r="162" spans="1:17" ht="13.5" customHeight="1" x14ac:dyDescent="0.15">
      <c r="A162" s="141"/>
      <c r="B162" s="149">
        <v>157</v>
      </c>
      <c r="C162" s="55"/>
      <c r="D162" s="55" t="str">
        <f>IF(烤漆色號編碼!C168="","-",烤漆色號編碼!C168)</f>
        <v>-</v>
      </c>
      <c r="E162" s="55" t="str">
        <f>IF(烤漆色號編碼!B168="","-",烤漆色號編碼!B168)</f>
        <v>-</v>
      </c>
      <c r="F162" s="55"/>
      <c r="G162" s="55"/>
      <c r="H162" s="55">
        <f t="shared" si="3"/>
        <v>0</v>
      </c>
      <c r="I162" s="141"/>
      <c r="J162" s="141"/>
      <c r="K162" s="141"/>
      <c r="L162" s="141"/>
      <c r="M162" s="141"/>
      <c r="N162" s="141"/>
      <c r="O162" s="141"/>
      <c r="P162" s="141"/>
      <c r="Q162" s="141"/>
    </row>
    <row r="163" spans="1:17" ht="13.5" customHeight="1" x14ac:dyDescent="0.15">
      <c r="A163" s="141"/>
      <c r="B163" s="149">
        <v>158</v>
      </c>
      <c r="C163" s="55"/>
      <c r="D163" s="55" t="str">
        <f>IF(烤漆色號編碼!C169="","-",烤漆色號編碼!C169)</f>
        <v>-</v>
      </c>
      <c r="E163" s="55" t="str">
        <f>IF(烤漆色號編碼!B169="","-",烤漆色號編碼!B169)</f>
        <v>-</v>
      </c>
      <c r="F163" s="55"/>
      <c r="G163" s="55"/>
      <c r="H163" s="55">
        <f t="shared" si="3"/>
        <v>0</v>
      </c>
      <c r="I163" s="141"/>
      <c r="J163" s="141"/>
      <c r="K163" s="141"/>
      <c r="L163" s="141"/>
      <c r="M163" s="141"/>
      <c r="N163" s="141"/>
      <c r="O163" s="141"/>
      <c r="P163" s="141"/>
      <c r="Q163" s="141"/>
    </row>
    <row r="164" spans="1:17" ht="13.5" customHeight="1" x14ac:dyDescent="0.15">
      <c r="A164" s="141"/>
      <c r="B164" s="149">
        <v>159</v>
      </c>
      <c r="C164" s="55"/>
      <c r="D164" s="55" t="str">
        <f>IF(烤漆色號編碼!C170="","-",烤漆色號編碼!C170)</f>
        <v>-</v>
      </c>
      <c r="E164" s="55" t="str">
        <f>IF(烤漆色號編碼!B170="","-",烤漆色號編碼!B170)</f>
        <v>-</v>
      </c>
      <c r="F164" s="55"/>
      <c r="G164" s="55"/>
      <c r="H164" s="55">
        <f t="shared" si="3"/>
        <v>0</v>
      </c>
      <c r="I164" s="141"/>
      <c r="J164" s="141"/>
      <c r="K164" s="141"/>
      <c r="L164" s="141"/>
      <c r="M164" s="141"/>
      <c r="N164" s="141"/>
      <c r="O164" s="141"/>
      <c r="P164" s="141"/>
      <c r="Q164" s="141"/>
    </row>
    <row r="165" spans="1:17" ht="13.5" customHeight="1" x14ac:dyDescent="0.15">
      <c r="A165" s="141"/>
      <c r="B165" s="149">
        <v>160</v>
      </c>
      <c r="C165" s="55"/>
      <c r="D165" s="55" t="str">
        <f>IF(烤漆色號編碼!C171="","-",烤漆色號編碼!C171)</f>
        <v>-</v>
      </c>
      <c r="E165" s="55" t="str">
        <f>IF(烤漆色號編碼!B171="","-",烤漆色號編碼!B171)</f>
        <v>-</v>
      </c>
      <c r="F165" s="55"/>
      <c r="G165" s="55"/>
      <c r="H165" s="55">
        <f t="shared" si="3"/>
        <v>0</v>
      </c>
      <c r="I165" s="141"/>
      <c r="J165" s="141"/>
      <c r="K165" s="141"/>
      <c r="L165" s="141"/>
      <c r="M165" s="141"/>
      <c r="N165" s="141"/>
      <c r="O165" s="141"/>
      <c r="P165" s="141"/>
      <c r="Q165" s="141"/>
    </row>
    <row r="166" spans="1:17" ht="13.5" customHeight="1" x14ac:dyDescent="0.15">
      <c r="A166" s="141"/>
      <c r="B166" s="149">
        <v>161</v>
      </c>
      <c r="C166" s="55"/>
      <c r="D166" s="55" t="str">
        <f>IF(烤漆色號編碼!C172="","-",烤漆色號編碼!C172)</f>
        <v>-</v>
      </c>
      <c r="E166" s="55" t="str">
        <f>IF(烤漆色號編碼!B172="","-",烤漆色號編碼!B172)</f>
        <v>-</v>
      </c>
      <c r="F166" s="55"/>
      <c r="G166" s="55"/>
      <c r="H166" s="55">
        <f t="shared" si="3"/>
        <v>0</v>
      </c>
      <c r="I166" s="141"/>
      <c r="J166" s="141"/>
      <c r="K166" s="141"/>
      <c r="L166" s="141"/>
      <c r="M166" s="141"/>
      <c r="N166" s="141"/>
      <c r="O166" s="141"/>
      <c r="P166" s="141"/>
      <c r="Q166" s="141"/>
    </row>
    <row r="167" spans="1:17" ht="13.5" customHeight="1" x14ac:dyDescent="0.15">
      <c r="A167" s="141"/>
      <c r="B167" s="149">
        <v>162</v>
      </c>
      <c r="C167" s="55"/>
      <c r="D167" s="55" t="str">
        <f>IF(烤漆色號編碼!C173="","-",烤漆色號編碼!C173)</f>
        <v>-</v>
      </c>
      <c r="E167" s="55" t="str">
        <f>IF(烤漆色號編碼!B173="","-",烤漆色號編碼!B173)</f>
        <v>-</v>
      </c>
      <c r="F167" s="55"/>
      <c r="G167" s="55"/>
      <c r="H167" s="55">
        <f t="shared" si="3"/>
        <v>0</v>
      </c>
      <c r="I167" s="141"/>
      <c r="J167" s="141"/>
      <c r="K167" s="141"/>
      <c r="L167" s="141"/>
      <c r="M167" s="141"/>
      <c r="N167" s="141"/>
      <c r="O167" s="141"/>
      <c r="P167" s="141"/>
      <c r="Q167" s="141"/>
    </row>
    <row r="168" spans="1:17" ht="13.5" customHeight="1" x14ac:dyDescent="0.15">
      <c r="A168" s="141"/>
      <c r="B168" s="149">
        <v>163</v>
      </c>
      <c r="C168" s="55"/>
      <c r="D168" s="55" t="str">
        <f>IF(烤漆色號編碼!C174="","-",烤漆色號編碼!C174)</f>
        <v>-</v>
      </c>
      <c r="E168" s="55" t="str">
        <f>IF(烤漆色號編碼!B174="","-",烤漆色號編碼!B174)</f>
        <v>-</v>
      </c>
      <c r="F168" s="55"/>
      <c r="G168" s="55"/>
      <c r="H168" s="55">
        <f t="shared" si="3"/>
        <v>0</v>
      </c>
      <c r="I168" s="141"/>
      <c r="J168" s="141"/>
      <c r="K168" s="141"/>
      <c r="L168" s="141"/>
      <c r="M168" s="141"/>
      <c r="N168" s="141"/>
      <c r="O168" s="141"/>
      <c r="P168" s="141"/>
      <c r="Q168" s="141"/>
    </row>
    <row r="169" spans="1:17" ht="13.5" customHeight="1" x14ac:dyDescent="0.15">
      <c r="A169" s="141"/>
      <c r="B169" s="149">
        <v>164</v>
      </c>
      <c r="C169" s="55"/>
      <c r="D169" s="55" t="str">
        <f>IF(烤漆色號編碼!C175="","-",烤漆色號編碼!C175)</f>
        <v>-</v>
      </c>
      <c r="E169" s="55" t="str">
        <f>IF(烤漆色號編碼!B175="","-",烤漆色號編碼!B175)</f>
        <v>-</v>
      </c>
      <c r="F169" s="55"/>
      <c r="G169" s="55"/>
      <c r="H169" s="55">
        <f t="shared" si="3"/>
        <v>0</v>
      </c>
      <c r="I169" s="141"/>
      <c r="J169" s="141"/>
      <c r="K169" s="141"/>
      <c r="L169" s="141"/>
      <c r="M169" s="141"/>
      <c r="N169" s="141"/>
      <c r="O169" s="141"/>
      <c r="P169" s="141"/>
      <c r="Q169" s="141"/>
    </row>
    <row r="170" spans="1:17" ht="13.5" customHeight="1" x14ac:dyDescent="0.15">
      <c r="A170" s="141"/>
      <c r="B170" s="149">
        <v>165</v>
      </c>
      <c r="C170" s="55"/>
      <c r="D170" s="55" t="str">
        <f>IF(烤漆色號編碼!C176="","-",烤漆色號編碼!C176)</f>
        <v>-</v>
      </c>
      <c r="E170" s="55" t="str">
        <f>IF(烤漆色號編碼!B176="","-",烤漆色號編碼!B176)</f>
        <v>-</v>
      </c>
      <c r="F170" s="55"/>
      <c r="G170" s="55"/>
      <c r="H170" s="55">
        <f t="shared" si="3"/>
        <v>0</v>
      </c>
      <c r="I170" s="141"/>
      <c r="J170" s="141"/>
      <c r="K170" s="141"/>
      <c r="L170" s="141"/>
      <c r="M170" s="141"/>
      <c r="N170" s="141"/>
      <c r="O170" s="141"/>
      <c r="P170" s="141"/>
      <c r="Q170" s="141"/>
    </row>
    <row r="171" spans="1:17" ht="13.5" customHeight="1" x14ac:dyDescent="0.15">
      <c r="A171" s="141"/>
      <c r="B171" s="149">
        <v>166</v>
      </c>
      <c r="C171" s="55"/>
      <c r="D171" s="55" t="str">
        <f>IF(烤漆色號編碼!C177="","-",烤漆色號編碼!C177)</f>
        <v>-</v>
      </c>
      <c r="E171" s="55" t="str">
        <f>IF(烤漆色號編碼!B177="","-",烤漆色號編碼!B177)</f>
        <v>-</v>
      </c>
      <c r="F171" s="55"/>
      <c r="G171" s="55"/>
      <c r="H171" s="55">
        <f t="shared" si="3"/>
        <v>0</v>
      </c>
      <c r="I171" s="141"/>
      <c r="J171" s="141"/>
      <c r="K171" s="141"/>
      <c r="L171" s="141"/>
      <c r="M171" s="141"/>
      <c r="N171" s="141"/>
      <c r="O171" s="141"/>
      <c r="P171" s="141"/>
      <c r="Q171" s="141"/>
    </row>
    <row r="172" spans="1:17" ht="13.5" customHeight="1" x14ac:dyDescent="0.15">
      <c r="A172" s="141"/>
      <c r="B172" s="149">
        <v>167</v>
      </c>
      <c r="C172" s="55"/>
      <c r="D172" s="55" t="str">
        <f>IF(烤漆色號編碼!C178="","-",烤漆色號編碼!C178)</f>
        <v>-</v>
      </c>
      <c r="E172" s="55" t="str">
        <f>IF(烤漆色號編碼!B178="","-",烤漆色號編碼!B178)</f>
        <v>-</v>
      </c>
      <c r="F172" s="55"/>
      <c r="G172" s="55"/>
      <c r="H172" s="55">
        <f t="shared" si="3"/>
        <v>0</v>
      </c>
      <c r="I172" s="141"/>
      <c r="J172" s="141"/>
      <c r="K172" s="141"/>
      <c r="L172" s="141"/>
      <c r="M172" s="141"/>
      <c r="N172" s="141"/>
      <c r="O172" s="141"/>
      <c r="P172" s="141"/>
      <c r="Q172" s="141"/>
    </row>
    <row r="173" spans="1:17" ht="13.5" customHeight="1" x14ac:dyDescent="0.15">
      <c r="A173" s="141"/>
      <c r="B173" s="149">
        <v>168</v>
      </c>
      <c r="C173" s="55"/>
      <c r="D173" s="55" t="str">
        <f>IF(烤漆色號編碼!C179="","-",烤漆色號編碼!C179)</f>
        <v>-</v>
      </c>
      <c r="E173" s="55" t="str">
        <f>IF(烤漆色號編碼!B179="","-",烤漆色號編碼!B179)</f>
        <v>-</v>
      </c>
      <c r="F173" s="55"/>
      <c r="G173" s="55"/>
      <c r="H173" s="55">
        <f t="shared" si="3"/>
        <v>0</v>
      </c>
      <c r="I173" s="141"/>
      <c r="J173" s="141"/>
      <c r="K173" s="141"/>
      <c r="L173" s="141"/>
      <c r="M173" s="141"/>
      <c r="N173" s="141"/>
      <c r="O173" s="141"/>
      <c r="P173" s="141"/>
      <c r="Q173" s="141"/>
    </row>
    <row r="174" spans="1:17" ht="13.5" customHeight="1" x14ac:dyDescent="0.15">
      <c r="A174" s="141"/>
      <c r="B174" s="149">
        <v>169</v>
      </c>
      <c r="C174" s="55"/>
      <c r="D174" s="55" t="str">
        <f>IF(烤漆色號編碼!C180="","-",烤漆色號編碼!C180)</f>
        <v>-</v>
      </c>
      <c r="E174" s="55" t="str">
        <f>IF(烤漆色號編碼!B180="","-",烤漆色號編碼!B180)</f>
        <v>-</v>
      </c>
      <c r="F174" s="55"/>
      <c r="G174" s="55"/>
      <c r="H174" s="55">
        <f t="shared" si="3"/>
        <v>0</v>
      </c>
      <c r="I174" s="141"/>
      <c r="J174" s="141"/>
      <c r="K174" s="141"/>
      <c r="L174" s="141"/>
      <c r="M174" s="141"/>
      <c r="N174" s="141"/>
      <c r="O174" s="141"/>
      <c r="P174" s="141"/>
      <c r="Q174" s="141"/>
    </row>
    <row r="175" spans="1:17" ht="13.5" customHeight="1" x14ac:dyDescent="0.15">
      <c r="A175" s="141"/>
      <c r="B175" s="149">
        <v>170</v>
      </c>
      <c r="C175" s="55"/>
      <c r="D175" s="55" t="str">
        <f>IF(烤漆色號編碼!C181="","-",烤漆色號編碼!C181)</f>
        <v>-</v>
      </c>
      <c r="E175" s="55" t="str">
        <f>IF(烤漆色號編碼!B181="","-",烤漆色號編碼!B181)</f>
        <v>-</v>
      </c>
      <c r="F175" s="55"/>
      <c r="G175" s="55"/>
      <c r="H175" s="55">
        <f t="shared" si="3"/>
        <v>0</v>
      </c>
      <c r="I175" s="141"/>
      <c r="J175" s="141"/>
      <c r="K175" s="141"/>
      <c r="L175" s="141"/>
      <c r="M175" s="141"/>
      <c r="N175" s="141"/>
      <c r="O175" s="141"/>
      <c r="P175" s="141"/>
      <c r="Q175" s="141"/>
    </row>
    <row r="176" spans="1:17" ht="13.5" customHeight="1" x14ac:dyDescent="0.15">
      <c r="A176" s="141"/>
      <c r="B176" s="149">
        <v>171</v>
      </c>
      <c r="C176" s="55"/>
      <c r="D176" s="55" t="str">
        <f>IF(烤漆色號編碼!C182="","-",烤漆色號編碼!C182)</f>
        <v>-</v>
      </c>
      <c r="E176" s="55" t="str">
        <f>IF(烤漆色號編碼!B182="","-",烤漆色號編碼!B182)</f>
        <v>-</v>
      </c>
      <c r="F176" s="55"/>
      <c r="G176" s="55"/>
      <c r="H176" s="55">
        <f t="shared" si="3"/>
        <v>0</v>
      </c>
      <c r="I176" s="141"/>
      <c r="J176" s="141"/>
      <c r="K176" s="141"/>
      <c r="L176" s="141"/>
      <c r="M176" s="141"/>
      <c r="N176" s="141"/>
      <c r="O176" s="141"/>
      <c r="P176" s="141"/>
      <c r="Q176" s="141"/>
    </row>
    <row r="177" spans="1:17" ht="13.5" customHeight="1" x14ac:dyDescent="0.15">
      <c r="A177" s="141"/>
      <c r="B177" s="149">
        <v>172</v>
      </c>
      <c r="C177" s="55"/>
      <c r="D177" s="55" t="str">
        <f>IF(烤漆色號編碼!C183="","-",烤漆色號編碼!C183)</f>
        <v>-</v>
      </c>
      <c r="E177" s="55" t="str">
        <f>IF(烤漆色號編碼!B183="","-",烤漆色號編碼!B183)</f>
        <v>-</v>
      </c>
      <c r="F177" s="55"/>
      <c r="G177" s="55"/>
      <c r="H177" s="55">
        <f t="shared" si="3"/>
        <v>0</v>
      </c>
      <c r="I177" s="141"/>
      <c r="J177" s="141"/>
      <c r="K177" s="141"/>
      <c r="L177" s="141"/>
      <c r="M177" s="141"/>
      <c r="N177" s="141"/>
      <c r="O177" s="141"/>
      <c r="P177" s="141"/>
      <c r="Q177" s="141"/>
    </row>
    <row r="178" spans="1:17" ht="13.5" customHeight="1" x14ac:dyDescent="0.15">
      <c r="A178" s="141"/>
      <c r="B178" s="149">
        <v>173</v>
      </c>
      <c r="C178" s="55"/>
      <c r="D178" s="55" t="str">
        <f>IF(烤漆色號編碼!C184="","-",烤漆色號編碼!C184)</f>
        <v>-</v>
      </c>
      <c r="E178" s="55" t="str">
        <f>IF(烤漆色號編碼!B184="","-",烤漆色號編碼!B184)</f>
        <v>-</v>
      </c>
      <c r="F178" s="55"/>
      <c r="G178" s="55"/>
      <c r="H178" s="55">
        <f t="shared" si="3"/>
        <v>0</v>
      </c>
      <c r="I178" s="141"/>
      <c r="J178" s="141"/>
      <c r="K178" s="141"/>
      <c r="L178" s="141"/>
      <c r="M178" s="141"/>
      <c r="N178" s="141"/>
      <c r="O178" s="141"/>
      <c r="P178" s="141"/>
      <c r="Q178" s="141"/>
    </row>
    <row r="179" spans="1:17" ht="13.5" customHeight="1" x14ac:dyDescent="0.15">
      <c r="A179" s="141"/>
      <c r="B179" s="149">
        <v>174</v>
      </c>
      <c r="C179" s="55"/>
      <c r="D179" s="55" t="str">
        <f>IF(烤漆色號編碼!C185="","-",烤漆色號編碼!C185)</f>
        <v>-</v>
      </c>
      <c r="E179" s="55" t="str">
        <f>IF(烤漆色號編碼!B185="","-",烤漆色號編碼!B185)</f>
        <v>-</v>
      </c>
      <c r="F179" s="55"/>
      <c r="G179" s="55"/>
      <c r="H179" s="55">
        <f t="shared" si="3"/>
        <v>0</v>
      </c>
      <c r="I179" s="141"/>
      <c r="J179" s="141"/>
      <c r="K179" s="141"/>
      <c r="L179" s="141"/>
      <c r="M179" s="141"/>
      <c r="N179" s="141"/>
      <c r="O179" s="141"/>
      <c r="P179" s="141"/>
      <c r="Q179" s="141"/>
    </row>
    <row r="180" spans="1:17" ht="13.5" customHeight="1" x14ac:dyDescent="0.15">
      <c r="A180" s="141"/>
      <c r="B180" s="149">
        <v>175</v>
      </c>
      <c r="C180" s="55"/>
      <c r="D180" s="55" t="str">
        <f>IF(烤漆色號編碼!C186="","-",烤漆色號編碼!C186)</f>
        <v>-</v>
      </c>
      <c r="E180" s="55" t="str">
        <f>IF(烤漆色號編碼!B186="","-",烤漆色號編碼!B186)</f>
        <v>-</v>
      </c>
      <c r="F180" s="55"/>
      <c r="G180" s="55"/>
      <c r="H180" s="55">
        <f t="shared" si="3"/>
        <v>0</v>
      </c>
      <c r="I180" s="141"/>
      <c r="J180" s="141"/>
      <c r="K180" s="141"/>
      <c r="L180" s="141"/>
      <c r="M180" s="141"/>
      <c r="N180" s="141"/>
      <c r="O180" s="141"/>
      <c r="P180" s="141"/>
      <c r="Q180" s="141"/>
    </row>
    <row r="181" spans="1:17" ht="13.5" customHeight="1" x14ac:dyDescent="0.15">
      <c r="A181" s="141"/>
      <c r="B181" s="149">
        <v>176</v>
      </c>
      <c r="C181" s="55"/>
      <c r="D181" s="55" t="str">
        <f>IF(烤漆色號編碼!C187="","-",烤漆色號編碼!C187)</f>
        <v>-</v>
      </c>
      <c r="E181" s="55" t="str">
        <f>IF(烤漆色號編碼!B187="","-",烤漆色號編碼!B187)</f>
        <v>-</v>
      </c>
      <c r="F181" s="55"/>
      <c r="G181" s="55"/>
      <c r="H181" s="55">
        <f t="shared" si="3"/>
        <v>0</v>
      </c>
      <c r="I181" s="141"/>
      <c r="J181" s="141"/>
      <c r="K181" s="141"/>
      <c r="L181" s="141"/>
      <c r="M181" s="141"/>
      <c r="N181" s="141"/>
      <c r="O181" s="141"/>
      <c r="P181" s="141"/>
      <c r="Q181" s="141"/>
    </row>
    <row r="182" spans="1:17" ht="13.5" customHeight="1" x14ac:dyDescent="0.15">
      <c r="A182" s="141"/>
      <c r="B182" s="149">
        <v>177</v>
      </c>
      <c r="C182" s="55"/>
      <c r="D182" s="55" t="str">
        <f>IF(烤漆色號編碼!C188="","-",烤漆色號編碼!C188)</f>
        <v>-</v>
      </c>
      <c r="E182" s="55" t="str">
        <f>IF(烤漆色號編碼!B188="","-",烤漆色號編碼!B188)</f>
        <v>-</v>
      </c>
      <c r="F182" s="55"/>
      <c r="G182" s="55"/>
      <c r="H182" s="55">
        <f t="shared" si="3"/>
        <v>0</v>
      </c>
      <c r="I182" s="141"/>
      <c r="J182" s="141"/>
      <c r="K182" s="141"/>
      <c r="L182" s="141"/>
      <c r="M182" s="141"/>
      <c r="N182" s="141"/>
      <c r="O182" s="141"/>
      <c r="P182" s="141"/>
      <c r="Q182" s="141"/>
    </row>
    <row r="183" spans="1:17" ht="13.5" customHeight="1" x14ac:dyDescent="0.15">
      <c r="A183" s="141"/>
      <c r="B183" s="149">
        <v>178</v>
      </c>
      <c r="C183" s="55"/>
      <c r="D183" s="55" t="str">
        <f>IF(烤漆色號編碼!C189="","-",烤漆色號編碼!C189)</f>
        <v>-</v>
      </c>
      <c r="E183" s="55" t="str">
        <f>IF(烤漆色號編碼!B189="","-",烤漆色號編碼!B189)</f>
        <v>-</v>
      </c>
      <c r="F183" s="55"/>
      <c r="G183" s="55"/>
      <c r="H183" s="55">
        <f t="shared" si="3"/>
        <v>0</v>
      </c>
      <c r="I183" s="141"/>
      <c r="J183" s="141"/>
      <c r="K183" s="141"/>
      <c r="L183" s="141"/>
      <c r="M183" s="141"/>
      <c r="N183" s="141"/>
      <c r="O183" s="141"/>
      <c r="P183" s="141"/>
      <c r="Q183" s="141"/>
    </row>
    <row r="184" spans="1:17" ht="13.5" customHeight="1" x14ac:dyDescent="0.15">
      <c r="A184" s="141"/>
      <c r="B184" s="149">
        <v>179</v>
      </c>
      <c r="C184" s="55"/>
      <c r="D184" s="55" t="str">
        <f>IF(烤漆色號編碼!C190="","-",烤漆色號編碼!C190)</f>
        <v>-</v>
      </c>
      <c r="E184" s="55" t="str">
        <f>IF(烤漆色號編碼!B190="","-",烤漆色號編碼!B190)</f>
        <v>-</v>
      </c>
      <c r="F184" s="55"/>
      <c r="G184" s="55"/>
      <c r="H184" s="55">
        <f t="shared" si="3"/>
        <v>0</v>
      </c>
      <c r="I184" s="141"/>
      <c r="J184" s="141"/>
      <c r="K184" s="141"/>
      <c r="L184" s="141"/>
      <c r="M184" s="141"/>
      <c r="N184" s="141"/>
      <c r="O184" s="141"/>
      <c r="P184" s="141"/>
      <c r="Q184" s="141"/>
    </row>
    <row r="185" spans="1:17" ht="13.5" customHeight="1" x14ac:dyDescent="0.15">
      <c r="A185" s="141"/>
      <c r="B185" s="149">
        <v>180</v>
      </c>
      <c r="C185" s="55"/>
      <c r="D185" s="55" t="str">
        <f>IF(烤漆色號編碼!C191="","-",烤漆色號編碼!C191)</f>
        <v>-</v>
      </c>
      <c r="E185" s="55" t="str">
        <f>IF(烤漆色號編碼!B191="","-",烤漆色號編碼!B191)</f>
        <v>-</v>
      </c>
      <c r="F185" s="55"/>
      <c r="G185" s="55"/>
      <c r="H185" s="55">
        <f t="shared" si="3"/>
        <v>0</v>
      </c>
      <c r="I185" s="141"/>
      <c r="J185" s="141"/>
      <c r="K185" s="141"/>
      <c r="L185" s="141"/>
      <c r="M185" s="141"/>
      <c r="N185" s="141"/>
      <c r="O185" s="141"/>
      <c r="P185" s="141"/>
      <c r="Q185" s="141"/>
    </row>
    <row r="186" spans="1:17" ht="13.5" customHeight="1" x14ac:dyDescent="0.15">
      <c r="A186" s="141"/>
      <c r="B186" s="149">
        <v>181</v>
      </c>
      <c r="C186" s="55"/>
      <c r="D186" s="55" t="str">
        <f>IF(烤漆色號編碼!C192="","-",烤漆色號編碼!C192)</f>
        <v>-</v>
      </c>
      <c r="E186" s="55" t="str">
        <f>IF(烤漆色號編碼!B192="","-",烤漆色號編碼!B192)</f>
        <v>-</v>
      </c>
      <c r="F186" s="55"/>
      <c r="G186" s="55"/>
      <c r="H186" s="55">
        <f t="shared" si="3"/>
        <v>0</v>
      </c>
      <c r="I186" s="141"/>
      <c r="J186" s="141"/>
      <c r="K186" s="141"/>
      <c r="L186" s="141"/>
      <c r="M186" s="141"/>
      <c r="N186" s="141"/>
      <c r="O186" s="141"/>
      <c r="P186" s="141"/>
      <c r="Q186" s="141"/>
    </row>
    <row r="187" spans="1:17" ht="13.5" customHeight="1" x14ac:dyDescent="0.15">
      <c r="A187" s="141"/>
      <c r="B187" s="149">
        <v>182</v>
      </c>
      <c r="C187" s="55"/>
      <c r="D187" s="55" t="str">
        <f>IF(烤漆色號編碼!C193="","-",烤漆色號編碼!C193)</f>
        <v>-</v>
      </c>
      <c r="E187" s="55" t="str">
        <f>IF(烤漆色號編碼!B193="","-",烤漆色號編碼!B193)</f>
        <v>-</v>
      </c>
      <c r="F187" s="55"/>
      <c r="G187" s="55"/>
      <c r="H187" s="55">
        <f t="shared" si="3"/>
        <v>0</v>
      </c>
      <c r="I187" s="141"/>
      <c r="J187" s="141"/>
      <c r="K187" s="141"/>
      <c r="L187" s="141"/>
      <c r="M187" s="141"/>
      <c r="N187" s="141"/>
      <c r="O187" s="141"/>
      <c r="P187" s="141"/>
      <c r="Q187" s="141"/>
    </row>
    <row r="188" spans="1:17" ht="13.5" customHeight="1" x14ac:dyDescent="0.15">
      <c r="A188" s="141"/>
      <c r="B188" s="149">
        <v>183</v>
      </c>
      <c r="C188" s="55"/>
      <c r="D188" s="55" t="str">
        <f>IF(烤漆色號編碼!C194="","-",烤漆色號編碼!C194)</f>
        <v>-</v>
      </c>
      <c r="E188" s="55" t="str">
        <f>IF(烤漆色號編碼!B194="","-",烤漆色號編碼!B194)</f>
        <v>-</v>
      </c>
      <c r="F188" s="55"/>
      <c r="G188" s="55"/>
      <c r="H188" s="55">
        <f t="shared" si="3"/>
        <v>0</v>
      </c>
      <c r="I188" s="141"/>
      <c r="J188" s="141"/>
      <c r="K188" s="141"/>
      <c r="L188" s="141"/>
      <c r="M188" s="141"/>
      <c r="N188" s="141"/>
      <c r="O188" s="141"/>
      <c r="P188" s="141"/>
      <c r="Q188" s="141"/>
    </row>
    <row r="189" spans="1:17" ht="13.5" customHeight="1" x14ac:dyDescent="0.15">
      <c r="A189" s="141"/>
      <c r="B189" s="149">
        <v>184</v>
      </c>
      <c r="C189" s="55"/>
      <c r="D189" s="55" t="str">
        <f>IF(烤漆色號編碼!C195="","-",烤漆色號編碼!C195)</f>
        <v>-</v>
      </c>
      <c r="E189" s="55" t="str">
        <f>IF(烤漆色號編碼!B195="","-",烤漆色號編碼!B195)</f>
        <v>-</v>
      </c>
      <c r="F189" s="55"/>
      <c r="G189" s="55"/>
      <c r="H189" s="55">
        <f t="shared" si="3"/>
        <v>0</v>
      </c>
      <c r="I189" s="141"/>
      <c r="J189" s="141"/>
      <c r="K189" s="141"/>
      <c r="L189" s="141"/>
      <c r="M189" s="141"/>
      <c r="N189" s="141"/>
      <c r="O189" s="141"/>
      <c r="P189" s="141"/>
      <c r="Q189" s="141"/>
    </row>
    <row r="190" spans="1:17" ht="13.5" customHeight="1" x14ac:dyDescent="0.15">
      <c r="A190" s="141"/>
      <c r="B190" s="149">
        <v>185</v>
      </c>
      <c r="C190" s="55"/>
      <c r="D190" s="55" t="str">
        <f>IF(烤漆色號編碼!C196="","-",烤漆色號編碼!C196)</f>
        <v>-</v>
      </c>
      <c r="E190" s="55" t="str">
        <f>IF(烤漆色號編碼!B196="","-",烤漆色號編碼!B196)</f>
        <v>-</v>
      </c>
      <c r="F190" s="55"/>
      <c r="G190" s="55"/>
      <c r="H190" s="55">
        <f t="shared" si="3"/>
        <v>0</v>
      </c>
      <c r="I190" s="141"/>
      <c r="J190" s="141"/>
      <c r="K190" s="141"/>
      <c r="L190" s="141"/>
      <c r="M190" s="141"/>
      <c r="N190" s="141"/>
      <c r="O190" s="141"/>
      <c r="P190" s="141"/>
      <c r="Q190" s="141"/>
    </row>
    <row r="191" spans="1:17" ht="13.5" customHeight="1" x14ac:dyDescent="0.15">
      <c r="A191" s="141"/>
      <c r="B191" s="149">
        <v>186</v>
      </c>
      <c r="C191" s="55"/>
      <c r="D191" s="55" t="str">
        <f>IF(烤漆色號編碼!C197="","-",烤漆色號編碼!C197)</f>
        <v>-</v>
      </c>
      <c r="E191" s="55" t="str">
        <f>IF(烤漆色號編碼!B197="","-",烤漆色號編碼!B197)</f>
        <v>-</v>
      </c>
      <c r="F191" s="55"/>
      <c r="G191" s="55"/>
      <c r="H191" s="55">
        <f t="shared" si="3"/>
        <v>0</v>
      </c>
      <c r="I191" s="141"/>
      <c r="J191" s="141"/>
      <c r="K191" s="141"/>
      <c r="L191" s="141"/>
      <c r="M191" s="141"/>
      <c r="N191" s="141"/>
      <c r="O191" s="141"/>
      <c r="P191" s="141"/>
      <c r="Q191" s="141"/>
    </row>
    <row r="192" spans="1:17" ht="13.5" customHeight="1" x14ac:dyDescent="0.15">
      <c r="A192" s="141"/>
      <c r="B192" s="149">
        <v>187</v>
      </c>
      <c r="C192" s="55"/>
      <c r="D192" s="55" t="str">
        <f>IF(烤漆色號編碼!C198="","-",烤漆色號編碼!C198)</f>
        <v>-</v>
      </c>
      <c r="E192" s="55" t="str">
        <f>IF(烤漆色號編碼!B198="","-",烤漆色號編碼!B198)</f>
        <v>-</v>
      </c>
      <c r="F192" s="55"/>
      <c r="G192" s="55"/>
      <c r="H192" s="55">
        <f t="shared" si="3"/>
        <v>0</v>
      </c>
      <c r="I192" s="141"/>
      <c r="J192" s="141"/>
      <c r="K192" s="141"/>
      <c r="L192" s="141"/>
      <c r="M192" s="141"/>
      <c r="N192" s="141"/>
      <c r="O192" s="141"/>
      <c r="P192" s="141"/>
      <c r="Q192" s="141"/>
    </row>
    <row r="193" spans="1:17" ht="13.5" customHeight="1" x14ac:dyDescent="0.15">
      <c r="A193" s="141"/>
      <c r="B193" s="149">
        <v>188</v>
      </c>
      <c r="C193" s="55"/>
      <c r="D193" s="55" t="str">
        <f>IF(烤漆色號編碼!C199="","-",烤漆色號編碼!C199)</f>
        <v>-</v>
      </c>
      <c r="E193" s="55" t="str">
        <f>IF(烤漆色號編碼!B199="","-",烤漆色號編碼!B199)</f>
        <v>-</v>
      </c>
      <c r="F193" s="55"/>
      <c r="G193" s="55"/>
      <c r="H193" s="55">
        <f t="shared" si="3"/>
        <v>0</v>
      </c>
      <c r="I193" s="141"/>
      <c r="J193" s="141"/>
      <c r="K193" s="141"/>
      <c r="L193" s="141"/>
      <c r="M193" s="141"/>
      <c r="N193" s="141"/>
      <c r="O193" s="141"/>
      <c r="P193" s="141"/>
      <c r="Q193" s="141"/>
    </row>
    <row r="194" spans="1:17" ht="13.5" customHeight="1" x14ac:dyDescent="0.15">
      <c r="A194" s="141"/>
      <c r="B194" s="149">
        <v>189</v>
      </c>
      <c r="C194" s="55"/>
      <c r="D194" s="55" t="str">
        <f>IF(烤漆色號編碼!C200="","-",烤漆色號編碼!C200)</f>
        <v>-</v>
      </c>
      <c r="E194" s="55" t="str">
        <f>IF(烤漆色號編碼!B200="","-",烤漆色號編碼!B200)</f>
        <v>-</v>
      </c>
      <c r="F194" s="55"/>
      <c r="G194" s="55"/>
      <c r="H194" s="55">
        <f t="shared" si="3"/>
        <v>0</v>
      </c>
      <c r="I194" s="141"/>
      <c r="J194" s="141"/>
      <c r="K194" s="141"/>
      <c r="L194" s="141"/>
      <c r="M194" s="141"/>
      <c r="N194" s="141"/>
      <c r="O194" s="141"/>
      <c r="P194" s="141"/>
      <c r="Q194" s="141"/>
    </row>
    <row r="195" spans="1:17" ht="13.5" customHeight="1" x14ac:dyDescent="0.15">
      <c r="A195" s="141"/>
      <c r="B195" s="149">
        <v>190</v>
      </c>
      <c r="C195" s="55"/>
      <c r="D195" s="55" t="str">
        <f>IF(烤漆色號編碼!C201="","-",烤漆色號編碼!C201)</f>
        <v>-</v>
      </c>
      <c r="E195" s="55" t="str">
        <f>IF(烤漆色號編碼!B201="","-",烤漆色號編碼!B201)</f>
        <v>-</v>
      </c>
      <c r="F195" s="55"/>
      <c r="G195" s="55"/>
      <c r="H195" s="55">
        <f t="shared" si="3"/>
        <v>0</v>
      </c>
      <c r="I195" s="141"/>
      <c r="J195" s="141"/>
      <c r="K195" s="141"/>
      <c r="L195" s="141"/>
      <c r="M195" s="141"/>
      <c r="N195" s="141"/>
      <c r="O195" s="141"/>
      <c r="P195" s="141"/>
      <c r="Q195" s="141"/>
    </row>
    <row r="196" spans="1:17" ht="13.5" customHeight="1" x14ac:dyDescent="0.15">
      <c r="A196" s="141"/>
      <c r="B196" s="149">
        <v>191</v>
      </c>
      <c r="C196" s="55"/>
      <c r="D196" s="55" t="str">
        <f>IF(烤漆色號編碼!C202="","-",烤漆色號編碼!C202)</f>
        <v>-</v>
      </c>
      <c r="E196" s="55" t="str">
        <f>IF(烤漆色號編碼!B202="","-",烤漆色號編碼!B202)</f>
        <v>-</v>
      </c>
      <c r="F196" s="55"/>
      <c r="G196" s="55"/>
      <c r="H196" s="55">
        <f t="shared" si="3"/>
        <v>0</v>
      </c>
      <c r="I196" s="141"/>
      <c r="J196" s="141"/>
      <c r="K196" s="141"/>
      <c r="L196" s="141"/>
      <c r="M196" s="141"/>
      <c r="N196" s="141"/>
      <c r="O196" s="141"/>
      <c r="P196" s="141"/>
      <c r="Q196" s="141"/>
    </row>
    <row r="197" spans="1:17" ht="13.5" customHeight="1" x14ac:dyDescent="0.15">
      <c r="A197" s="141"/>
      <c r="B197" s="149">
        <v>192</v>
      </c>
      <c r="C197" s="55"/>
      <c r="D197" s="55" t="str">
        <f>IF(烤漆色號編碼!C203="","-",烤漆色號編碼!C203)</f>
        <v>-</v>
      </c>
      <c r="E197" s="55" t="str">
        <f>IF(烤漆色號編碼!B203="","-",烤漆色號編碼!B203)</f>
        <v>-</v>
      </c>
      <c r="F197" s="55"/>
      <c r="G197" s="55"/>
      <c r="H197" s="55">
        <f t="shared" si="3"/>
        <v>0</v>
      </c>
      <c r="I197" s="141"/>
      <c r="J197" s="141"/>
      <c r="K197" s="141"/>
      <c r="L197" s="141"/>
      <c r="M197" s="141"/>
      <c r="N197" s="141"/>
      <c r="O197" s="141"/>
      <c r="P197" s="141"/>
      <c r="Q197" s="141"/>
    </row>
    <row r="198" spans="1:17" ht="13.5" customHeight="1" x14ac:dyDescent="0.15">
      <c r="A198" s="141"/>
      <c r="B198" s="149">
        <v>193</v>
      </c>
      <c r="C198" s="55"/>
      <c r="D198" s="55" t="str">
        <f>IF(烤漆色號編碼!C204="","-",烤漆色號編碼!C204)</f>
        <v>-</v>
      </c>
      <c r="E198" s="55" t="str">
        <f>IF(烤漆色號編碼!B204="","-",烤漆色號編碼!B204)</f>
        <v>-</v>
      </c>
      <c r="F198" s="55"/>
      <c r="G198" s="55"/>
      <c r="H198" s="55">
        <f t="shared" si="3"/>
        <v>0</v>
      </c>
      <c r="I198" s="141"/>
      <c r="J198" s="141"/>
      <c r="K198" s="141"/>
      <c r="L198" s="141"/>
      <c r="M198" s="141"/>
      <c r="N198" s="141"/>
      <c r="O198" s="141"/>
      <c r="P198" s="141"/>
      <c r="Q198" s="141"/>
    </row>
    <row r="199" spans="1:17" ht="13.5" customHeight="1" x14ac:dyDescent="0.15">
      <c r="A199" s="141"/>
      <c r="B199" s="149">
        <v>194</v>
      </c>
      <c r="C199" s="55"/>
      <c r="D199" s="55" t="str">
        <f>IF(烤漆色號編碼!C205="","-",烤漆色號編碼!C205)</f>
        <v>-</v>
      </c>
      <c r="E199" s="55" t="str">
        <f>IF(烤漆色號編碼!B205="","-",烤漆色號編碼!B205)</f>
        <v>-</v>
      </c>
      <c r="F199" s="55"/>
      <c r="G199" s="55"/>
      <c r="H199" s="55">
        <f t="shared" si="3"/>
        <v>0</v>
      </c>
      <c r="I199" s="141"/>
      <c r="J199" s="141"/>
      <c r="K199" s="141"/>
      <c r="L199" s="141"/>
      <c r="M199" s="141"/>
      <c r="N199" s="141"/>
      <c r="O199" s="141"/>
      <c r="P199" s="141"/>
      <c r="Q199" s="141"/>
    </row>
    <row r="200" spans="1:17" ht="13.5" customHeight="1" x14ac:dyDescent="0.15">
      <c r="A200" s="141"/>
      <c r="B200" s="149">
        <v>195</v>
      </c>
      <c r="C200" s="55"/>
      <c r="D200" s="55" t="str">
        <f>IF(烤漆色號編碼!C206="","-",烤漆色號編碼!C206)</f>
        <v>-</v>
      </c>
      <c r="E200" s="55" t="str">
        <f>IF(烤漆色號編碼!B206="","-",烤漆色號編碼!B206)</f>
        <v>-</v>
      </c>
      <c r="F200" s="55"/>
      <c r="G200" s="55"/>
      <c r="H200" s="55">
        <f t="shared" si="3"/>
        <v>0</v>
      </c>
      <c r="I200" s="141"/>
      <c r="J200" s="141"/>
      <c r="K200" s="141"/>
      <c r="L200" s="141"/>
      <c r="M200" s="141"/>
      <c r="N200" s="141"/>
      <c r="O200" s="141"/>
      <c r="P200" s="141"/>
      <c r="Q200" s="141"/>
    </row>
    <row r="201" spans="1:17" ht="13.5" customHeight="1" x14ac:dyDescent="0.15">
      <c r="A201" s="141"/>
      <c r="B201" s="149">
        <v>196</v>
      </c>
      <c r="C201" s="55"/>
      <c r="D201" s="55" t="str">
        <f>IF(烤漆色號編碼!C207="","-",烤漆色號編碼!C207)</f>
        <v>-</v>
      </c>
      <c r="E201" s="55" t="str">
        <f>IF(烤漆色號編碼!B207="","-",烤漆色號編碼!B207)</f>
        <v>-</v>
      </c>
      <c r="F201" s="55"/>
      <c r="G201" s="55"/>
      <c r="H201" s="55">
        <f t="shared" si="3"/>
        <v>0</v>
      </c>
      <c r="I201" s="141"/>
      <c r="J201" s="141"/>
      <c r="K201" s="141"/>
      <c r="L201" s="141"/>
      <c r="M201" s="141"/>
      <c r="N201" s="141"/>
      <c r="O201" s="141"/>
      <c r="P201" s="141"/>
      <c r="Q201" s="141"/>
    </row>
    <row r="202" spans="1:17" ht="13.5" customHeight="1" x14ac:dyDescent="0.15">
      <c r="A202" s="141"/>
      <c r="B202" s="149">
        <v>197</v>
      </c>
      <c r="C202" s="55"/>
      <c r="D202" s="55" t="str">
        <f>IF(烤漆色號編碼!C208="","-",烤漆色號編碼!C208)</f>
        <v>-</v>
      </c>
      <c r="E202" s="55" t="str">
        <f>IF(烤漆色號編碼!B208="","-",烤漆色號編碼!B208)</f>
        <v>-</v>
      </c>
      <c r="F202" s="55"/>
      <c r="G202" s="55"/>
      <c r="H202" s="55">
        <f t="shared" si="3"/>
        <v>0</v>
      </c>
      <c r="I202" s="141"/>
      <c r="J202" s="141"/>
      <c r="K202" s="141"/>
      <c r="L202" s="141"/>
      <c r="M202" s="141"/>
      <c r="N202" s="141"/>
      <c r="O202" s="141"/>
      <c r="P202" s="141"/>
      <c r="Q202" s="141"/>
    </row>
    <row r="203" spans="1:17" ht="13.5" customHeight="1" x14ac:dyDescent="0.15">
      <c r="A203" s="141"/>
      <c r="B203" s="149">
        <v>198</v>
      </c>
      <c r="C203" s="55"/>
      <c r="D203" s="55" t="str">
        <f>IF(烤漆色號編碼!C209="","-",烤漆色號編碼!C209)</f>
        <v>-</v>
      </c>
      <c r="E203" s="55" t="str">
        <f>IF(烤漆色號編碼!B209="","-",烤漆色號編碼!B209)</f>
        <v>-</v>
      </c>
      <c r="F203" s="55"/>
      <c r="G203" s="55"/>
      <c r="H203" s="55">
        <f t="shared" si="3"/>
        <v>0</v>
      </c>
      <c r="I203" s="141"/>
      <c r="J203" s="141"/>
      <c r="K203" s="141"/>
      <c r="L203" s="141"/>
      <c r="M203" s="141"/>
      <c r="N203" s="141"/>
      <c r="O203" s="141"/>
      <c r="P203" s="141"/>
      <c r="Q203" s="141"/>
    </row>
    <row r="204" spans="1:17" ht="13.5" customHeight="1" x14ac:dyDescent="0.15">
      <c r="A204" s="141"/>
      <c r="B204" s="149">
        <v>199</v>
      </c>
      <c r="C204" s="55"/>
      <c r="D204" s="55" t="str">
        <f>IF(烤漆色號編碼!C210="","-",烤漆色號編碼!C210)</f>
        <v>-</v>
      </c>
      <c r="E204" s="55" t="str">
        <f>IF(烤漆色號編碼!B210="","-",烤漆色號編碼!B210)</f>
        <v>-</v>
      </c>
      <c r="F204" s="55"/>
      <c r="G204" s="55"/>
      <c r="H204" s="55">
        <f t="shared" si="3"/>
        <v>0</v>
      </c>
      <c r="I204" s="141"/>
      <c r="J204" s="141"/>
      <c r="K204" s="141"/>
      <c r="L204" s="141"/>
      <c r="M204" s="141"/>
      <c r="N204" s="141"/>
      <c r="O204" s="141"/>
      <c r="P204" s="141"/>
      <c r="Q204" s="141"/>
    </row>
    <row r="205" spans="1:17" ht="13.5" customHeight="1" x14ac:dyDescent="0.15">
      <c r="A205" s="141"/>
      <c r="B205" s="149">
        <v>200</v>
      </c>
      <c r="C205" s="55"/>
      <c r="D205" s="55" t="str">
        <f>IF(烤漆色號編碼!C211="","-",烤漆色號編碼!C211)</f>
        <v>-</v>
      </c>
      <c r="E205" s="55" t="str">
        <f>IF(烤漆色號編碼!B211="","-",烤漆色號編碼!B211)</f>
        <v>-</v>
      </c>
      <c r="F205" s="55"/>
      <c r="G205" s="55"/>
      <c r="H205" s="55">
        <f t="shared" si="3"/>
        <v>0</v>
      </c>
      <c r="I205" s="141"/>
      <c r="J205" s="141"/>
      <c r="K205" s="141"/>
      <c r="L205" s="141"/>
      <c r="M205" s="141"/>
      <c r="N205" s="141"/>
      <c r="O205" s="141"/>
      <c r="P205" s="141"/>
      <c r="Q205" s="141"/>
    </row>
    <row r="206" spans="1:17" ht="13.5" customHeight="1" x14ac:dyDescent="0.15">
      <c r="A206" s="141"/>
      <c r="B206" s="142"/>
      <c r="C206" s="143"/>
      <c r="D206" s="153" t="s">
        <v>367</v>
      </c>
      <c r="E206" s="143"/>
      <c r="F206" s="143"/>
      <c r="G206" s="143"/>
      <c r="H206" s="143"/>
      <c r="I206" s="141"/>
      <c r="J206" s="141"/>
      <c r="K206" s="141"/>
      <c r="L206" s="141"/>
      <c r="M206" s="141"/>
      <c r="N206" s="141"/>
      <c r="O206" s="141"/>
      <c r="P206" s="141"/>
      <c r="Q206" s="141"/>
    </row>
    <row r="207" spans="1:17" ht="13.5" customHeight="1" x14ac:dyDescent="0.15">
      <c r="A207" s="141"/>
      <c r="B207" s="154"/>
      <c r="C207" s="141"/>
      <c r="D207" s="153" t="s">
        <v>367</v>
      </c>
      <c r="E207" s="141"/>
      <c r="F207" s="141"/>
      <c r="G207" s="141"/>
      <c r="H207" s="141"/>
      <c r="I207" s="141"/>
      <c r="J207" s="141"/>
      <c r="K207" s="141"/>
      <c r="L207" s="141"/>
      <c r="M207" s="141"/>
      <c r="N207" s="141"/>
      <c r="O207" s="141"/>
      <c r="P207" s="141"/>
      <c r="Q207" s="141"/>
    </row>
    <row r="208" spans="1:17" ht="13.5" customHeight="1" x14ac:dyDescent="0.15">
      <c r="A208" s="141"/>
      <c r="B208" s="154"/>
      <c r="C208" s="141"/>
      <c r="D208" s="153" t="s">
        <v>367</v>
      </c>
      <c r="E208" s="141"/>
      <c r="F208" s="141"/>
      <c r="G208" s="141"/>
      <c r="H208" s="141"/>
      <c r="I208" s="141"/>
      <c r="J208" s="141"/>
      <c r="K208" s="141"/>
      <c r="L208" s="141"/>
      <c r="M208" s="141"/>
      <c r="N208" s="141"/>
      <c r="O208" s="141"/>
      <c r="P208" s="141"/>
      <c r="Q208" s="141"/>
    </row>
    <row r="209" spans="1:17" ht="13.5" customHeight="1" x14ac:dyDescent="0.15">
      <c r="A209" s="141"/>
      <c r="B209" s="154"/>
      <c r="C209" s="141"/>
      <c r="D209" s="153" t="s">
        <v>367</v>
      </c>
      <c r="E209" s="141"/>
      <c r="F209" s="141"/>
      <c r="G209" s="141"/>
      <c r="H209" s="141"/>
      <c r="I209" s="141"/>
      <c r="J209" s="141"/>
      <c r="K209" s="141"/>
      <c r="L209" s="141"/>
      <c r="M209" s="141"/>
      <c r="N209" s="141"/>
      <c r="O209" s="141"/>
      <c r="P209" s="141"/>
      <c r="Q209" s="141"/>
    </row>
    <row r="210" spans="1:17" ht="13.5" customHeight="1" x14ac:dyDescent="0.15">
      <c r="A210" s="141"/>
      <c r="B210" s="154"/>
      <c r="C210" s="141"/>
      <c r="D210" s="153" t="s">
        <v>367</v>
      </c>
      <c r="E210" s="141"/>
      <c r="F210" s="141"/>
      <c r="G210" s="141"/>
      <c r="H210" s="141"/>
      <c r="I210" s="141"/>
      <c r="J210" s="141"/>
      <c r="K210" s="141"/>
      <c r="L210" s="141"/>
      <c r="M210" s="141"/>
      <c r="N210" s="141"/>
      <c r="O210" s="141"/>
      <c r="P210" s="141"/>
      <c r="Q210" s="141"/>
    </row>
    <row r="211" spans="1:17" ht="13.5" customHeight="1" x14ac:dyDescent="0.15">
      <c r="A211" s="141"/>
      <c r="B211" s="154"/>
      <c r="C211" s="141"/>
      <c r="D211" s="153" t="s">
        <v>367</v>
      </c>
      <c r="E211" s="141"/>
      <c r="F211" s="141"/>
      <c r="G211" s="141"/>
      <c r="H211" s="141"/>
      <c r="I211" s="141"/>
      <c r="J211" s="141"/>
      <c r="K211" s="141"/>
      <c r="L211" s="141"/>
      <c r="M211" s="141"/>
      <c r="N211" s="141"/>
      <c r="O211" s="141"/>
      <c r="P211" s="141"/>
      <c r="Q211" s="141"/>
    </row>
    <row r="212" spans="1:17" ht="13.5" customHeight="1" x14ac:dyDescent="0.15">
      <c r="A212" s="141"/>
      <c r="B212" s="154"/>
      <c r="C212" s="141"/>
      <c r="D212" s="153" t="s">
        <v>367</v>
      </c>
      <c r="E212" s="141"/>
      <c r="F212" s="141"/>
      <c r="G212" s="141"/>
      <c r="H212" s="141"/>
      <c r="I212" s="141"/>
      <c r="J212" s="141"/>
      <c r="K212" s="141"/>
      <c r="L212" s="141"/>
      <c r="M212" s="141"/>
      <c r="N212" s="141"/>
      <c r="O212" s="141"/>
      <c r="P212" s="141"/>
      <c r="Q212" s="141"/>
    </row>
    <row r="213" spans="1:17" ht="13.5" customHeight="1" x14ac:dyDescent="0.15">
      <c r="A213" s="141"/>
      <c r="B213" s="154"/>
      <c r="C213" s="141"/>
      <c r="D213" s="153" t="s">
        <v>367</v>
      </c>
      <c r="E213" s="141"/>
      <c r="F213" s="141"/>
      <c r="G213" s="141"/>
      <c r="H213" s="141"/>
      <c r="I213" s="141"/>
      <c r="J213" s="141"/>
      <c r="K213" s="141"/>
      <c r="L213" s="141"/>
      <c r="M213" s="141"/>
      <c r="N213" s="141"/>
      <c r="O213" s="141"/>
      <c r="P213" s="141"/>
      <c r="Q213" s="141"/>
    </row>
    <row r="214" spans="1:17" ht="13.5" customHeight="1" x14ac:dyDescent="0.15">
      <c r="A214" s="141"/>
      <c r="B214" s="154"/>
      <c r="C214" s="141"/>
      <c r="D214" s="153" t="s">
        <v>367</v>
      </c>
      <c r="E214" s="141"/>
      <c r="F214" s="141"/>
      <c r="G214" s="141"/>
      <c r="H214" s="141"/>
      <c r="I214" s="141"/>
      <c r="J214" s="141"/>
      <c r="K214" s="141"/>
      <c r="L214" s="141"/>
      <c r="M214" s="141"/>
      <c r="N214" s="141"/>
      <c r="O214" s="141"/>
      <c r="P214" s="141"/>
      <c r="Q214" s="141"/>
    </row>
    <row r="215" spans="1:17" ht="13.5" customHeight="1" x14ac:dyDescent="0.15">
      <c r="A215" s="141"/>
      <c r="B215" s="154"/>
      <c r="C215" s="141"/>
      <c r="D215" s="153" t="s">
        <v>367</v>
      </c>
      <c r="E215" s="141"/>
      <c r="F215" s="141"/>
      <c r="G215" s="141"/>
      <c r="H215" s="141"/>
      <c r="I215" s="141"/>
      <c r="J215" s="141"/>
      <c r="K215" s="141"/>
      <c r="L215" s="141"/>
      <c r="M215" s="141"/>
      <c r="N215" s="141"/>
      <c r="O215" s="141"/>
      <c r="P215" s="141"/>
      <c r="Q215" s="141"/>
    </row>
    <row r="216" spans="1:17" ht="13.5" customHeight="1" x14ac:dyDescent="0.15">
      <c r="A216" s="141"/>
      <c r="B216" s="154"/>
      <c r="C216" s="141"/>
      <c r="D216" s="153" t="s">
        <v>367</v>
      </c>
      <c r="E216" s="141"/>
      <c r="F216" s="141"/>
      <c r="G216" s="141"/>
      <c r="H216" s="141"/>
      <c r="I216" s="141"/>
      <c r="J216" s="141"/>
      <c r="K216" s="141"/>
      <c r="L216" s="141"/>
      <c r="M216" s="141"/>
      <c r="N216" s="141"/>
      <c r="O216" s="141"/>
      <c r="P216" s="141"/>
      <c r="Q216" s="141"/>
    </row>
    <row r="217" spans="1:17" ht="13.5" customHeight="1" x14ac:dyDescent="0.15">
      <c r="A217" s="141"/>
      <c r="B217" s="154"/>
      <c r="C217" s="141"/>
      <c r="D217" s="153" t="s">
        <v>367</v>
      </c>
      <c r="E217" s="141"/>
      <c r="F217" s="141"/>
      <c r="G217" s="141"/>
      <c r="H217" s="141"/>
      <c r="I217" s="141"/>
      <c r="J217" s="141"/>
      <c r="K217" s="141"/>
      <c r="L217" s="141"/>
      <c r="M217" s="141"/>
      <c r="N217" s="141"/>
      <c r="O217" s="141"/>
      <c r="P217" s="141"/>
      <c r="Q217" s="141"/>
    </row>
    <row r="218" spans="1:17" ht="13.5" customHeight="1" x14ac:dyDescent="0.15">
      <c r="A218" s="141"/>
      <c r="B218" s="154"/>
      <c r="C218" s="141"/>
      <c r="D218" s="153" t="s">
        <v>367</v>
      </c>
      <c r="E218" s="141"/>
      <c r="F218" s="141"/>
      <c r="G218" s="141"/>
      <c r="H218" s="141"/>
      <c r="I218" s="141"/>
      <c r="J218" s="141"/>
      <c r="K218" s="141"/>
      <c r="L218" s="141"/>
      <c r="M218" s="141"/>
      <c r="N218" s="141"/>
      <c r="O218" s="141"/>
      <c r="P218" s="141"/>
      <c r="Q218" s="141"/>
    </row>
    <row r="219" spans="1:17" ht="13.5" customHeight="1" x14ac:dyDescent="0.15">
      <c r="A219" s="141"/>
      <c r="B219" s="154"/>
      <c r="C219" s="141"/>
      <c r="D219" s="153" t="s">
        <v>367</v>
      </c>
      <c r="E219" s="141"/>
      <c r="F219" s="141"/>
      <c r="G219" s="141"/>
      <c r="H219" s="141"/>
      <c r="I219" s="141"/>
      <c r="J219" s="141"/>
      <c r="K219" s="141"/>
      <c r="L219" s="141"/>
      <c r="M219" s="141"/>
      <c r="N219" s="141"/>
      <c r="O219" s="141"/>
      <c r="P219" s="141"/>
      <c r="Q219" s="141"/>
    </row>
    <row r="220" spans="1:17" ht="13.5" customHeight="1" x14ac:dyDescent="0.15">
      <c r="A220" s="141"/>
      <c r="B220" s="154"/>
      <c r="C220" s="141"/>
      <c r="D220" s="153" t="s">
        <v>367</v>
      </c>
      <c r="E220" s="141"/>
      <c r="F220" s="141"/>
      <c r="G220" s="141"/>
      <c r="H220" s="141"/>
      <c r="I220" s="141"/>
      <c r="J220" s="141"/>
      <c r="K220" s="141"/>
      <c r="L220" s="141"/>
      <c r="M220" s="141"/>
      <c r="N220" s="141"/>
      <c r="O220" s="141"/>
      <c r="P220" s="141"/>
      <c r="Q220" s="141"/>
    </row>
    <row r="221" spans="1:17" ht="13.5" customHeight="1" x14ac:dyDescent="0.15">
      <c r="A221" s="141"/>
      <c r="B221" s="154"/>
      <c r="C221" s="141"/>
      <c r="D221" s="153" t="s">
        <v>367</v>
      </c>
      <c r="E221" s="141"/>
      <c r="F221" s="141"/>
      <c r="G221" s="141"/>
      <c r="H221" s="141"/>
      <c r="I221" s="141"/>
      <c r="J221" s="141"/>
      <c r="K221" s="141"/>
      <c r="L221" s="141"/>
      <c r="M221" s="141"/>
      <c r="N221" s="141"/>
      <c r="O221" s="141"/>
      <c r="P221" s="141"/>
      <c r="Q221" s="141"/>
    </row>
    <row r="222" spans="1:17" ht="13.5" customHeight="1" x14ac:dyDescent="0.15">
      <c r="A222" s="141"/>
      <c r="B222" s="154"/>
      <c r="C222" s="141"/>
      <c r="D222" s="153" t="s">
        <v>367</v>
      </c>
      <c r="E222" s="141"/>
      <c r="F222" s="141"/>
      <c r="G222" s="141"/>
      <c r="H222" s="141"/>
      <c r="I222" s="141"/>
      <c r="J222" s="141"/>
      <c r="K222" s="141"/>
      <c r="L222" s="141"/>
      <c r="M222" s="141"/>
      <c r="N222" s="141"/>
      <c r="O222" s="141"/>
      <c r="P222" s="141"/>
      <c r="Q222" s="141"/>
    </row>
    <row r="223" spans="1:17" ht="13.5" customHeight="1" x14ac:dyDescent="0.15">
      <c r="A223" s="141"/>
      <c r="B223" s="154"/>
      <c r="C223" s="141"/>
      <c r="D223" s="153" t="s">
        <v>367</v>
      </c>
      <c r="E223" s="141"/>
      <c r="F223" s="141"/>
      <c r="G223" s="141"/>
      <c r="H223" s="141"/>
      <c r="I223" s="141"/>
      <c r="J223" s="141"/>
      <c r="K223" s="141"/>
      <c r="L223" s="141"/>
      <c r="M223" s="141"/>
      <c r="N223" s="141"/>
      <c r="O223" s="141"/>
      <c r="P223" s="141"/>
      <c r="Q223" s="141"/>
    </row>
    <row r="224" spans="1:17" ht="13.5" customHeight="1" x14ac:dyDescent="0.15">
      <c r="A224" s="141"/>
      <c r="B224" s="154"/>
      <c r="C224" s="141"/>
      <c r="D224" s="153" t="s">
        <v>367</v>
      </c>
      <c r="E224" s="141"/>
      <c r="F224" s="141"/>
      <c r="G224" s="141"/>
      <c r="H224" s="141"/>
      <c r="I224" s="141"/>
      <c r="J224" s="141"/>
      <c r="K224" s="141"/>
      <c r="L224" s="141"/>
      <c r="M224" s="141"/>
      <c r="N224" s="141"/>
      <c r="O224" s="141"/>
      <c r="P224" s="141"/>
      <c r="Q224" s="141"/>
    </row>
    <row r="225" spans="1:17" ht="13.5" customHeight="1" x14ac:dyDescent="0.15">
      <c r="A225" s="141"/>
      <c r="B225" s="154"/>
      <c r="C225" s="141"/>
      <c r="D225" s="153" t="s">
        <v>367</v>
      </c>
      <c r="E225" s="141"/>
      <c r="F225" s="141"/>
      <c r="G225" s="141"/>
      <c r="H225" s="141"/>
      <c r="I225" s="141"/>
      <c r="J225" s="141"/>
      <c r="K225" s="141"/>
      <c r="L225" s="141"/>
      <c r="M225" s="141"/>
      <c r="N225" s="141"/>
      <c r="O225" s="141"/>
      <c r="P225" s="141"/>
      <c r="Q225" s="141"/>
    </row>
    <row r="226" spans="1:17" ht="13.5" customHeight="1" x14ac:dyDescent="0.15">
      <c r="A226" s="141"/>
      <c r="B226" s="154"/>
      <c r="C226" s="141"/>
      <c r="D226" s="153" t="s">
        <v>367</v>
      </c>
      <c r="E226" s="141"/>
      <c r="F226" s="141"/>
      <c r="G226" s="141"/>
      <c r="H226" s="141"/>
      <c r="I226" s="141"/>
      <c r="J226" s="141"/>
      <c r="K226" s="141"/>
      <c r="L226" s="141"/>
      <c r="M226" s="141"/>
      <c r="N226" s="141"/>
      <c r="O226" s="141"/>
      <c r="P226" s="141"/>
      <c r="Q226" s="141"/>
    </row>
    <row r="227" spans="1:17" ht="13.5" customHeight="1" x14ac:dyDescent="0.15">
      <c r="A227" s="141"/>
      <c r="B227" s="154"/>
      <c r="C227" s="141"/>
      <c r="D227" s="153" t="s">
        <v>367</v>
      </c>
      <c r="E227" s="141"/>
      <c r="F227" s="141"/>
      <c r="G227" s="141"/>
      <c r="H227" s="141"/>
      <c r="I227" s="141"/>
      <c r="J227" s="141"/>
      <c r="K227" s="141"/>
      <c r="L227" s="141"/>
      <c r="M227" s="141"/>
      <c r="N227" s="141"/>
      <c r="O227" s="141"/>
      <c r="P227" s="141"/>
      <c r="Q227" s="141"/>
    </row>
    <row r="228" spans="1:17" ht="13.5" customHeight="1" x14ac:dyDescent="0.15">
      <c r="A228" s="141"/>
      <c r="B228" s="154"/>
      <c r="C228" s="141"/>
      <c r="D228" s="153" t="s">
        <v>367</v>
      </c>
      <c r="E228" s="141"/>
      <c r="F228" s="141"/>
      <c r="G228" s="141"/>
      <c r="H228" s="141"/>
      <c r="I228" s="141"/>
      <c r="J228" s="141"/>
      <c r="K228" s="141"/>
      <c r="L228" s="141"/>
      <c r="M228" s="141"/>
      <c r="N228" s="141"/>
      <c r="O228" s="141"/>
      <c r="P228" s="141"/>
      <c r="Q228" s="141"/>
    </row>
    <row r="229" spans="1:17" ht="13.5" customHeight="1" x14ac:dyDescent="0.15">
      <c r="A229" s="141"/>
      <c r="B229" s="154"/>
      <c r="C229" s="141"/>
      <c r="D229" s="153" t="s">
        <v>367</v>
      </c>
      <c r="E229" s="141"/>
      <c r="F229" s="141"/>
      <c r="G229" s="141"/>
      <c r="H229" s="141"/>
      <c r="I229" s="141"/>
      <c r="J229" s="141"/>
      <c r="K229" s="141"/>
      <c r="L229" s="141"/>
      <c r="M229" s="141"/>
      <c r="N229" s="141"/>
      <c r="O229" s="141"/>
      <c r="P229" s="141"/>
      <c r="Q229" s="141"/>
    </row>
    <row r="230" spans="1:17" ht="13.5" customHeight="1" x14ac:dyDescent="0.15">
      <c r="A230" s="141"/>
      <c r="B230" s="154"/>
      <c r="C230" s="141"/>
      <c r="D230" s="153" t="s">
        <v>367</v>
      </c>
      <c r="E230" s="141"/>
      <c r="F230" s="141"/>
      <c r="G230" s="141"/>
      <c r="H230" s="141"/>
      <c r="I230" s="141"/>
      <c r="J230" s="141"/>
      <c r="K230" s="141"/>
      <c r="L230" s="141"/>
      <c r="M230" s="141"/>
      <c r="N230" s="141"/>
      <c r="O230" s="141"/>
      <c r="P230" s="141"/>
      <c r="Q230" s="141"/>
    </row>
    <row r="231" spans="1:17" ht="13.5" customHeight="1" x14ac:dyDescent="0.15">
      <c r="A231" s="141"/>
      <c r="B231" s="154"/>
      <c r="C231" s="141"/>
      <c r="D231" s="153" t="s">
        <v>367</v>
      </c>
      <c r="E231" s="141"/>
      <c r="F231" s="141"/>
      <c r="G231" s="141"/>
      <c r="H231" s="141"/>
      <c r="I231" s="141"/>
      <c r="J231" s="141"/>
      <c r="K231" s="141"/>
      <c r="L231" s="141"/>
      <c r="M231" s="141"/>
      <c r="N231" s="141"/>
      <c r="O231" s="141"/>
      <c r="P231" s="141"/>
      <c r="Q231" s="141"/>
    </row>
    <row r="232" spans="1:17" ht="13.5" customHeight="1" x14ac:dyDescent="0.15">
      <c r="A232" s="141"/>
      <c r="B232" s="154"/>
      <c r="C232" s="141"/>
      <c r="D232" s="153" t="s">
        <v>367</v>
      </c>
      <c r="E232" s="141"/>
      <c r="F232" s="141"/>
      <c r="G232" s="141"/>
      <c r="H232" s="141"/>
      <c r="I232" s="141"/>
      <c r="J232" s="141"/>
      <c r="K232" s="141"/>
      <c r="L232" s="141"/>
      <c r="M232" s="141"/>
      <c r="N232" s="141"/>
      <c r="O232" s="141"/>
      <c r="P232" s="141"/>
      <c r="Q232" s="141"/>
    </row>
    <row r="233" spans="1:17" ht="13.5" customHeight="1" x14ac:dyDescent="0.15">
      <c r="A233" s="141"/>
      <c r="B233" s="154"/>
      <c r="C233" s="141"/>
      <c r="D233" s="153" t="s">
        <v>367</v>
      </c>
      <c r="E233" s="141"/>
      <c r="F233" s="141"/>
      <c r="G233" s="141"/>
      <c r="H233" s="141"/>
      <c r="I233" s="141"/>
      <c r="J233" s="141"/>
      <c r="K233" s="141"/>
      <c r="L233" s="141"/>
      <c r="M233" s="141"/>
      <c r="N233" s="141"/>
      <c r="O233" s="141"/>
      <c r="P233" s="141"/>
      <c r="Q233" s="141"/>
    </row>
    <row r="234" spans="1:17" ht="13.5" customHeight="1" x14ac:dyDescent="0.15">
      <c r="A234" s="141"/>
      <c r="B234" s="154"/>
      <c r="C234" s="141"/>
      <c r="D234" s="153" t="s">
        <v>367</v>
      </c>
      <c r="E234" s="141"/>
      <c r="F234" s="141"/>
      <c r="G234" s="141"/>
      <c r="H234" s="141"/>
      <c r="I234" s="141"/>
      <c r="J234" s="141"/>
      <c r="K234" s="141"/>
      <c r="L234" s="141"/>
      <c r="M234" s="141"/>
      <c r="N234" s="141"/>
      <c r="O234" s="141"/>
      <c r="P234" s="141"/>
      <c r="Q234" s="141"/>
    </row>
    <row r="235" spans="1:17" ht="13.5" customHeight="1" x14ac:dyDescent="0.15">
      <c r="A235" s="141"/>
      <c r="B235" s="154"/>
      <c r="C235" s="141"/>
      <c r="D235" s="153" t="s">
        <v>367</v>
      </c>
      <c r="E235" s="141"/>
      <c r="F235" s="141"/>
      <c r="G235" s="141"/>
      <c r="H235" s="141"/>
      <c r="I235" s="141"/>
      <c r="J235" s="141"/>
      <c r="K235" s="141"/>
      <c r="L235" s="141"/>
      <c r="M235" s="141"/>
      <c r="N235" s="141"/>
      <c r="O235" s="141"/>
      <c r="P235" s="141"/>
      <c r="Q235" s="141"/>
    </row>
    <row r="236" spans="1:17" ht="13.5" customHeight="1" x14ac:dyDescent="0.15">
      <c r="A236" s="141"/>
      <c r="B236" s="154"/>
      <c r="C236" s="141"/>
      <c r="D236" s="153" t="s">
        <v>367</v>
      </c>
      <c r="E236" s="141"/>
      <c r="F236" s="141"/>
      <c r="G236" s="141"/>
      <c r="H236" s="141"/>
      <c r="I236" s="141"/>
      <c r="J236" s="141"/>
      <c r="K236" s="141"/>
      <c r="L236" s="141"/>
      <c r="M236" s="141"/>
      <c r="N236" s="141"/>
      <c r="O236" s="141"/>
      <c r="P236" s="141"/>
      <c r="Q236" s="141"/>
    </row>
    <row r="237" spans="1:17" ht="13.5" customHeight="1" x14ac:dyDescent="0.15">
      <c r="A237" s="141"/>
      <c r="B237" s="154"/>
      <c r="C237" s="141"/>
      <c r="D237" s="153" t="s">
        <v>367</v>
      </c>
      <c r="E237" s="141"/>
      <c r="F237" s="141"/>
      <c r="G237" s="141"/>
      <c r="H237" s="141"/>
      <c r="I237" s="141"/>
      <c r="J237" s="141"/>
      <c r="K237" s="141"/>
      <c r="L237" s="141"/>
      <c r="M237" s="141"/>
      <c r="N237" s="141"/>
      <c r="O237" s="141"/>
      <c r="P237" s="141"/>
      <c r="Q237" s="141"/>
    </row>
    <row r="238" spans="1:17" ht="13.5" customHeight="1" x14ac:dyDescent="0.15">
      <c r="A238" s="141"/>
      <c r="B238" s="154"/>
      <c r="C238" s="141"/>
      <c r="D238" s="153" t="s">
        <v>367</v>
      </c>
      <c r="E238" s="141"/>
      <c r="F238" s="141"/>
      <c r="G238" s="141"/>
      <c r="H238" s="141"/>
      <c r="I238" s="141"/>
      <c r="J238" s="141"/>
      <c r="K238" s="141"/>
      <c r="L238" s="141"/>
      <c r="M238" s="141"/>
      <c r="N238" s="141"/>
      <c r="O238" s="141"/>
      <c r="P238" s="141"/>
      <c r="Q238" s="141"/>
    </row>
    <row r="239" spans="1:17" ht="13.5" customHeight="1" x14ac:dyDescent="0.15">
      <c r="A239" s="141"/>
      <c r="B239" s="154"/>
      <c r="C239" s="141"/>
      <c r="D239" s="153" t="s">
        <v>367</v>
      </c>
      <c r="E239" s="141"/>
      <c r="F239" s="141"/>
      <c r="G239" s="141"/>
      <c r="H239" s="141"/>
      <c r="I239" s="141"/>
      <c r="J239" s="141"/>
      <c r="K239" s="141"/>
      <c r="L239" s="141"/>
      <c r="M239" s="141"/>
      <c r="N239" s="141"/>
      <c r="O239" s="141"/>
      <c r="P239" s="141"/>
      <c r="Q239" s="141"/>
    </row>
    <row r="240" spans="1:17" ht="13.5" customHeight="1" x14ac:dyDescent="0.15">
      <c r="A240" s="141"/>
      <c r="B240" s="154"/>
      <c r="C240" s="141"/>
      <c r="D240" s="153" t="s">
        <v>367</v>
      </c>
      <c r="E240" s="141"/>
      <c r="F240" s="141"/>
      <c r="G240" s="141"/>
      <c r="H240" s="141"/>
      <c r="I240" s="141"/>
      <c r="J240" s="141"/>
      <c r="K240" s="141"/>
      <c r="L240" s="141"/>
      <c r="M240" s="141"/>
      <c r="N240" s="141"/>
      <c r="O240" s="141"/>
      <c r="P240" s="141"/>
      <c r="Q240" s="141"/>
    </row>
    <row r="241" spans="1:17" ht="13.5" customHeight="1" x14ac:dyDescent="0.15">
      <c r="A241" s="141"/>
      <c r="B241" s="154"/>
      <c r="C241" s="141"/>
      <c r="D241" s="153" t="s">
        <v>367</v>
      </c>
      <c r="E241" s="141"/>
      <c r="F241" s="141"/>
      <c r="G241" s="141"/>
      <c r="H241" s="141"/>
      <c r="I241" s="141"/>
      <c r="J241" s="141"/>
      <c r="K241" s="141"/>
      <c r="L241" s="141"/>
      <c r="M241" s="141"/>
      <c r="N241" s="141"/>
      <c r="O241" s="141"/>
      <c r="P241" s="141"/>
      <c r="Q241" s="141"/>
    </row>
    <row r="242" spans="1:17" ht="13.5" customHeight="1" x14ac:dyDescent="0.15">
      <c r="A242" s="141"/>
      <c r="B242" s="154"/>
      <c r="C242" s="141"/>
      <c r="D242" s="153" t="s">
        <v>367</v>
      </c>
      <c r="E242" s="141"/>
      <c r="F242" s="141"/>
      <c r="G242" s="141"/>
      <c r="H242" s="141"/>
      <c r="I242" s="141"/>
      <c r="J242" s="141"/>
      <c r="K242" s="141"/>
      <c r="L242" s="141"/>
      <c r="M242" s="141"/>
      <c r="N242" s="141"/>
      <c r="O242" s="141"/>
      <c r="P242" s="141"/>
      <c r="Q242" s="141"/>
    </row>
    <row r="243" spans="1:17" ht="13.5" customHeight="1" x14ac:dyDescent="0.15">
      <c r="A243" s="141"/>
      <c r="B243" s="154"/>
      <c r="C243" s="141"/>
      <c r="D243" s="153" t="s">
        <v>367</v>
      </c>
      <c r="E243" s="141"/>
      <c r="F243" s="141"/>
      <c r="G243" s="141"/>
      <c r="H243" s="141"/>
      <c r="I243" s="141"/>
      <c r="J243" s="141"/>
      <c r="K243" s="141"/>
      <c r="L243" s="141"/>
      <c r="M243" s="141"/>
      <c r="N243" s="141"/>
      <c r="O243" s="141"/>
      <c r="P243" s="141"/>
      <c r="Q243" s="141"/>
    </row>
    <row r="244" spans="1:17" ht="13.5" customHeight="1" x14ac:dyDescent="0.15">
      <c r="A244" s="141"/>
      <c r="B244" s="154"/>
      <c r="C244" s="141"/>
      <c r="D244" s="153" t="s">
        <v>367</v>
      </c>
      <c r="E244" s="141"/>
      <c r="F244" s="141"/>
      <c r="G244" s="141"/>
      <c r="H244" s="141"/>
      <c r="I244" s="141"/>
      <c r="J244" s="141"/>
      <c r="K244" s="141"/>
      <c r="L244" s="141"/>
      <c r="M244" s="141"/>
      <c r="N244" s="141"/>
      <c r="O244" s="141"/>
      <c r="P244" s="141"/>
      <c r="Q244" s="141"/>
    </row>
    <row r="245" spans="1:17" ht="13.5" customHeight="1" x14ac:dyDescent="0.15">
      <c r="A245" s="141"/>
      <c r="B245" s="154"/>
      <c r="C245" s="141"/>
      <c r="D245" s="153" t="s">
        <v>367</v>
      </c>
      <c r="E245" s="141"/>
      <c r="F245" s="141"/>
      <c r="G245" s="141"/>
      <c r="H245" s="141"/>
      <c r="I245" s="141"/>
      <c r="J245" s="141"/>
      <c r="K245" s="141"/>
      <c r="L245" s="141"/>
      <c r="M245" s="141"/>
      <c r="N245" s="141"/>
      <c r="O245" s="141"/>
      <c r="P245" s="141"/>
      <c r="Q245" s="141"/>
    </row>
    <row r="246" spans="1:17" ht="13.5" customHeight="1" x14ac:dyDescent="0.15">
      <c r="A246" s="141"/>
      <c r="B246" s="154"/>
      <c r="C246" s="141"/>
      <c r="D246" s="153" t="s">
        <v>367</v>
      </c>
      <c r="E246" s="141"/>
      <c r="F246" s="141"/>
      <c r="G246" s="141"/>
      <c r="H246" s="141"/>
      <c r="I246" s="141"/>
      <c r="J246" s="141"/>
      <c r="K246" s="141"/>
      <c r="L246" s="141"/>
      <c r="M246" s="141"/>
      <c r="N246" s="141"/>
      <c r="O246" s="141"/>
      <c r="P246" s="141"/>
      <c r="Q246" s="141"/>
    </row>
    <row r="247" spans="1:17" ht="13.5" customHeight="1" x14ac:dyDescent="0.15">
      <c r="A247" s="141"/>
      <c r="B247" s="154"/>
      <c r="C247" s="141"/>
      <c r="D247" s="153" t="s">
        <v>367</v>
      </c>
      <c r="E247" s="141"/>
      <c r="F247" s="141"/>
      <c r="G247" s="141"/>
      <c r="H247" s="141"/>
      <c r="I247" s="141"/>
      <c r="J247" s="141"/>
      <c r="K247" s="141"/>
      <c r="L247" s="141"/>
      <c r="M247" s="141"/>
      <c r="N247" s="141"/>
      <c r="O247" s="141"/>
      <c r="P247" s="141"/>
      <c r="Q247" s="141"/>
    </row>
    <row r="248" spans="1:17" ht="13.5" customHeight="1" x14ac:dyDescent="0.15">
      <c r="A248" s="141"/>
      <c r="B248" s="154"/>
      <c r="C248" s="141"/>
      <c r="D248" s="153" t="s">
        <v>367</v>
      </c>
      <c r="E248" s="141"/>
      <c r="F248" s="141"/>
      <c r="G248" s="141"/>
      <c r="H248" s="141"/>
      <c r="I248" s="141"/>
      <c r="J248" s="141"/>
      <c r="K248" s="141"/>
      <c r="L248" s="141"/>
      <c r="M248" s="141"/>
      <c r="N248" s="141"/>
      <c r="O248" s="141"/>
      <c r="P248" s="141"/>
      <c r="Q248" s="141"/>
    </row>
    <row r="249" spans="1:17" ht="13.5" customHeight="1" x14ac:dyDescent="0.15">
      <c r="A249" s="141"/>
      <c r="B249" s="154"/>
      <c r="C249" s="141"/>
      <c r="D249" s="153" t="s">
        <v>367</v>
      </c>
      <c r="E249" s="141"/>
      <c r="F249" s="141"/>
      <c r="G249" s="141"/>
      <c r="H249" s="141"/>
      <c r="I249" s="141"/>
      <c r="J249" s="141"/>
      <c r="K249" s="141"/>
      <c r="L249" s="141"/>
      <c r="M249" s="141"/>
      <c r="N249" s="141"/>
      <c r="O249" s="141"/>
      <c r="P249" s="141"/>
      <c r="Q249" s="141"/>
    </row>
    <row r="250" spans="1:17" ht="13.5" customHeight="1" x14ac:dyDescent="0.15">
      <c r="A250" s="141"/>
      <c r="B250" s="154"/>
      <c r="C250" s="141"/>
      <c r="D250" s="153" t="s">
        <v>367</v>
      </c>
      <c r="E250" s="141"/>
      <c r="F250" s="141"/>
      <c r="G250" s="141"/>
      <c r="H250" s="141"/>
      <c r="I250" s="141"/>
      <c r="J250" s="141"/>
      <c r="K250" s="141"/>
      <c r="L250" s="141"/>
      <c r="M250" s="141"/>
      <c r="N250" s="141"/>
      <c r="O250" s="141"/>
      <c r="P250" s="141"/>
      <c r="Q250" s="141"/>
    </row>
    <row r="251" spans="1:17" ht="13.5" customHeight="1" x14ac:dyDescent="0.15">
      <c r="A251" s="141"/>
      <c r="B251" s="154"/>
      <c r="C251" s="141"/>
      <c r="D251" s="153" t="s">
        <v>367</v>
      </c>
      <c r="E251" s="141"/>
      <c r="F251" s="141"/>
      <c r="G251" s="141"/>
      <c r="H251" s="141"/>
      <c r="I251" s="141"/>
      <c r="J251" s="141"/>
      <c r="K251" s="141"/>
      <c r="L251" s="141"/>
      <c r="M251" s="141"/>
      <c r="N251" s="141"/>
      <c r="O251" s="141"/>
      <c r="P251" s="141"/>
      <c r="Q251" s="141"/>
    </row>
    <row r="252" spans="1:17" ht="13.5" customHeight="1" x14ac:dyDescent="0.15">
      <c r="A252" s="141"/>
      <c r="B252" s="154"/>
      <c r="C252" s="141"/>
      <c r="D252" s="153" t="s">
        <v>367</v>
      </c>
      <c r="E252" s="141"/>
      <c r="F252" s="141"/>
      <c r="G252" s="141"/>
      <c r="H252" s="141"/>
      <c r="I252" s="141"/>
      <c r="J252" s="141"/>
      <c r="K252" s="141"/>
      <c r="L252" s="141"/>
      <c r="M252" s="141"/>
      <c r="N252" s="141"/>
      <c r="O252" s="141"/>
      <c r="P252" s="141"/>
      <c r="Q252" s="141"/>
    </row>
    <row r="253" spans="1:17" ht="13.5" customHeight="1" x14ac:dyDescent="0.15">
      <c r="A253" s="141"/>
      <c r="B253" s="154"/>
      <c r="C253" s="141"/>
      <c r="D253" s="153" t="s">
        <v>367</v>
      </c>
      <c r="E253" s="141"/>
      <c r="F253" s="141"/>
      <c r="G253" s="141"/>
      <c r="H253" s="141"/>
      <c r="I253" s="141"/>
      <c r="J253" s="141"/>
      <c r="K253" s="141"/>
      <c r="L253" s="141"/>
      <c r="M253" s="141"/>
      <c r="N253" s="141"/>
      <c r="O253" s="141"/>
      <c r="P253" s="141"/>
      <c r="Q253" s="141"/>
    </row>
    <row r="254" spans="1:17" ht="13.5" customHeight="1" x14ac:dyDescent="0.15">
      <c r="A254" s="141"/>
      <c r="B254" s="154"/>
      <c r="C254" s="141"/>
      <c r="D254" s="153" t="s">
        <v>367</v>
      </c>
      <c r="E254" s="141"/>
      <c r="F254" s="141"/>
      <c r="G254" s="141"/>
      <c r="H254" s="141"/>
      <c r="I254" s="141"/>
      <c r="J254" s="141"/>
      <c r="K254" s="141"/>
      <c r="L254" s="141"/>
      <c r="M254" s="141"/>
      <c r="N254" s="141"/>
      <c r="O254" s="141"/>
      <c r="P254" s="141"/>
      <c r="Q254" s="141"/>
    </row>
    <row r="255" spans="1:17" ht="13.5" customHeight="1" x14ac:dyDescent="0.15">
      <c r="A255" s="141"/>
      <c r="B255" s="154"/>
      <c r="C255" s="141"/>
      <c r="D255" s="153" t="s">
        <v>367</v>
      </c>
      <c r="E255" s="141"/>
      <c r="F255" s="141"/>
      <c r="G255" s="141"/>
      <c r="H255" s="141"/>
      <c r="I255" s="141"/>
      <c r="J255" s="141"/>
      <c r="K255" s="141"/>
      <c r="L255" s="141"/>
      <c r="M255" s="141"/>
      <c r="N255" s="141"/>
      <c r="O255" s="141"/>
      <c r="P255" s="141"/>
      <c r="Q255" s="141"/>
    </row>
    <row r="256" spans="1:17" ht="13.5" customHeight="1" x14ac:dyDescent="0.15">
      <c r="A256" s="141"/>
      <c r="B256" s="154"/>
      <c r="C256" s="141"/>
      <c r="D256" s="153" t="s">
        <v>367</v>
      </c>
      <c r="E256" s="141"/>
      <c r="F256" s="141"/>
      <c r="G256" s="141"/>
      <c r="H256" s="141"/>
      <c r="I256" s="141"/>
      <c r="J256" s="141"/>
      <c r="K256" s="141"/>
      <c r="L256" s="141"/>
      <c r="M256" s="141"/>
      <c r="N256" s="141"/>
      <c r="O256" s="141"/>
      <c r="P256" s="141"/>
      <c r="Q256" s="141"/>
    </row>
    <row r="257" spans="1:17" ht="13.5" customHeight="1" x14ac:dyDescent="0.15">
      <c r="A257" s="141"/>
      <c r="B257" s="154"/>
      <c r="C257" s="141"/>
      <c r="D257" s="153" t="s">
        <v>367</v>
      </c>
      <c r="E257" s="141"/>
      <c r="F257" s="141"/>
      <c r="G257" s="141"/>
      <c r="H257" s="141"/>
      <c r="I257" s="141"/>
      <c r="J257" s="141"/>
      <c r="K257" s="141"/>
      <c r="L257" s="141"/>
      <c r="M257" s="141"/>
      <c r="N257" s="141"/>
      <c r="O257" s="141"/>
      <c r="P257" s="141"/>
      <c r="Q257" s="141"/>
    </row>
    <row r="258" spans="1:17" ht="13.5" customHeight="1" x14ac:dyDescent="0.15">
      <c r="A258" s="141"/>
      <c r="B258" s="154"/>
      <c r="C258" s="141"/>
      <c r="D258" s="153" t="s">
        <v>367</v>
      </c>
      <c r="E258" s="141"/>
      <c r="F258" s="141"/>
      <c r="G258" s="141"/>
      <c r="H258" s="141"/>
      <c r="I258" s="141"/>
      <c r="J258" s="141"/>
      <c r="K258" s="141"/>
      <c r="L258" s="141"/>
      <c r="M258" s="141"/>
      <c r="N258" s="141"/>
      <c r="O258" s="141"/>
      <c r="P258" s="141"/>
      <c r="Q258" s="141"/>
    </row>
    <row r="259" spans="1:17" ht="13.5" customHeight="1" x14ac:dyDescent="0.15">
      <c r="A259" s="141"/>
      <c r="B259" s="154"/>
      <c r="C259" s="141"/>
      <c r="D259" s="153" t="s">
        <v>367</v>
      </c>
      <c r="E259" s="141"/>
      <c r="F259" s="141"/>
      <c r="G259" s="141"/>
      <c r="H259" s="141"/>
      <c r="I259" s="141"/>
      <c r="J259" s="141"/>
      <c r="K259" s="141"/>
      <c r="L259" s="141"/>
      <c r="M259" s="141"/>
      <c r="N259" s="141"/>
      <c r="O259" s="141"/>
      <c r="P259" s="141"/>
      <c r="Q259" s="141"/>
    </row>
    <row r="260" spans="1:17" ht="13.5" customHeight="1" x14ac:dyDescent="0.15">
      <c r="A260" s="141"/>
      <c r="B260" s="154"/>
      <c r="C260" s="141"/>
      <c r="D260" s="153" t="s">
        <v>367</v>
      </c>
      <c r="E260" s="141"/>
      <c r="F260" s="141"/>
      <c r="G260" s="141"/>
      <c r="H260" s="141"/>
      <c r="I260" s="141"/>
      <c r="J260" s="141"/>
      <c r="K260" s="141"/>
      <c r="L260" s="141"/>
      <c r="M260" s="141"/>
      <c r="N260" s="141"/>
      <c r="O260" s="141"/>
      <c r="P260" s="141"/>
      <c r="Q260" s="141"/>
    </row>
    <row r="261" spans="1:17" ht="13.5" customHeight="1" x14ac:dyDescent="0.15">
      <c r="A261" s="141"/>
      <c r="B261" s="154"/>
      <c r="C261" s="141"/>
      <c r="D261" s="153" t="s">
        <v>367</v>
      </c>
      <c r="E261" s="141"/>
      <c r="F261" s="141"/>
      <c r="G261" s="141"/>
      <c r="H261" s="141"/>
      <c r="I261" s="141"/>
      <c r="J261" s="141"/>
      <c r="K261" s="141"/>
      <c r="L261" s="141"/>
      <c r="M261" s="141"/>
      <c r="N261" s="141"/>
      <c r="O261" s="141"/>
      <c r="P261" s="141"/>
      <c r="Q261" s="141"/>
    </row>
    <row r="262" spans="1:17" ht="13.5" customHeight="1" x14ac:dyDescent="0.15">
      <c r="A262" s="141"/>
      <c r="B262" s="154"/>
      <c r="C262" s="141"/>
      <c r="D262" s="153" t="s">
        <v>367</v>
      </c>
      <c r="E262" s="141"/>
      <c r="F262" s="141"/>
      <c r="G262" s="141"/>
      <c r="H262" s="141"/>
      <c r="I262" s="141"/>
      <c r="J262" s="141"/>
      <c r="K262" s="141"/>
      <c r="L262" s="141"/>
      <c r="M262" s="141"/>
      <c r="N262" s="141"/>
      <c r="O262" s="141"/>
      <c r="P262" s="141"/>
      <c r="Q262" s="141"/>
    </row>
    <row r="263" spans="1:17" ht="13.5" customHeight="1" x14ac:dyDescent="0.15">
      <c r="A263" s="141"/>
      <c r="B263" s="154"/>
      <c r="C263" s="141"/>
      <c r="D263" s="153" t="s">
        <v>367</v>
      </c>
      <c r="E263" s="141"/>
      <c r="F263" s="141"/>
      <c r="G263" s="141"/>
      <c r="H263" s="141"/>
      <c r="I263" s="141"/>
      <c r="J263" s="141"/>
      <c r="K263" s="141"/>
      <c r="L263" s="141"/>
      <c r="M263" s="141"/>
      <c r="N263" s="141"/>
      <c r="O263" s="141"/>
      <c r="P263" s="141"/>
      <c r="Q263" s="141"/>
    </row>
    <row r="264" spans="1:17" ht="13.5" customHeight="1" x14ac:dyDescent="0.15">
      <c r="A264" s="141"/>
      <c r="B264" s="154"/>
      <c r="C264" s="141"/>
      <c r="D264" s="153" t="s">
        <v>367</v>
      </c>
      <c r="E264" s="141"/>
      <c r="F264" s="141"/>
      <c r="G264" s="141"/>
      <c r="H264" s="141"/>
      <c r="I264" s="141"/>
      <c r="J264" s="141"/>
      <c r="K264" s="141"/>
      <c r="L264" s="141"/>
      <c r="M264" s="141"/>
      <c r="N264" s="141"/>
      <c r="O264" s="141"/>
      <c r="P264" s="141"/>
      <c r="Q264" s="141"/>
    </row>
    <row r="265" spans="1:17" ht="13.5" customHeight="1" x14ac:dyDescent="0.15">
      <c r="A265" s="141"/>
      <c r="B265" s="154"/>
      <c r="C265" s="141"/>
      <c r="D265" s="153" t="s">
        <v>367</v>
      </c>
      <c r="E265" s="141"/>
      <c r="F265" s="141"/>
      <c r="G265" s="141"/>
      <c r="H265" s="141"/>
      <c r="I265" s="141"/>
      <c r="J265" s="141"/>
      <c r="K265" s="141"/>
      <c r="L265" s="141"/>
      <c r="M265" s="141"/>
      <c r="N265" s="141"/>
      <c r="O265" s="141"/>
      <c r="P265" s="141"/>
      <c r="Q265" s="141"/>
    </row>
    <row r="266" spans="1:17" ht="13.5" customHeight="1" x14ac:dyDescent="0.15">
      <c r="A266" s="141"/>
      <c r="B266" s="154"/>
      <c r="C266" s="141"/>
      <c r="D266" s="153" t="s">
        <v>367</v>
      </c>
      <c r="E266" s="141"/>
      <c r="F266" s="141"/>
      <c r="G266" s="141"/>
      <c r="H266" s="141"/>
      <c r="I266" s="141"/>
      <c r="J266" s="141"/>
      <c r="K266" s="141"/>
      <c r="L266" s="141"/>
      <c r="M266" s="141"/>
      <c r="N266" s="141"/>
      <c r="O266" s="141"/>
      <c r="P266" s="141"/>
      <c r="Q266" s="141"/>
    </row>
    <row r="267" spans="1:17" ht="13.5" customHeight="1" x14ac:dyDescent="0.15">
      <c r="A267" s="141"/>
      <c r="B267" s="154"/>
      <c r="C267" s="141"/>
      <c r="D267" s="153" t="s">
        <v>367</v>
      </c>
      <c r="E267" s="141"/>
      <c r="F267" s="141"/>
      <c r="G267" s="141"/>
      <c r="H267" s="141"/>
      <c r="I267" s="141"/>
      <c r="J267" s="141"/>
      <c r="K267" s="141"/>
      <c r="L267" s="141"/>
      <c r="M267" s="141"/>
      <c r="N267" s="141"/>
      <c r="O267" s="141"/>
      <c r="P267" s="141"/>
      <c r="Q267" s="141"/>
    </row>
    <row r="268" spans="1:17" ht="13.5" customHeight="1" x14ac:dyDescent="0.15">
      <c r="A268" s="141"/>
      <c r="B268" s="154"/>
      <c r="C268" s="141"/>
      <c r="D268" s="153" t="s">
        <v>367</v>
      </c>
      <c r="E268" s="141"/>
      <c r="F268" s="141"/>
      <c r="G268" s="141"/>
      <c r="H268" s="141"/>
      <c r="I268" s="141"/>
      <c r="J268" s="141"/>
      <c r="K268" s="141"/>
      <c r="L268" s="141"/>
      <c r="M268" s="141"/>
      <c r="N268" s="141"/>
      <c r="O268" s="141"/>
      <c r="P268" s="141"/>
      <c r="Q268" s="141"/>
    </row>
    <row r="269" spans="1:17" ht="13.5" customHeight="1" x14ac:dyDescent="0.15">
      <c r="A269" s="141"/>
      <c r="B269" s="154"/>
      <c r="C269" s="141"/>
      <c r="D269" s="153" t="s">
        <v>367</v>
      </c>
      <c r="E269" s="141"/>
      <c r="F269" s="141"/>
      <c r="G269" s="141"/>
      <c r="H269" s="141"/>
      <c r="I269" s="141"/>
      <c r="J269" s="141"/>
      <c r="K269" s="141"/>
      <c r="L269" s="141"/>
      <c r="M269" s="141"/>
      <c r="N269" s="141"/>
      <c r="O269" s="141"/>
      <c r="P269" s="141"/>
      <c r="Q269" s="141"/>
    </row>
    <row r="270" spans="1:17" ht="13.5" customHeight="1" x14ac:dyDescent="0.15">
      <c r="A270" s="141"/>
      <c r="B270" s="154"/>
      <c r="C270" s="141"/>
      <c r="D270" s="153" t="s">
        <v>367</v>
      </c>
      <c r="E270" s="141"/>
      <c r="F270" s="141"/>
      <c r="G270" s="141"/>
      <c r="H270" s="141"/>
      <c r="I270" s="141"/>
      <c r="J270" s="141"/>
      <c r="K270" s="141"/>
      <c r="L270" s="141"/>
      <c r="M270" s="141"/>
      <c r="N270" s="141"/>
      <c r="O270" s="141"/>
      <c r="P270" s="141"/>
      <c r="Q270" s="141"/>
    </row>
    <row r="271" spans="1:17" ht="13.5" customHeight="1" x14ac:dyDescent="0.15">
      <c r="A271" s="141"/>
      <c r="B271" s="154"/>
      <c r="C271" s="141"/>
      <c r="D271" s="153" t="s">
        <v>367</v>
      </c>
      <c r="E271" s="141"/>
      <c r="F271" s="141"/>
      <c r="G271" s="141"/>
      <c r="H271" s="141"/>
      <c r="I271" s="141"/>
      <c r="J271" s="141"/>
      <c r="K271" s="141"/>
      <c r="L271" s="141"/>
      <c r="M271" s="141"/>
      <c r="N271" s="141"/>
      <c r="O271" s="141"/>
      <c r="P271" s="141"/>
      <c r="Q271" s="141"/>
    </row>
    <row r="272" spans="1:17" ht="13.5" customHeight="1" x14ac:dyDescent="0.15">
      <c r="A272" s="141"/>
      <c r="B272" s="154"/>
      <c r="C272" s="141"/>
      <c r="D272" s="153" t="s">
        <v>367</v>
      </c>
      <c r="E272" s="141"/>
      <c r="F272" s="141"/>
      <c r="G272" s="141"/>
      <c r="H272" s="141"/>
      <c r="I272" s="141"/>
      <c r="J272" s="141"/>
      <c r="K272" s="141"/>
      <c r="L272" s="141"/>
      <c r="M272" s="141"/>
      <c r="N272" s="141"/>
      <c r="O272" s="141"/>
      <c r="P272" s="141"/>
      <c r="Q272" s="141"/>
    </row>
    <row r="273" spans="1:17" ht="13.5" customHeight="1" x14ac:dyDescent="0.15">
      <c r="A273" s="141"/>
      <c r="B273" s="154"/>
      <c r="C273" s="141"/>
      <c r="D273" s="153" t="s">
        <v>367</v>
      </c>
      <c r="E273" s="141"/>
      <c r="F273" s="141"/>
      <c r="G273" s="141"/>
      <c r="H273" s="141"/>
      <c r="I273" s="141"/>
      <c r="J273" s="141"/>
      <c r="K273" s="141"/>
      <c r="L273" s="141"/>
      <c r="M273" s="141"/>
      <c r="N273" s="141"/>
      <c r="O273" s="141"/>
      <c r="P273" s="141"/>
      <c r="Q273" s="141"/>
    </row>
    <row r="274" spans="1:17" ht="13.5" customHeight="1" x14ac:dyDescent="0.15">
      <c r="A274" s="141"/>
      <c r="B274" s="154"/>
      <c r="C274" s="141"/>
      <c r="D274" s="153" t="s">
        <v>367</v>
      </c>
      <c r="E274" s="141"/>
      <c r="F274" s="141"/>
      <c r="G274" s="141"/>
      <c r="H274" s="141"/>
      <c r="I274" s="141"/>
      <c r="J274" s="141"/>
      <c r="K274" s="141"/>
      <c r="L274" s="141"/>
      <c r="M274" s="141"/>
      <c r="N274" s="141"/>
      <c r="O274" s="141"/>
      <c r="P274" s="141"/>
      <c r="Q274" s="141"/>
    </row>
    <row r="275" spans="1:17" ht="13.5" customHeight="1" x14ac:dyDescent="0.15">
      <c r="A275" s="141"/>
      <c r="B275" s="154"/>
      <c r="C275" s="141"/>
      <c r="D275" s="153" t="s">
        <v>367</v>
      </c>
      <c r="E275" s="141"/>
      <c r="F275" s="141"/>
      <c r="G275" s="141"/>
      <c r="H275" s="141"/>
      <c r="I275" s="141"/>
      <c r="J275" s="141"/>
      <c r="K275" s="141"/>
      <c r="L275" s="141"/>
      <c r="M275" s="141"/>
      <c r="N275" s="141"/>
      <c r="O275" s="141"/>
      <c r="P275" s="141"/>
      <c r="Q275" s="141"/>
    </row>
    <row r="276" spans="1:17" ht="13.5" customHeight="1" x14ac:dyDescent="0.15">
      <c r="A276" s="141"/>
      <c r="B276" s="154"/>
      <c r="C276" s="141"/>
      <c r="D276" s="153" t="s">
        <v>367</v>
      </c>
      <c r="E276" s="141"/>
      <c r="F276" s="141"/>
      <c r="G276" s="141"/>
      <c r="H276" s="141"/>
      <c r="I276" s="141"/>
      <c r="J276" s="141"/>
      <c r="K276" s="141"/>
      <c r="L276" s="141"/>
      <c r="M276" s="141"/>
      <c r="N276" s="141"/>
      <c r="O276" s="141"/>
      <c r="P276" s="141"/>
      <c r="Q276" s="141"/>
    </row>
    <row r="277" spans="1:17" ht="13.5" customHeight="1" x14ac:dyDescent="0.15">
      <c r="A277" s="141"/>
      <c r="B277" s="154"/>
      <c r="C277" s="141"/>
      <c r="D277" s="153" t="s">
        <v>367</v>
      </c>
      <c r="E277" s="141"/>
      <c r="F277" s="141"/>
      <c r="G277" s="141"/>
      <c r="H277" s="141"/>
      <c r="I277" s="141"/>
      <c r="J277" s="141"/>
      <c r="K277" s="141"/>
      <c r="L277" s="141"/>
      <c r="M277" s="141"/>
      <c r="N277" s="141"/>
      <c r="O277" s="141"/>
      <c r="P277" s="141"/>
      <c r="Q277" s="141"/>
    </row>
    <row r="278" spans="1:17" ht="13.5" customHeight="1" x14ac:dyDescent="0.15">
      <c r="A278" s="141"/>
      <c r="B278" s="154"/>
      <c r="C278" s="141"/>
      <c r="D278" s="153" t="s">
        <v>367</v>
      </c>
      <c r="E278" s="141"/>
      <c r="F278" s="141"/>
      <c r="G278" s="141"/>
      <c r="H278" s="141"/>
      <c r="I278" s="141"/>
      <c r="J278" s="141"/>
      <c r="K278" s="141"/>
      <c r="L278" s="141"/>
      <c r="M278" s="141"/>
      <c r="N278" s="141"/>
      <c r="O278" s="141"/>
      <c r="P278" s="141"/>
      <c r="Q278" s="141"/>
    </row>
    <row r="279" spans="1:17" ht="13.5" customHeight="1" x14ac:dyDescent="0.15">
      <c r="A279" s="141"/>
      <c r="B279" s="154"/>
      <c r="C279" s="141"/>
      <c r="D279" s="153" t="s">
        <v>367</v>
      </c>
      <c r="E279" s="141"/>
      <c r="F279" s="141"/>
      <c r="G279" s="141"/>
      <c r="H279" s="141"/>
      <c r="I279" s="141"/>
      <c r="J279" s="141"/>
      <c r="K279" s="141"/>
      <c r="L279" s="141"/>
      <c r="M279" s="141"/>
      <c r="N279" s="141"/>
      <c r="O279" s="141"/>
      <c r="P279" s="141"/>
      <c r="Q279" s="141"/>
    </row>
    <row r="280" spans="1:17" ht="13.5" customHeight="1" x14ac:dyDescent="0.15">
      <c r="A280" s="141"/>
      <c r="B280" s="154"/>
      <c r="C280" s="141"/>
      <c r="D280" s="153" t="s">
        <v>367</v>
      </c>
      <c r="E280" s="141"/>
      <c r="F280" s="141"/>
      <c r="G280" s="141"/>
      <c r="H280" s="141"/>
      <c r="I280" s="141"/>
      <c r="J280" s="141"/>
      <c r="K280" s="141"/>
      <c r="L280" s="141"/>
      <c r="M280" s="141"/>
      <c r="N280" s="141"/>
      <c r="O280" s="141"/>
      <c r="P280" s="141"/>
      <c r="Q280" s="141"/>
    </row>
    <row r="281" spans="1:17" ht="13.5" customHeight="1" x14ac:dyDescent="0.15">
      <c r="A281" s="141"/>
      <c r="B281" s="154"/>
      <c r="C281" s="141"/>
      <c r="D281" s="153" t="s">
        <v>367</v>
      </c>
      <c r="E281" s="141"/>
      <c r="F281" s="141"/>
      <c r="G281" s="141"/>
      <c r="H281" s="141"/>
      <c r="I281" s="141"/>
      <c r="J281" s="141"/>
      <c r="K281" s="141"/>
      <c r="L281" s="141"/>
      <c r="M281" s="141"/>
      <c r="N281" s="141"/>
      <c r="O281" s="141"/>
      <c r="P281" s="141"/>
      <c r="Q281" s="141"/>
    </row>
    <row r="282" spans="1:17" ht="13.5" customHeight="1" x14ac:dyDescent="0.15">
      <c r="A282" s="141"/>
      <c r="B282" s="154"/>
      <c r="C282" s="141"/>
      <c r="D282" s="153" t="s">
        <v>367</v>
      </c>
      <c r="E282" s="141"/>
      <c r="F282" s="141"/>
      <c r="G282" s="141"/>
      <c r="H282" s="141"/>
      <c r="I282" s="141"/>
      <c r="J282" s="141"/>
      <c r="K282" s="141"/>
      <c r="L282" s="141"/>
      <c r="M282" s="141"/>
      <c r="N282" s="141"/>
      <c r="O282" s="141"/>
      <c r="P282" s="141"/>
      <c r="Q282" s="141"/>
    </row>
    <row r="283" spans="1:17" ht="13.5" customHeight="1" x14ac:dyDescent="0.15">
      <c r="A283" s="141"/>
      <c r="B283" s="154"/>
      <c r="C283" s="141"/>
      <c r="D283" s="153" t="s">
        <v>367</v>
      </c>
      <c r="E283" s="141"/>
      <c r="F283" s="141"/>
      <c r="G283" s="141"/>
      <c r="H283" s="141"/>
      <c r="I283" s="141"/>
      <c r="J283" s="141"/>
      <c r="K283" s="141"/>
      <c r="L283" s="141"/>
      <c r="M283" s="141"/>
      <c r="N283" s="141"/>
      <c r="O283" s="141"/>
      <c r="P283" s="141"/>
      <c r="Q283" s="141"/>
    </row>
    <row r="284" spans="1:17" ht="13.5" customHeight="1" x14ac:dyDescent="0.15">
      <c r="A284" s="141"/>
      <c r="B284" s="154"/>
      <c r="C284" s="141"/>
      <c r="D284" s="153" t="s">
        <v>367</v>
      </c>
      <c r="E284" s="141"/>
      <c r="F284" s="141"/>
      <c r="G284" s="141"/>
      <c r="H284" s="141"/>
      <c r="I284" s="141"/>
      <c r="J284" s="141"/>
      <c r="K284" s="141"/>
      <c r="L284" s="141"/>
      <c r="M284" s="141"/>
      <c r="N284" s="141"/>
      <c r="O284" s="141"/>
      <c r="P284" s="141"/>
      <c r="Q284" s="141"/>
    </row>
    <row r="285" spans="1:17" ht="13.5" customHeight="1" x14ac:dyDescent="0.15">
      <c r="A285" s="141"/>
      <c r="B285" s="154"/>
      <c r="C285" s="141"/>
      <c r="D285" s="153" t="s">
        <v>367</v>
      </c>
      <c r="E285" s="141"/>
      <c r="F285" s="141"/>
      <c r="G285" s="141"/>
      <c r="H285" s="141"/>
      <c r="I285" s="141"/>
      <c r="J285" s="141"/>
      <c r="K285" s="141"/>
      <c r="L285" s="141"/>
      <c r="M285" s="141"/>
      <c r="N285" s="141"/>
      <c r="O285" s="141"/>
      <c r="P285" s="141"/>
      <c r="Q285" s="141"/>
    </row>
    <row r="286" spans="1:17" ht="13.5" customHeight="1" x14ac:dyDescent="0.15">
      <c r="A286" s="141"/>
      <c r="B286" s="154"/>
      <c r="C286" s="141"/>
      <c r="D286" s="153" t="s">
        <v>367</v>
      </c>
      <c r="E286" s="141"/>
      <c r="F286" s="141"/>
      <c r="G286" s="141"/>
      <c r="H286" s="141"/>
      <c r="I286" s="141"/>
      <c r="J286" s="141"/>
      <c r="K286" s="141"/>
      <c r="L286" s="141"/>
      <c r="M286" s="141"/>
      <c r="N286" s="141"/>
      <c r="O286" s="141"/>
      <c r="P286" s="141"/>
      <c r="Q286" s="141"/>
    </row>
    <row r="287" spans="1:17" ht="13.5" customHeight="1" x14ac:dyDescent="0.15">
      <c r="A287" s="141"/>
      <c r="B287" s="154"/>
      <c r="C287" s="141"/>
      <c r="D287" s="153" t="s">
        <v>367</v>
      </c>
      <c r="E287" s="141"/>
      <c r="F287" s="141"/>
      <c r="G287" s="141"/>
      <c r="H287" s="141"/>
      <c r="I287" s="141"/>
      <c r="J287" s="141"/>
      <c r="K287" s="141"/>
      <c r="L287" s="141"/>
      <c r="M287" s="141"/>
      <c r="N287" s="141"/>
      <c r="O287" s="141"/>
      <c r="P287" s="141"/>
      <c r="Q287" s="141"/>
    </row>
    <row r="288" spans="1:17" ht="13.5" customHeight="1" x14ac:dyDescent="0.15">
      <c r="A288" s="141"/>
      <c r="B288" s="154"/>
      <c r="C288" s="141"/>
      <c r="D288" s="153" t="s">
        <v>367</v>
      </c>
      <c r="E288" s="141"/>
      <c r="F288" s="141"/>
      <c r="G288" s="141"/>
      <c r="H288" s="141"/>
      <c r="I288" s="141"/>
      <c r="J288" s="141"/>
      <c r="K288" s="141"/>
      <c r="L288" s="141"/>
      <c r="M288" s="141"/>
      <c r="N288" s="141"/>
      <c r="O288" s="141"/>
      <c r="P288" s="141"/>
      <c r="Q288" s="141"/>
    </row>
    <row r="289" spans="1:17" ht="13.5" customHeight="1" x14ac:dyDescent="0.15">
      <c r="A289" s="141"/>
      <c r="B289" s="154"/>
      <c r="C289" s="141"/>
      <c r="D289" s="153" t="s">
        <v>367</v>
      </c>
      <c r="E289" s="141"/>
      <c r="F289" s="141"/>
      <c r="G289" s="141"/>
      <c r="H289" s="141"/>
      <c r="I289" s="141"/>
      <c r="J289" s="141"/>
      <c r="K289" s="141"/>
      <c r="L289" s="141"/>
      <c r="M289" s="141"/>
      <c r="N289" s="141"/>
      <c r="O289" s="141"/>
      <c r="P289" s="141"/>
      <c r="Q289" s="141"/>
    </row>
    <row r="290" spans="1:17" ht="13.5" customHeight="1" x14ac:dyDescent="0.15">
      <c r="A290" s="141"/>
      <c r="B290" s="154"/>
      <c r="C290" s="141"/>
      <c r="D290" s="153" t="s">
        <v>367</v>
      </c>
      <c r="E290" s="141"/>
      <c r="F290" s="141"/>
      <c r="G290" s="141"/>
      <c r="H290" s="141"/>
      <c r="I290" s="141"/>
      <c r="J290" s="141"/>
      <c r="K290" s="141"/>
      <c r="L290" s="141"/>
      <c r="M290" s="141"/>
      <c r="N290" s="141"/>
      <c r="O290" s="141"/>
      <c r="P290" s="141"/>
      <c r="Q290" s="141"/>
    </row>
    <row r="291" spans="1:17" ht="13.5" customHeight="1" x14ac:dyDescent="0.15">
      <c r="A291" s="141"/>
      <c r="B291" s="154"/>
      <c r="C291" s="141"/>
      <c r="D291" s="153" t="s">
        <v>367</v>
      </c>
      <c r="E291" s="141"/>
      <c r="F291" s="141"/>
      <c r="G291" s="141"/>
      <c r="H291" s="141"/>
      <c r="I291" s="141"/>
      <c r="J291" s="141"/>
      <c r="K291" s="141"/>
      <c r="L291" s="141"/>
      <c r="M291" s="141"/>
      <c r="N291" s="141"/>
      <c r="O291" s="141"/>
      <c r="P291" s="141"/>
      <c r="Q291" s="141"/>
    </row>
    <row r="292" spans="1:17" ht="13.5" customHeight="1" x14ac:dyDescent="0.15">
      <c r="A292" s="141"/>
      <c r="B292" s="154"/>
      <c r="C292" s="141"/>
      <c r="D292" s="153" t="s">
        <v>367</v>
      </c>
      <c r="E292" s="141"/>
      <c r="F292" s="141"/>
      <c r="G292" s="141"/>
      <c r="H292" s="141"/>
      <c r="I292" s="141"/>
      <c r="J292" s="141"/>
      <c r="K292" s="141"/>
      <c r="L292" s="141"/>
      <c r="M292" s="141"/>
      <c r="N292" s="141"/>
      <c r="O292" s="141"/>
      <c r="P292" s="141"/>
      <c r="Q292" s="141"/>
    </row>
    <row r="293" spans="1:17" ht="13.5" customHeight="1" x14ac:dyDescent="0.15">
      <c r="A293" s="141"/>
      <c r="B293" s="154"/>
      <c r="C293" s="141"/>
      <c r="D293" s="153" t="s">
        <v>367</v>
      </c>
      <c r="E293" s="141"/>
      <c r="F293" s="141"/>
      <c r="G293" s="141"/>
      <c r="H293" s="141"/>
      <c r="I293" s="141"/>
      <c r="J293" s="141"/>
      <c r="K293" s="141"/>
      <c r="L293" s="141"/>
      <c r="M293" s="141"/>
      <c r="N293" s="141"/>
      <c r="O293" s="141"/>
      <c r="P293" s="141"/>
      <c r="Q293" s="141"/>
    </row>
    <row r="294" spans="1:17" ht="13.5" customHeight="1" x14ac:dyDescent="0.15">
      <c r="A294" s="141"/>
      <c r="B294" s="154"/>
      <c r="C294" s="141"/>
      <c r="D294" s="153" t="s">
        <v>367</v>
      </c>
      <c r="E294" s="141"/>
      <c r="F294" s="141"/>
      <c r="G294" s="141"/>
      <c r="H294" s="141"/>
      <c r="I294" s="141"/>
      <c r="J294" s="141"/>
      <c r="K294" s="141"/>
      <c r="L294" s="141"/>
      <c r="M294" s="141"/>
      <c r="N294" s="141"/>
      <c r="O294" s="141"/>
      <c r="P294" s="141"/>
      <c r="Q294" s="141"/>
    </row>
    <row r="295" spans="1:17" ht="13.5" customHeight="1" x14ac:dyDescent="0.15">
      <c r="A295" s="141"/>
      <c r="B295" s="154"/>
      <c r="C295" s="141"/>
      <c r="D295" s="153" t="s">
        <v>367</v>
      </c>
      <c r="E295" s="141"/>
      <c r="F295" s="141"/>
      <c r="G295" s="141"/>
      <c r="H295" s="141"/>
      <c r="I295" s="141"/>
      <c r="J295" s="141"/>
      <c r="K295" s="141"/>
      <c r="L295" s="141"/>
      <c r="M295" s="141"/>
      <c r="N295" s="141"/>
      <c r="O295" s="141"/>
      <c r="P295" s="141"/>
      <c r="Q295" s="141"/>
    </row>
    <row r="296" spans="1:17" ht="13.5" customHeight="1" x14ac:dyDescent="0.15">
      <c r="A296" s="141"/>
      <c r="B296" s="154"/>
      <c r="C296" s="141"/>
      <c r="D296" s="153" t="s">
        <v>367</v>
      </c>
      <c r="E296" s="141"/>
      <c r="F296" s="141"/>
      <c r="G296" s="141"/>
      <c r="H296" s="141"/>
      <c r="I296" s="141"/>
      <c r="J296" s="141"/>
      <c r="K296" s="141"/>
      <c r="L296" s="141"/>
      <c r="M296" s="141"/>
      <c r="N296" s="141"/>
      <c r="O296" s="141"/>
      <c r="P296" s="141"/>
      <c r="Q296" s="141"/>
    </row>
    <row r="297" spans="1:17" ht="13.5" customHeight="1" x14ac:dyDescent="0.15">
      <c r="A297" s="141"/>
      <c r="B297" s="154"/>
      <c r="C297" s="141"/>
      <c r="D297" s="153" t="s">
        <v>367</v>
      </c>
      <c r="E297" s="141"/>
      <c r="F297" s="141"/>
      <c r="G297" s="141"/>
      <c r="H297" s="141"/>
      <c r="I297" s="141"/>
      <c r="J297" s="141"/>
      <c r="K297" s="141"/>
      <c r="L297" s="141"/>
      <c r="M297" s="141"/>
      <c r="N297" s="141"/>
      <c r="O297" s="141"/>
      <c r="P297" s="141"/>
      <c r="Q297" s="141"/>
    </row>
    <row r="298" spans="1:17" ht="13.5" customHeight="1" x14ac:dyDescent="0.15">
      <c r="A298" s="141"/>
      <c r="B298" s="154"/>
      <c r="C298" s="141"/>
      <c r="D298" s="153" t="s">
        <v>367</v>
      </c>
      <c r="E298" s="141"/>
      <c r="F298" s="141"/>
      <c r="G298" s="141"/>
      <c r="H298" s="141"/>
      <c r="I298" s="141"/>
      <c r="J298" s="141"/>
      <c r="K298" s="141"/>
      <c r="L298" s="141"/>
      <c r="M298" s="141"/>
      <c r="N298" s="141"/>
      <c r="O298" s="141"/>
      <c r="P298" s="141"/>
      <c r="Q298" s="141"/>
    </row>
    <row r="299" spans="1:17" ht="13.5" customHeight="1" x14ac:dyDescent="0.15">
      <c r="A299" s="141"/>
      <c r="B299" s="154"/>
      <c r="C299" s="141"/>
      <c r="D299" s="153" t="s">
        <v>367</v>
      </c>
      <c r="E299" s="141"/>
      <c r="F299" s="141"/>
      <c r="G299" s="141"/>
      <c r="H299" s="141"/>
      <c r="I299" s="141"/>
      <c r="J299" s="141"/>
      <c r="K299" s="141"/>
      <c r="L299" s="141"/>
      <c r="M299" s="141"/>
      <c r="N299" s="141"/>
      <c r="O299" s="141"/>
      <c r="P299" s="141"/>
      <c r="Q299" s="141"/>
    </row>
    <row r="300" spans="1:17" ht="13.5" customHeight="1" x14ac:dyDescent="0.15">
      <c r="A300" s="141"/>
      <c r="B300" s="154"/>
      <c r="C300" s="141"/>
      <c r="D300" s="153" t="s">
        <v>367</v>
      </c>
      <c r="E300" s="141"/>
      <c r="F300" s="141"/>
      <c r="G300" s="141"/>
      <c r="H300" s="141"/>
      <c r="I300" s="141"/>
      <c r="J300" s="141"/>
      <c r="K300" s="141"/>
      <c r="L300" s="141"/>
      <c r="M300" s="141"/>
      <c r="N300" s="141"/>
      <c r="O300" s="141"/>
      <c r="P300" s="141"/>
      <c r="Q300" s="141"/>
    </row>
    <row r="301" spans="1:17" ht="13.5" customHeight="1" x14ac:dyDescent="0.15">
      <c r="A301" s="141"/>
      <c r="B301" s="154"/>
      <c r="C301" s="141"/>
      <c r="D301" s="153" t="s">
        <v>367</v>
      </c>
      <c r="E301" s="141"/>
      <c r="F301" s="141"/>
      <c r="G301" s="141"/>
      <c r="H301" s="141"/>
      <c r="I301" s="141"/>
      <c r="J301" s="141"/>
      <c r="K301" s="141"/>
      <c r="L301" s="141"/>
      <c r="M301" s="141"/>
      <c r="N301" s="141"/>
      <c r="O301" s="141"/>
      <c r="P301" s="141"/>
      <c r="Q301" s="141"/>
    </row>
    <row r="302" spans="1:17" ht="13.5" customHeight="1" x14ac:dyDescent="0.15">
      <c r="A302" s="141"/>
      <c r="B302" s="154"/>
      <c r="C302" s="141"/>
      <c r="D302" s="153" t="s">
        <v>367</v>
      </c>
      <c r="E302" s="141"/>
      <c r="F302" s="141"/>
      <c r="G302" s="141"/>
      <c r="H302" s="141"/>
      <c r="I302" s="141"/>
      <c r="J302" s="141"/>
      <c r="K302" s="141"/>
      <c r="L302" s="141"/>
      <c r="M302" s="141"/>
      <c r="N302" s="141"/>
      <c r="O302" s="141"/>
      <c r="P302" s="141"/>
      <c r="Q302" s="141"/>
    </row>
    <row r="303" spans="1:17" ht="13.5" customHeight="1" x14ac:dyDescent="0.15">
      <c r="A303" s="141"/>
      <c r="B303" s="154"/>
      <c r="C303" s="141"/>
      <c r="D303" s="153" t="s">
        <v>367</v>
      </c>
      <c r="E303" s="141"/>
      <c r="F303" s="141"/>
      <c r="G303" s="141"/>
      <c r="H303" s="141"/>
      <c r="I303" s="141"/>
      <c r="J303" s="141"/>
      <c r="K303" s="141"/>
      <c r="L303" s="141"/>
      <c r="M303" s="141"/>
      <c r="N303" s="141"/>
      <c r="O303" s="141"/>
      <c r="P303" s="141"/>
      <c r="Q303" s="141"/>
    </row>
    <row r="304" spans="1:17" ht="13.5" customHeight="1" x14ac:dyDescent="0.15">
      <c r="A304" s="141"/>
      <c r="B304" s="154"/>
      <c r="C304" s="141"/>
      <c r="D304" s="153" t="s">
        <v>367</v>
      </c>
      <c r="E304" s="141"/>
      <c r="F304" s="141"/>
      <c r="G304" s="141"/>
      <c r="H304" s="141"/>
      <c r="I304" s="141"/>
      <c r="J304" s="141"/>
      <c r="K304" s="141"/>
      <c r="L304" s="141"/>
      <c r="M304" s="141"/>
      <c r="N304" s="141"/>
      <c r="O304" s="141"/>
      <c r="P304" s="141"/>
      <c r="Q304" s="141"/>
    </row>
    <row r="305" spans="1:17" ht="13.5" customHeight="1" x14ac:dyDescent="0.15">
      <c r="A305" s="141"/>
      <c r="B305" s="154"/>
      <c r="C305" s="141"/>
      <c r="D305" s="153" t="s">
        <v>367</v>
      </c>
      <c r="E305" s="141"/>
      <c r="F305" s="141"/>
      <c r="G305" s="141"/>
      <c r="H305" s="141"/>
      <c r="I305" s="141"/>
      <c r="J305" s="141"/>
      <c r="K305" s="141"/>
      <c r="L305" s="141"/>
      <c r="M305" s="141"/>
      <c r="N305" s="141"/>
      <c r="O305" s="141"/>
      <c r="P305" s="141"/>
      <c r="Q305" s="141"/>
    </row>
    <row r="306" spans="1:17" ht="13.5" customHeight="1" x14ac:dyDescent="0.15">
      <c r="A306" s="141"/>
      <c r="B306" s="154"/>
      <c r="C306" s="141"/>
      <c r="D306" s="153" t="s">
        <v>367</v>
      </c>
      <c r="E306" s="141"/>
      <c r="F306" s="141"/>
      <c r="G306" s="141"/>
      <c r="H306" s="141"/>
      <c r="I306" s="141"/>
      <c r="J306" s="141"/>
      <c r="K306" s="141"/>
      <c r="L306" s="141"/>
      <c r="M306" s="141"/>
      <c r="N306" s="141"/>
      <c r="O306" s="141"/>
      <c r="P306" s="141"/>
      <c r="Q306" s="141"/>
    </row>
    <row r="307" spans="1:17" ht="13.5" customHeight="1" x14ac:dyDescent="0.15">
      <c r="A307" s="141"/>
      <c r="B307" s="154"/>
      <c r="C307" s="141"/>
      <c r="D307" s="153" t="s">
        <v>367</v>
      </c>
      <c r="E307" s="141"/>
      <c r="F307" s="141"/>
      <c r="G307" s="141"/>
      <c r="H307" s="141"/>
      <c r="I307" s="141"/>
      <c r="J307" s="141"/>
      <c r="K307" s="141"/>
      <c r="L307" s="141"/>
      <c r="M307" s="141"/>
      <c r="N307" s="141"/>
      <c r="O307" s="141"/>
      <c r="P307" s="141"/>
      <c r="Q307" s="141"/>
    </row>
    <row r="308" spans="1:17" ht="13.5" customHeight="1" x14ac:dyDescent="0.15">
      <c r="A308" s="141"/>
      <c r="B308" s="154"/>
      <c r="C308" s="141"/>
      <c r="D308" s="153" t="s">
        <v>367</v>
      </c>
      <c r="E308" s="141"/>
      <c r="F308" s="141"/>
      <c r="G308" s="141"/>
      <c r="H308" s="141"/>
      <c r="I308" s="141"/>
      <c r="J308" s="141"/>
      <c r="K308" s="141"/>
      <c r="L308" s="141"/>
      <c r="M308" s="141"/>
      <c r="N308" s="141"/>
      <c r="O308" s="141"/>
      <c r="P308" s="141"/>
      <c r="Q308" s="141"/>
    </row>
    <row r="309" spans="1:17" ht="13.5" customHeight="1" x14ac:dyDescent="0.15">
      <c r="A309" s="141"/>
      <c r="B309" s="154"/>
      <c r="C309" s="141"/>
      <c r="D309" s="153" t="s">
        <v>367</v>
      </c>
      <c r="E309" s="141"/>
      <c r="F309" s="141"/>
      <c r="G309" s="141"/>
      <c r="H309" s="141"/>
      <c r="I309" s="141"/>
      <c r="J309" s="141"/>
      <c r="K309" s="141"/>
      <c r="L309" s="141"/>
      <c r="M309" s="141"/>
      <c r="N309" s="141"/>
      <c r="O309" s="141"/>
      <c r="P309" s="141"/>
      <c r="Q309" s="141"/>
    </row>
    <row r="310" spans="1:17" ht="13.5" customHeight="1" x14ac:dyDescent="0.15">
      <c r="A310" s="141"/>
      <c r="B310" s="154"/>
      <c r="C310" s="141"/>
      <c r="D310" s="153" t="s">
        <v>367</v>
      </c>
      <c r="E310" s="141"/>
      <c r="F310" s="141"/>
      <c r="G310" s="141"/>
      <c r="H310" s="141"/>
      <c r="I310" s="141"/>
      <c r="J310" s="141"/>
      <c r="K310" s="141"/>
      <c r="L310" s="141"/>
      <c r="M310" s="141"/>
      <c r="N310" s="141"/>
      <c r="O310" s="141"/>
      <c r="P310" s="141"/>
      <c r="Q310" s="141"/>
    </row>
    <row r="311" spans="1:17" ht="13.5" customHeight="1" x14ac:dyDescent="0.15">
      <c r="A311" s="141"/>
      <c r="B311" s="154"/>
      <c r="C311" s="141"/>
      <c r="D311" s="153" t="s">
        <v>367</v>
      </c>
      <c r="E311" s="141"/>
      <c r="F311" s="141"/>
      <c r="G311" s="141"/>
      <c r="H311" s="141"/>
      <c r="I311" s="141"/>
      <c r="J311" s="141"/>
      <c r="K311" s="141"/>
      <c r="L311" s="141"/>
      <c r="M311" s="141"/>
      <c r="N311" s="141"/>
      <c r="O311" s="141"/>
      <c r="P311" s="141"/>
      <c r="Q311" s="141"/>
    </row>
    <row r="312" spans="1:17" ht="13.5" customHeight="1" x14ac:dyDescent="0.15">
      <c r="A312" s="141"/>
      <c r="B312" s="154"/>
      <c r="C312" s="141"/>
      <c r="D312" s="153" t="s">
        <v>367</v>
      </c>
      <c r="E312" s="141"/>
      <c r="F312" s="141"/>
      <c r="G312" s="141"/>
      <c r="H312" s="141"/>
      <c r="I312" s="141"/>
      <c r="J312" s="141"/>
      <c r="K312" s="141"/>
      <c r="L312" s="141"/>
      <c r="M312" s="141"/>
      <c r="N312" s="141"/>
      <c r="O312" s="141"/>
      <c r="P312" s="141"/>
      <c r="Q312" s="141"/>
    </row>
    <row r="313" spans="1:17" ht="13.5" customHeight="1" x14ac:dyDescent="0.15">
      <c r="A313" s="141"/>
      <c r="B313" s="154"/>
      <c r="C313" s="141"/>
      <c r="D313" s="153" t="s">
        <v>367</v>
      </c>
      <c r="E313" s="141"/>
      <c r="F313" s="141"/>
      <c r="G313" s="141"/>
      <c r="H313" s="141"/>
      <c r="I313" s="141"/>
      <c r="J313" s="141"/>
      <c r="K313" s="141"/>
      <c r="L313" s="141"/>
      <c r="M313" s="141"/>
      <c r="N313" s="141"/>
      <c r="O313" s="141"/>
      <c r="P313" s="141"/>
      <c r="Q313" s="141"/>
    </row>
    <row r="314" spans="1:17" ht="13.5" customHeight="1" x14ac:dyDescent="0.15">
      <c r="A314" s="141"/>
      <c r="B314" s="154"/>
      <c r="C314" s="141"/>
      <c r="D314" s="153" t="s">
        <v>367</v>
      </c>
      <c r="E314" s="141"/>
      <c r="F314" s="141"/>
      <c r="G314" s="141"/>
      <c r="H314" s="141"/>
      <c r="I314" s="141"/>
      <c r="J314" s="141"/>
      <c r="K314" s="141"/>
      <c r="L314" s="141"/>
      <c r="M314" s="141"/>
      <c r="N314" s="141"/>
      <c r="O314" s="141"/>
      <c r="P314" s="141"/>
      <c r="Q314" s="141"/>
    </row>
    <row r="315" spans="1:17" ht="13.5" customHeight="1" x14ac:dyDescent="0.15">
      <c r="A315" s="141"/>
      <c r="B315" s="154"/>
      <c r="C315" s="141"/>
      <c r="D315" s="153" t="s">
        <v>367</v>
      </c>
      <c r="E315" s="141"/>
      <c r="F315" s="141"/>
      <c r="G315" s="141"/>
      <c r="H315" s="141"/>
      <c r="I315" s="141"/>
      <c r="J315" s="141"/>
      <c r="K315" s="141"/>
      <c r="L315" s="141"/>
      <c r="M315" s="141"/>
      <c r="N315" s="141"/>
      <c r="O315" s="141"/>
      <c r="P315" s="141"/>
      <c r="Q315" s="141"/>
    </row>
    <row r="316" spans="1:17" ht="13.5" customHeight="1" x14ac:dyDescent="0.15">
      <c r="A316" s="141"/>
      <c r="B316" s="154"/>
      <c r="C316" s="141"/>
      <c r="D316" s="153" t="s">
        <v>367</v>
      </c>
      <c r="E316" s="141"/>
      <c r="F316" s="141"/>
      <c r="G316" s="141"/>
      <c r="H316" s="141"/>
      <c r="I316" s="141"/>
      <c r="J316" s="141"/>
      <c r="K316" s="141"/>
      <c r="L316" s="141"/>
      <c r="M316" s="141"/>
      <c r="N316" s="141"/>
      <c r="O316" s="141"/>
      <c r="P316" s="141"/>
      <c r="Q316" s="141"/>
    </row>
    <row r="317" spans="1:17" ht="13.5" customHeight="1" x14ac:dyDescent="0.15">
      <c r="A317" s="141"/>
      <c r="B317" s="154"/>
      <c r="C317" s="141"/>
      <c r="D317" s="153" t="s">
        <v>367</v>
      </c>
      <c r="E317" s="141"/>
      <c r="F317" s="141"/>
      <c r="G317" s="141"/>
      <c r="H317" s="141"/>
      <c r="I317" s="141"/>
      <c r="J317" s="141"/>
      <c r="K317" s="141"/>
      <c r="L317" s="141"/>
      <c r="M317" s="141"/>
      <c r="N317" s="141"/>
      <c r="O317" s="141"/>
      <c r="P317" s="141"/>
      <c r="Q317" s="141"/>
    </row>
    <row r="318" spans="1:17" ht="13.5" customHeight="1" x14ac:dyDescent="0.15">
      <c r="A318" s="141"/>
      <c r="B318" s="154"/>
      <c r="C318" s="141"/>
      <c r="D318" s="153" t="s">
        <v>367</v>
      </c>
      <c r="E318" s="141"/>
      <c r="F318" s="141"/>
      <c r="G318" s="141"/>
      <c r="H318" s="141"/>
      <c r="I318" s="141"/>
      <c r="J318" s="141"/>
      <c r="K318" s="141"/>
      <c r="L318" s="141"/>
      <c r="M318" s="141"/>
      <c r="N318" s="141"/>
      <c r="O318" s="141"/>
      <c r="P318" s="141"/>
      <c r="Q318" s="141"/>
    </row>
    <row r="319" spans="1:17" ht="13.5" customHeight="1" x14ac:dyDescent="0.15">
      <c r="A319" s="141"/>
      <c r="B319" s="154"/>
      <c r="C319" s="141"/>
      <c r="D319" s="153" t="s">
        <v>367</v>
      </c>
      <c r="E319" s="141"/>
      <c r="F319" s="141"/>
      <c r="G319" s="141"/>
      <c r="H319" s="141"/>
      <c r="I319" s="141"/>
      <c r="J319" s="141"/>
      <c r="K319" s="141"/>
      <c r="L319" s="141"/>
      <c r="M319" s="141"/>
      <c r="N319" s="141"/>
      <c r="O319" s="141"/>
      <c r="P319" s="141"/>
      <c r="Q319" s="141"/>
    </row>
    <row r="320" spans="1:17" ht="13.5" customHeight="1" x14ac:dyDescent="0.15">
      <c r="A320" s="141"/>
      <c r="B320" s="154"/>
      <c r="C320" s="141"/>
      <c r="D320" s="153" t="s">
        <v>367</v>
      </c>
      <c r="E320" s="141"/>
      <c r="F320" s="141"/>
      <c r="G320" s="141"/>
      <c r="H320" s="141"/>
      <c r="I320" s="141"/>
      <c r="J320" s="141"/>
      <c r="K320" s="141"/>
      <c r="L320" s="141"/>
      <c r="M320" s="141"/>
      <c r="N320" s="141"/>
      <c r="O320" s="141"/>
      <c r="P320" s="141"/>
      <c r="Q320" s="141"/>
    </row>
    <row r="321" spans="1:17" ht="13.5" customHeight="1" x14ac:dyDescent="0.15">
      <c r="A321" s="141"/>
      <c r="B321" s="154"/>
      <c r="C321" s="141"/>
      <c r="D321" s="153" t="s">
        <v>367</v>
      </c>
      <c r="E321" s="141"/>
      <c r="F321" s="141"/>
      <c r="G321" s="141"/>
      <c r="H321" s="141"/>
      <c r="I321" s="141"/>
      <c r="J321" s="141"/>
      <c r="K321" s="141"/>
      <c r="L321" s="141"/>
      <c r="M321" s="141"/>
      <c r="N321" s="141"/>
      <c r="O321" s="141"/>
      <c r="P321" s="141"/>
      <c r="Q321" s="141"/>
    </row>
    <row r="322" spans="1:17" ht="13.5" customHeight="1" x14ac:dyDescent="0.15">
      <c r="A322" s="141"/>
      <c r="B322" s="154"/>
      <c r="C322" s="141"/>
      <c r="D322" s="153" t="s">
        <v>367</v>
      </c>
      <c r="E322" s="141"/>
      <c r="F322" s="141"/>
      <c r="G322" s="141"/>
      <c r="H322" s="141"/>
      <c r="I322" s="141"/>
      <c r="J322" s="141"/>
      <c r="K322" s="141"/>
      <c r="L322" s="141"/>
      <c r="M322" s="141"/>
      <c r="N322" s="141"/>
      <c r="O322" s="141"/>
      <c r="P322" s="141"/>
      <c r="Q322" s="141"/>
    </row>
    <row r="323" spans="1:17" ht="13.5" customHeight="1" x14ac:dyDescent="0.15">
      <c r="A323" s="141"/>
      <c r="B323" s="154"/>
      <c r="C323" s="141"/>
      <c r="D323" s="153" t="s">
        <v>367</v>
      </c>
      <c r="E323" s="141"/>
      <c r="F323" s="141"/>
      <c r="G323" s="141"/>
      <c r="H323" s="141"/>
      <c r="I323" s="141"/>
      <c r="J323" s="141"/>
      <c r="K323" s="141"/>
      <c r="L323" s="141"/>
      <c r="M323" s="141"/>
      <c r="N323" s="141"/>
      <c r="O323" s="141"/>
      <c r="P323" s="141"/>
      <c r="Q323" s="141"/>
    </row>
    <row r="324" spans="1:17" ht="13.5" customHeight="1" x14ac:dyDescent="0.15">
      <c r="A324" s="141"/>
      <c r="B324" s="154"/>
      <c r="C324" s="141"/>
      <c r="D324" s="153" t="s">
        <v>367</v>
      </c>
      <c r="E324" s="141"/>
      <c r="F324" s="141"/>
      <c r="G324" s="141"/>
      <c r="H324" s="141"/>
      <c r="I324" s="141"/>
      <c r="J324" s="141"/>
      <c r="K324" s="141"/>
      <c r="L324" s="141"/>
      <c r="M324" s="141"/>
      <c r="N324" s="141"/>
      <c r="O324" s="141"/>
      <c r="P324" s="141"/>
      <c r="Q324" s="141"/>
    </row>
    <row r="325" spans="1:17" ht="13.5" customHeight="1" x14ac:dyDescent="0.15">
      <c r="A325" s="141"/>
      <c r="B325" s="154"/>
      <c r="C325" s="141"/>
      <c r="D325" s="153" t="s">
        <v>367</v>
      </c>
      <c r="E325" s="141"/>
      <c r="F325" s="141"/>
      <c r="G325" s="141"/>
      <c r="H325" s="141"/>
      <c r="I325" s="141"/>
      <c r="J325" s="141"/>
      <c r="K325" s="141"/>
      <c r="L325" s="141"/>
      <c r="M325" s="141"/>
      <c r="N325" s="141"/>
      <c r="O325" s="141"/>
      <c r="P325" s="141"/>
      <c r="Q325" s="141"/>
    </row>
    <row r="326" spans="1:17" ht="13.5" customHeight="1" x14ac:dyDescent="0.15">
      <c r="A326" s="141"/>
      <c r="B326" s="154"/>
      <c r="C326" s="141"/>
      <c r="D326" s="153" t="s">
        <v>367</v>
      </c>
      <c r="E326" s="141"/>
      <c r="F326" s="141"/>
      <c r="G326" s="141"/>
      <c r="H326" s="141"/>
      <c r="I326" s="141"/>
      <c r="J326" s="141"/>
      <c r="K326" s="141"/>
      <c r="L326" s="141"/>
      <c r="M326" s="141"/>
      <c r="N326" s="141"/>
      <c r="O326" s="141"/>
      <c r="P326" s="141"/>
      <c r="Q326" s="141"/>
    </row>
    <row r="327" spans="1:17" ht="13.5" customHeight="1" x14ac:dyDescent="0.15">
      <c r="A327" s="141"/>
      <c r="B327" s="154"/>
      <c r="C327" s="141"/>
      <c r="D327" s="153" t="s">
        <v>367</v>
      </c>
      <c r="E327" s="141"/>
      <c r="F327" s="141"/>
      <c r="G327" s="141"/>
      <c r="H327" s="141"/>
      <c r="I327" s="141"/>
      <c r="J327" s="141"/>
      <c r="K327" s="141"/>
      <c r="L327" s="141"/>
      <c r="M327" s="141"/>
      <c r="N327" s="141"/>
      <c r="O327" s="141"/>
      <c r="P327" s="141"/>
      <c r="Q327" s="141"/>
    </row>
    <row r="328" spans="1:17" ht="13.5" customHeight="1" x14ac:dyDescent="0.15">
      <c r="A328" s="141"/>
      <c r="B328" s="154"/>
      <c r="C328" s="141"/>
      <c r="D328" s="153" t="s">
        <v>367</v>
      </c>
      <c r="E328" s="141"/>
      <c r="F328" s="141"/>
      <c r="G328" s="141"/>
      <c r="H328" s="141"/>
      <c r="I328" s="141"/>
      <c r="J328" s="141"/>
      <c r="K328" s="141"/>
      <c r="L328" s="141"/>
      <c r="M328" s="141"/>
      <c r="N328" s="141"/>
      <c r="O328" s="141"/>
      <c r="P328" s="141"/>
      <c r="Q328" s="141"/>
    </row>
    <row r="329" spans="1:17" ht="13.5" customHeight="1" x14ac:dyDescent="0.15">
      <c r="A329" s="141"/>
      <c r="B329" s="154"/>
      <c r="C329" s="141"/>
      <c r="D329" s="153" t="s">
        <v>367</v>
      </c>
      <c r="E329" s="141"/>
      <c r="F329" s="141"/>
      <c r="G329" s="141"/>
      <c r="H329" s="141"/>
      <c r="I329" s="141"/>
      <c r="J329" s="141"/>
      <c r="K329" s="141"/>
      <c r="L329" s="141"/>
      <c r="M329" s="141"/>
      <c r="N329" s="141"/>
      <c r="O329" s="141"/>
      <c r="P329" s="141"/>
      <c r="Q329" s="141"/>
    </row>
    <row r="330" spans="1:17" ht="13.5" customHeight="1" x14ac:dyDescent="0.15">
      <c r="A330" s="141"/>
      <c r="B330" s="154"/>
      <c r="C330" s="141"/>
      <c r="D330" s="153" t="s">
        <v>367</v>
      </c>
      <c r="E330" s="141"/>
      <c r="F330" s="141"/>
      <c r="G330" s="141"/>
      <c r="H330" s="141"/>
      <c r="I330" s="141"/>
      <c r="J330" s="141"/>
      <c r="K330" s="141"/>
      <c r="L330" s="141"/>
      <c r="M330" s="141"/>
      <c r="N330" s="141"/>
      <c r="O330" s="141"/>
      <c r="P330" s="141"/>
      <c r="Q330" s="141"/>
    </row>
    <row r="331" spans="1:17" ht="13.5" customHeight="1" x14ac:dyDescent="0.15">
      <c r="A331" s="141"/>
      <c r="B331" s="154"/>
      <c r="C331" s="141"/>
      <c r="D331" s="153" t="s">
        <v>367</v>
      </c>
      <c r="E331" s="141"/>
      <c r="F331" s="141"/>
      <c r="G331" s="141"/>
      <c r="H331" s="141"/>
      <c r="I331" s="141"/>
      <c r="J331" s="141"/>
      <c r="K331" s="141"/>
      <c r="L331" s="141"/>
      <c r="M331" s="141"/>
      <c r="N331" s="141"/>
      <c r="O331" s="141"/>
      <c r="P331" s="141"/>
      <c r="Q331" s="141"/>
    </row>
    <row r="332" spans="1:17" ht="13.5" customHeight="1" x14ac:dyDescent="0.15">
      <c r="A332" s="141"/>
      <c r="B332" s="154"/>
      <c r="C332" s="141"/>
      <c r="D332" s="153" t="s">
        <v>367</v>
      </c>
      <c r="E332" s="141"/>
      <c r="F332" s="141"/>
      <c r="G332" s="141"/>
      <c r="H332" s="141"/>
      <c r="I332" s="141"/>
      <c r="J332" s="141"/>
      <c r="K332" s="141"/>
      <c r="L332" s="141"/>
      <c r="M332" s="141"/>
      <c r="N332" s="141"/>
      <c r="O332" s="141"/>
      <c r="P332" s="141"/>
      <c r="Q332" s="141"/>
    </row>
    <row r="333" spans="1:17" ht="13.5" customHeight="1" x14ac:dyDescent="0.15">
      <c r="A333" s="141"/>
      <c r="B333" s="154"/>
      <c r="C333" s="141"/>
      <c r="D333" s="153" t="s">
        <v>367</v>
      </c>
      <c r="E333" s="141"/>
      <c r="F333" s="141"/>
      <c r="G333" s="141"/>
      <c r="H333" s="141"/>
      <c r="I333" s="141"/>
      <c r="J333" s="141"/>
      <c r="K333" s="141"/>
      <c r="L333" s="141"/>
      <c r="M333" s="141"/>
      <c r="N333" s="141"/>
      <c r="O333" s="141"/>
      <c r="P333" s="141"/>
      <c r="Q333" s="141"/>
    </row>
    <row r="334" spans="1:17" ht="13.5" customHeight="1" x14ac:dyDescent="0.15">
      <c r="A334" s="141"/>
      <c r="B334" s="154"/>
      <c r="C334" s="141"/>
      <c r="D334" s="153" t="s">
        <v>367</v>
      </c>
      <c r="E334" s="141"/>
      <c r="F334" s="141"/>
      <c r="G334" s="141"/>
      <c r="H334" s="141"/>
      <c r="I334" s="141"/>
      <c r="J334" s="141"/>
      <c r="K334" s="141"/>
      <c r="L334" s="141"/>
      <c r="M334" s="141"/>
      <c r="N334" s="141"/>
      <c r="O334" s="141"/>
      <c r="P334" s="141"/>
      <c r="Q334" s="141"/>
    </row>
    <row r="335" spans="1:17" ht="13.5" customHeight="1" x14ac:dyDescent="0.15">
      <c r="A335" s="141"/>
      <c r="B335" s="154"/>
      <c r="C335" s="141"/>
      <c r="D335" s="153" t="s">
        <v>367</v>
      </c>
      <c r="E335" s="141"/>
      <c r="F335" s="141"/>
      <c r="G335" s="141"/>
      <c r="H335" s="141"/>
      <c r="I335" s="141"/>
      <c r="J335" s="141"/>
      <c r="K335" s="141"/>
      <c r="L335" s="141"/>
      <c r="M335" s="141"/>
      <c r="N335" s="141"/>
      <c r="O335" s="141"/>
      <c r="P335" s="141"/>
      <c r="Q335" s="141"/>
    </row>
    <row r="336" spans="1:17" ht="13.5" customHeight="1" x14ac:dyDescent="0.15">
      <c r="A336" s="141"/>
      <c r="B336" s="154"/>
      <c r="C336" s="141"/>
      <c r="D336" s="153" t="s">
        <v>367</v>
      </c>
      <c r="E336" s="141"/>
      <c r="F336" s="141"/>
      <c r="G336" s="141"/>
      <c r="H336" s="141"/>
      <c r="I336" s="141"/>
      <c r="J336" s="141"/>
      <c r="K336" s="141"/>
      <c r="L336" s="141"/>
      <c r="M336" s="141"/>
      <c r="N336" s="141"/>
      <c r="O336" s="141"/>
      <c r="P336" s="141"/>
      <c r="Q336" s="141"/>
    </row>
    <row r="337" spans="1:17" ht="13.5" customHeight="1" x14ac:dyDescent="0.15">
      <c r="A337" s="141"/>
      <c r="B337" s="154"/>
      <c r="C337" s="141"/>
      <c r="D337" s="153" t="s">
        <v>367</v>
      </c>
      <c r="E337" s="141"/>
      <c r="F337" s="141"/>
      <c r="G337" s="141"/>
      <c r="H337" s="141"/>
      <c r="I337" s="141"/>
      <c r="J337" s="141"/>
      <c r="K337" s="141"/>
      <c r="L337" s="141"/>
      <c r="M337" s="141"/>
      <c r="N337" s="141"/>
      <c r="O337" s="141"/>
      <c r="P337" s="141"/>
      <c r="Q337" s="141"/>
    </row>
    <row r="338" spans="1:17" ht="13.5" customHeight="1" x14ac:dyDescent="0.15">
      <c r="A338" s="141"/>
      <c r="B338" s="154"/>
      <c r="C338" s="141"/>
      <c r="D338" s="153" t="s">
        <v>367</v>
      </c>
      <c r="E338" s="141"/>
      <c r="F338" s="141"/>
      <c r="G338" s="141"/>
      <c r="H338" s="141"/>
      <c r="I338" s="141"/>
      <c r="J338" s="141"/>
      <c r="K338" s="141"/>
      <c r="L338" s="141"/>
      <c r="M338" s="141"/>
      <c r="N338" s="141"/>
      <c r="O338" s="141"/>
      <c r="P338" s="141"/>
      <c r="Q338" s="141"/>
    </row>
    <row r="339" spans="1:17" ht="13.5" customHeight="1" x14ac:dyDescent="0.15">
      <c r="A339" s="141"/>
      <c r="B339" s="154"/>
      <c r="C339" s="141"/>
      <c r="D339" s="153" t="s">
        <v>367</v>
      </c>
      <c r="E339" s="141"/>
      <c r="F339" s="141"/>
      <c r="G339" s="141"/>
      <c r="H339" s="141"/>
      <c r="I339" s="141"/>
      <c r="J339" s="141"/>
      <c r="K339" s="141"/>
      <c r="L339" s="141"/>
      <c r="M339" s="141"/>
      <c r="N339" s="141"/>
      <c r="O339" s="141"/>
      <c r="P339" s="141"/>
      <c r="Q339" s="141"/>
    </row>
    <row r="340" spans="1:17" ht="13.5" customHeight="1" x14ac:dyDescent="0.15">
      <c r="A340" s="141"/>
      <c r="B340" s="154"/>
      <c r="C340" s="141"/>
      <c r="D340" s="153" t="s">
        <v>367</v>
      </c>
      <c r="E340" s="141"/>
      <c r="F340" s="141"/>
      <c r="G340" s="141"/>
      <c r="H340" s="141"/>
      <c r="I340" s="141"/>
      <c r="J340" s="141"/>
      <c r="K340" s="141"/>
      <c r="L340" s="141"/>
      <c r="M340" s="141"/>
      <c r="N340" s="141"/>
      <c r="O340" s="141"/>
      <c r="P340" s="141"/>
      <c r="Q340" s="141"/>
    </row>
    <row r="341" spans="1:17" ht="13.5" customHeight="1" x14ac:dyDescent="0.15">
      <c r="A341" s="141"/>
      <c r="B341" s="154"/>
      <c r="C341" s="141"/>
      <c r="D341" s="153" t="s">
        <v>367</v>
      </c>
      <c r="E341" s="141"/>
      <c r="F341" s="141"/>
      <c r="G341" s="141"/>
      <c r="H341" s="141"/>
      <c r="I341" s="141"/>
      <c r="J341" s="141"/>
      <c r="K341" s="141"/>
      <c r="L341" s="141"/>
      <c r="M341" s="141"/>
      <c r="N341" s="141"/>
      <c r="O341" s="141"/>
      <c r="P341" s="141"/>
      <c r="Q341" s="141"/>
    </row>
    <row r="342" spans="1:17" ht="13.5" customHeight="1" x14ac:dyDescent="0.15">
      <c r="A342" s="141"/>
      <c r="B342" s="154"/>
      <c r="C342" s="141"/>
      <c r="D342" s="153" t="s">
        <v>367</v>
      </c>
      <c r="E342" s="141"/>
      <c r="F342" s="141"/>
      <c r="G342" s="141"/>
      <c r="H342" s="141"/>
      <c r="I342" s="141"/>
      <c r="J342" s="141"/>
      <c r="K342" s="141"/>
      <c r="L342" s="141"/>
      <c r="M342" s="141"/>
      <c r="N342" s="141"/>
      <c r="O342" s="141"/>
      <c r="P342" s="141"/>
      <c r="Q342" s="141"/>
    </row>
    <row r="343" spans="1:17" ht="13.5" customHeight="1" x14ac:dyDescent="0.15">
      <c r="A343" s="141"/>
      <c r="B343" s="154"/>
      <c r="C343" s="141"/>
      <c r="D343" s="153" t="s">
        <v>367</v>
      </c>
      <c r="E343" s="141"/>
      <c r="F343" s="141"/>
      <c r="G343" s="141"/>
      <c r="H343" s="141"/>
      <c r="I343" s="141"/>
      <c r="J343" s="141"/>
      <c r="K343" s="141"/>
      <c r="L343" s="141"/>
      <c r="M343" s="141"/>
      <c r="N343" s="141"/>
      <c r="O343" s="141"/>
      <c r="P343" s="141"/>
      <c r="Q343" s="141"/>
    </row>
    <row r="344" spans="1:17" ht="13.5" customHeight="1" x14ac:dyDescent="0.15">
      <c r="A344" s="141"/>
      <c r="B344" s="154"/>
      <c r="C344" s="141"/>
      <c r="D344" s="153" t="s">
        <v>367</v>
      </c>
      <c r="E344" s="141"/>
      <c r="F344" s="141"/>
      <c r="G344" s="141"/>
      <c r="H344" s="141"/>
      <c r="I344" s="141"/>
      <c r="J344" s="141"/>
      <c r="K344" s="141"/>
      <c r="L344" s="141"/>
      <c r="M344" s="141"/>
      <c r="N344" s="141"/>
      <c r="O344" s="141"/>
      <c r="P344" s="141"/>
      <c r="Q344" s="141"/>
    </row>
    <row r="345" spans="1:17" ht="13.5" customHeight="1" x14ac:dyDescent="0.15">
      <c r="A345" s="141"/>
      <c r="B345" s="154"/>
      <c r="C345" s="141"/>
      <c r="D345" s="153" t="s">
        <v>367</v>
      </c>
      <c r="E345" s="141"/>
      <c r="F345" s="141"/>
      <c r="G345" s="141"/>
      <c r="H345" s="141"/>
      <c r="I345" s="141"/>
      <c r="J345" s="141"/>
      <c r="K345" s="141"/>
      <c r="L345" s="141"/>
      <c r="M345" s="141"/>
      <c r="N345" s="141"/>
      <c r="O345" s="141"/>
      <c r="P345" s="141"/>
      <c r="Q345" s="141"/>
    </row>
    <row r="346" spans="1:17" ht="13.5" customHeight="1" x14ac:dyDescent="0.15">
      <c r="A346" s="141"/>
      <c r="B346" s="154"/>
      <c r="C346" s="141"/>
      <c r="D346" s="153" t="s">
        <v>367</v>
      </c>
      <c r="E346" s="141"/>
      <c r="F346" s="141"/>
      <c r="G346" s="141"/>
      <c r="H346" s="141"/>
      <c r="I346" s="141"/>
      <c r="J346" s="141"/>
      <c r="K346" s="141"/>
      <c r="L346" s="141"/>
      <c r="M346" s="141"/>
      <c r="N346" s="141"/>
      <c r="O346" s="141"/>
      <c r="P346" s="141"/>
      <c r="Q346" s="141"/>
    </row>
    <row r="347" spans="1:17" ht="13.5" customHeight="1" x14ac:dyDescent="0.15">
      <c r="A347" s="141"/>
      <c r="B347" s="154"/>
      <c r="C347" s="141"/>
      <c r="D347" s="153" t="s">
        <v>367</v>
      </c>
      <c r="E347" s="141"/>
      <c r="F347" s="141"/>
      <c r="G347" s="141"/>
      <c r="H347" s="141"/>
      <c r="I347" s="141"/>
      <c r="J347" s="141"/>
      <c r="K347" s="141"/>
      <c r="L347" s="141"/>
      <c r="M347" s="141"/>
      <c r="N347" s="141"/>
      <c r="O347" s="141"/>
      <c r="P347" s="141"/>
      <c r="Q347" s="141"/>
    </row>
    <row r="348" spans="1:17" ht="13.5" customHeight="1" x14ac:dyDescent="0.15">
      <c r="A348" s="141"/>
      <c r="B348" s="154"/>
      <c r="C348" s="141"/>
      <c r="D348" s="153" t="s">
        <v>367</v>
      </c>
      <c r="E348" s="141"/>
      <c r="F348" s="141"/>
      <c r="G348" s="141"/>
      <c r="H348" s="141"/>
      <c r="I348" s="141"/>
      <c r="J348" s="141"/>
      <c r="K348" s="141"/>
      <c r="L348" s="141"/>
      <c r="M348" s="141"/>
      <c r="N348" s="141"/>
      <c r="O348" s="141"/>
      <c r="P348" s="141"/>
      <c r="Q348" s="141"/>
    </row>
    <row r="349" spans="1:17" ht="13.5" customHeight="1" x14ac:dyDescent="0.15">
      <c r="A349" s="141"/>
      <c r="B349" s="154"/>
      <c r="C349" s="141"/>
      <c r="D349" s="153" t="s">
        <v>367</v>
      </c>
      <c r="E349" s="141"/>
      <c r="F349" s="141"/>
      <c r="G349" s="141"/>
      <c r="H349" s="141"/>
      <c r="I349" s="141"/>
      <c r="J349" s="141"/>
      <c r="K349" s="141"/>
      <c r="L349" s="141"/>
      <c r="M349" s="141"/>
      <c r="N349" s="141"/>
      <c r="O349" s="141"/>
      <c r="P349" s="141"/>
      <c r="Q349" s="141"/>
    </row>
    <row r="350" spans="1:17" ht="13.5" customHeight="1" x14ac:dyDescent="0.15">
      <c r="A350" s="141"/>
      <c r="B350" s="154"/>
      <c r="C350" s="141"/>
      <c r="D350" s="153" t="s">
        <v>367</v>
      </c>
      <c r="E350" s="141"/>
      <c r="F350" s="141"/>
      <c r="G350" s="141"/>
      <c r="H350" s="141"/>
      <c r="I350" s="141"/>
      <c r="J350" s="141"/>
      <c r="K350" s="141"/>
      <c r="L350" s="141"/>
      <c r="M350" s="141"/>
      <c r="N350" s="141"/>
      <c r="O350" s="141"/>
      <c r="P350" s="141"/>
      <c r="Q350" s="141"/>
    </row>
    <row r="351" spans="1:17" ht="13.5" customHeight="1" x14ac:dyDescent="0.15">
      <c r="A351" s="141"/>
      <c r="B351" s="154"/>
      <c r="C351" s="141"/>
      <c r="D351" s="153" t="s">
        <v>367</v>
      </c>
      <c r="E351" s="141"/>
      <c r="F351" s="141"/>
      <c r="G351" s="141"/>
      <c r="H351" s="141"/>
      <c r="I351" s="141"/>
      <c r="J351" s="141"/>
      <c r="K351" s="141"/>
      <c r="L351" s="141"/>
      <c r="M351" s="141"/>
      <c r="N351" s="141"/>
      <c r="O351" s="141"/>
      <c r="P351" s="141"/>
      <c r="Q351" s="141"/>
    </row>
    <row r="352" spans="1:17" ht="13.5" customHeight="1" x14ac:dyDescent="0.15">
      <c r="A352" s="141"/>
      <c r="B352" s="154"/>
      <c r="C352" s="141"/>
      <c r="D352" s="153" t="s">
        <v>367</v>
      </c>
      <c r="E352" s="141"/>
      <c r="F352" s="141"/>
      <c r="G352" s="141"/>
      <c r="H352" s="141"/>
      <c r="I352" s="141"/>
      <c r="J352" s="141"/>
      <c r="K352" s="141"/>
      <c r="L352" s="141"/>
      <c r="M352" s="141"/>
      <c r="N352" s="141"/>
      <c r="O352" s="141"/>
      <c r="P352" s="141"/>
      <c r="Q352" s="141"/>
    </row>
    <row r="353" spans="1:17" ht="13.5" customHeight="1" x14ac:dyDescent="0.15">
      <c r="A353" s="141"/>
      <c r="B353" s="154"/>
      <c r="C353" s="141"/>
      <c r="D353" s="153" t="s">
        <v>367</v>
      </c>
      <c r="E353" s="141"/>
      <c r="F353" s="141"/>
      <c r="G353" s="141"/>
      <c r="H353" s="141"/>
      <c r="I353" s="141"/>
      <c r="J353" s="141"/>
      <c r="K353" s="141"/>
      <c r="L353" s="141"/>
      <c r="M353" s="141"/>
      <c r="N353" s="141"/>
      <c r="O353" s="141"/>
      <c r="P353" s="141"/>
      <c r="Q353" s="141"/>
    </row>
    <row r="354" spans="1:17" ht="13.5" customHeight="1" x14ac:dyDescent="0.15">
      <c r="A354" s="141"/>
      <c r="B354" s="154"/>
      <c r="C354" s="141"/>
      <c r="D354" s="153" t="s">
        <v>367</v>
      </c>
      <c r="E354" s="141"/>
      <c r="F354" s="141"/>
      <c r="G354" s="141"/>
      <c r="H354" s="141"/>
      <c r="I354" s="141"/>
      <c r="J354" s="141"/>
      <c r="K354" s="141"/>
      <c r="L354" s="141"/>
      <c r="M354" s="141"/>
      <c r="N354" s="141"/>
      <c r="O354" s="141"/>
      <c r="P354" s="141"/>
      <c r="Q354" s="141"/>
    </row>
    <row r="355" spans="1:17" ht="13.5" customHeight="1" x14ac:dyDescent="0.15">
      <c r="A355" s="141"/>
      <c r="B355" s="154"/>
      <c r="C355" s="141"/>
      <c r="D355" s="153" t="s">
        <v>367</v>
      </c>
      <c r="E355" s="141"/>
      <c r="F355" s="141"/>
      <c r="G355" s="141"/>
      <c r="H355" s="141"/>
      <c r="I355" s="141"/>
      <c r="J355" s="141"/>
      <c r="K355" s="141"/>
      <c r="L355" s="141"/>
      <c r="M355" s="141"/>
      <c r="N355" s="141"/>
      <c r="O355" s="141"/>
      <c r="P355" s="141"/>
      <c r="Q355" s="141"/>
    </row>
    <row r="356" spans="1:17" ht="13.5" customHeight="1" x14ac:dyDescent="0.15">
      <c r="A356" s="141"/>
      <c r="B356" s="154"/>
      <c r="C356" s="141"/>
      <c r="D356" s="153" t="s">
        <v>367</v>
      </c>
      <c r="E356" s="141"/>
      <c r="F356" s="141"/>
      <c r="G356" s="141"/>
      <c r="H356" s="141"/>
      <c r="I356" s="141"/>
      <c r="J356" s="141"/>
      <c r="K356" s="141"/>
      <c r="L356" s="141"/>
      <c r="M356" s="141"/>
      <c r="N356" s="141"/>
      <c r="O356" s="141"/>
      <c r="P356" s="141"/>
      <c r="Q356" s="141"/>
    </row>
    <row r="357" spans="1:17" ht="13.5" customHeight="1" x14ac:dyDescent="0.15">
      <c r="A357" s="141"/>
      <c r="B357" s="154"/>
      <c r="C357" s="141"/>
      <c r="D357" s="153" t="s">
        <v>367</v>
      </c>
      <c r="E357" s="141"/>
      <c r="F357" s="141"/>
      <c r="G357" s="141"/>
      <c r="H357" s="141"/>
      <c r="I357" s="141"/>
      <c r="J357" s="141"/>
      <c r="K357" s="141"/>
      <c r="L357" s="141"/>
      <c r="M357" s="141"/>
      <c r="N357" s="141"/>
      <c r="O357" s="141"/>
      <c r="P357" s="141"/>
      <c r="Q357" s="141"/>
    </row>
    <row r="358" spans="1:17" ht="13.5" customHeight="1" x14ac:dyDescent="0.15">
      <c r="A358" s="141"/>
      <c r="B358" s="154"/>
      <c r="C358" s="141"/>
      <c r="D358" s="153" t="s">
        <v>367</v>
      </c>
      <c r="E358" s="141"/>
      <c r="F358" s="141"/>
      <c r="G358" s="141"/>
      <c r="H358" s="141"/>
      <c r="I358" s="141"/>
      <c r="J358" s="141"/>
      <c r="K358" s="141"/>
      <c r="L358" s="141"/>
      <c r="M358" s="141"/>
      <c r="N358" s="141"/>
      <c r="O358" s="141"/>
      <c r="P358" s="141"/>
      <c r="Q358" s="141"/>
    </row>
    <row r="359" spans="1:17" ht="13.5" customHeight="1" x14ac:dyDescent="0.15">
      <c r="A359" s="141"/>
      <c r="B359" s="154"/>
      <c r="C359" s="141"/>
      <c r="D359" s="153" t="s">
        <v>367</v>
      </c>
      <c r="E359" s="141"/>
      <c r="F359" s="141"/>
      <c r="G359" s="141"/>
      <c r="H359" s="141"/>
      <c r="I359" s="141"/>
      <c r="J359" s="141"/>
      <c r="K359" s="141"/>
      <c r="L359" s="141"/>
      <c r="M359" s="141"/>
      <c r="N359" s="141"/>
      <c r="O359" s="141"/>
      <c r="P359" s="141"/>
      <c r="Q359" s="141"/>
    </row>
    <row r="360" spans="1:17" ht="13.5" customHeight="1" x14ac:dyDescent="0.15">
      <c r="A360" s="141"/>
      <c r="B360" s="154"/>
      <c r="C360" s="141"/>
      <c r="D360" s="153" t="s">
        <v>367</v>
      </c>
      <c r="E360" s="141"/>
      <c r="F360" s="141"/>
      <c r="G360" s="141"/>
      <c r="H360" s="141"/>
      <c r="I360" s="141"/>
      <c r="J360" s="141"/>
      <c r="K360" s="141"/>
      <c r="L360" s="141"/>
      <c r="M360" s="141"/>
      <c r="N360" s="141"/>
      <c r="O360" s="141"/>
      <c r="P360" s="141"/>
      <c r="Q360" s="141"/>
    </row>
    <row r="361" spans="1:17" ht="13.5" customHeight="1" x14ac:dyDescent="0.15">
      <c r="A361" s="141"/>
      <c r="B361" s="154"/>
      <c r="C361" s="141"/>
      <c r="D361" s="153" t="s">
        <v>367</v>
      </c>
      <c r="E361" s="141"/>
      <c r="F361" s="141"/>
      <c r="G361" s="141"/>
      <c r="H361" s="141"/>
      <c r="I361" s="141"/>
      <c r="J361" s="141"/>
      <c r="K361" s="141"/>
      <c r="L361" s="141"/>
      <c r="M361" s="141"/>
      <c r="N361" s="141"/>
      <c r="O361" s="141"/>
      <c r="P361" s="141"/>
      <c r="Q361" s="141"/>
    </row>
    <row r="362" spans="1:17" ht="13.5" customHeight="1" x14ac:dyDescent="0.15">
      <c r="A362" s="141"/>
      <c r="B362" s="154"/>
      <c r="C362" s="141"/>
      <c r="D362" s="153" t="s">
        <v>367</v>
      </c>
      <c r="E362" s="141"/>
      <c r="F362" s="141"/>
      <c r="G362" s="141"/>
      <c r="H362" s="141"/>
      <c r="I362" s="141"/>
      <c r="J362" s="141"/>
      <c r="K362" s="141"/>
      <c r="L362" s="141"/>
      <c r="M362" s="141"/>
      <c r="N362" s="141"/>
      <c r="O362" s="141"/>
      <c r="P362" s="141"/>
      <c r="Q362" s="141"/>
    </row>
    <row r="363" spans="1:17" ht="13.5" customHeight="1" x14ac:dyDescent="0.15">
      <c r="A363" s="141"/>
      <c r="B363" s="154"/>
      <c r="C363" s="141"/>
      <c r="D363" s="153" t="s">
        <v>367</v>
      </c>
      <c r="E363" s="141"/>
      <c r="F363" s="141"/>
      <c r="G363" s="141"/>
      <c r="H363" s="141"/>
      <c r="I363" s="141"/>
      <c r="J363" s="141"/>
      <c r="K363" s="141"/>
      <c r="L363" s="141"/>
      <c r="M363" s="141"/>
      <c r="N363" s="141"/>
      <c r="O363" s="141"/>
      <c r="P363" s="141"/>
      <c r="Q363" s="141"/>
    </row>
    <row r="364" spans="1:17" ht="13.5" customHeight="1" x14ac:dyDescent="0.15">
      <c r="A364" s="141"/>
      <c r="B364" s="154"/>
      <c r="C364" s="141"/>
      <c r="D364" s="153" t="s">
        <v>367</v>
      </c>
      <c r="E364" s="141"/>
      <c r="F364" s="141"/>
      <c r="G364" s="141"/>
      <c r="H364" s="141"/>
      <c r="I364" s="141"/>
      <c r="J364" s="141"/>
      <c r="K364" s="141"/>
      <c r="L364" s="141"/>
      <c r="M364" s="141"/>
      <c r="N364" s="141"/>
      <c r="O364" s="141"/>
      <c r="P364" s="141"/>
      <c r="Q364" s="141"/>
    </row>
    <row r="365" spans="1:17" ht="13.5" customHeight="1" x14ac:dyDescent="0.15">
      <c r="A365" s="141"/>
      <c r="B365" s="154"/>
      <c r="C365" s="141"/>
      <c r="D365" s="153" t="s">
        <v>367</v>
      </c>
      <c r="E365" s="141"/>
      <c r="F365" s="141"/>
      <c r="G365" s="141"/>
      <c r="H365" s="141"/>
      <c r="I365" s="141"/>
      <c r="J365" s="141"/>
      <c r="K365" s="141"/>
      <c r="L365" s="141"/>
      <c r="M365" s="141"/>
      <c r="N365" s="141"/>
      <c r="O365" s="141"/>
      <c r="P365" s="141"/>
      <c r="Q365" s="141"/>
    </row>
    <row r="366" spans="1:17" ht="13.5" customHeight="1" x14ac:dyDescent="0.15">
      <c r="A366" s="141"/>
      <c r="B366" s="154"/>
      <c r="C366" s="141"/>
      <c r="D366" s="153" t="s">
        <v>367</v>
      </c>
      <c r="E366" s="141"/>
      <c r="F366" s="141"/>
      <c r="G366" s="141"/>
      <c r="H366" s="141"/>
      <c r="I366" s="141"/>
      <c r="J366" s="141"/>
      <c r="K366" s="141"/>
      <c r="L366" s="141"/>
      <c r="M366" s="141"/>
      <c r="N366" s="141"/>
      <c r="O366" s="141"/>
      <c r="P366" s="141"/>
      <c r="Q366" s="141"/>
    </row>
    <row r="367" spans="1:17" ht="13.5" customHeight="1" x14ac:dyDescent="0.15">
      <c r="A367" s="141"/>
      <c r="B367" s="154"/>
      <c r="C367" s="141"/>
      <c r="D367" s="153" t="s">
        <v>367</v>
      </c>
      <c r="E367" s="141"/>
      <c r="F367" s="141"/>
      <c r="G367" s="141"/>
      <c r="H367" s="141"/>
      <c r="I367" s="141"/>
      <c r="J367" s="141"/>
      <c r="K367" s="141"/>
      <c r="L367" s="141"/>
      <c r="M367" s="141"/>
      <c r="N367" s="141"/>
      <c r="O367" s="141"/>
      <c r="P367" s="141"/>
      <c r="Q367" s="141"/>
    </row>
    <row r="368" spans="1:17" ht="13.5" customHeight="1" x14ac:dyDescent="0.15">
      <c r="A368" s="141"/>
      <c r="B368" s="154"/>
      <c r="C368" s="141"/>
      <c r="D368" s="153" t="s">
        <v>367</v>
      </c>
      <c r="E368" s="141"/>
      <c r="F368" s="141"/>
      <c r="G368" s="141"/>
      <c r="H368" s="141"/>
      <c r="I368" s="141"/>
      <c r="J368" s="141"/>
      <c r="K368" s="141"/>
      <c r="L368" s="141"/>
      <c r="M368" s="141"/>
      <c r="N368" s="141"/>
      <c r="O368" s="141"/>
      <c r="P368" s="141"/>
      <c r="Q368" s="141"/>
    </row>
    <row r="369" spans="1:17" ht="13.5" customHeight="1" x14ac:dyDescent="0.15">
      <c r="A369" s="141"/>
      <c r="B369" s="154"/>
      <c r="C369" s="141"/>
      <c r="D369" s="153" t="s">
        <v>367</v>
      </c>
      <c r="E369" s="141"/>
      <c r="F369" s="141"/>
      <c r="G369" s="141"/>
      <c r="H369" s="141"/>
      <c r="I369" s="141"/>
      <c r="J369" s="141"/>
      <c r="K369" s="141"/>
      <c r="L369" s="141"/>
      <c r="M369" s="141"/>
      <c r="N369" s="141"/>
      <c r="O369" s="141"/>
      <c r="P369" s="141"/>
      <c r="Q369" s="141"/>
    </row>
    <row r="370" spans="1:17" ht="13.5" customHeight="1" x14ac:dyDescent="0.15">
      <c r="A370" s="141"/>
      <c r="B370" s="154"/>
      <c r="C370" s="141"/>
      <c r="D370" s="153" t="s">
        <v>367</v>
      </c>
      <c r="E370" s="141"/>
      <c r="F370" s="141"/>
      <c r="G370" s="141"/>
      <c r="H370" s="141"/>
      <c r="I370" s="141"/>
      <c r="J370" s="141"/>
      <c r="K370" s="141"/>
      <c r="L370" s="141"/>
      <c r="M370" s="141"/>
      <c r="N370" s="141"/>
      <c r="O370" s="141"/>
      <c r="P370" s="141"/>
      <c r="Q370" s="141"/>
    </row>
    <row r="371" spans="1:17" ht="13.5" customHeight="1" x14ac:dyDescent="0.15">
      <c r="A371" s="141"/>
      <c r="B371" s="154"/>
      <c r="C371" s="141"/>
      <c r="D371" s="153" t="s">
        <v>367</v>
      </c>
      <c r="E371" s="141"/>
      <c r="F371" s="141"/>
      <c r="G371" s="141"/>
      <c r="H371" s="141"/>
      <c r="I371" s="141"/>
      <c r="J371" s="141"/>
      <c r="K371" s="141"/>
      <c r="L371" s="141"/>
      <c r="M371" s="141"/>
      <c r="N371" s="141"/>
      <c r="O371" s="141"/>
      <c r="P371" s="141"/>
      <c r="Q371" s="141"/>
    </row>
    <row r="372" spans="1:17" ht="13.5" customHeight="1" x14ac:dyDescent="0.15">
      <c r="A372" s="141"/>
      <c r="B372" s="154"/>
      <c r="C372" s="141"/>
      <c r="D372" s="153" t="s">
        <v>367</v>
      </c>
      <c r="E372" s="141"/>
      <c r="F372" s="141"/>
      <c r="G372" s="141"/>
      <c r="H372" s="141"/>
      <c r="I372" s="141"/>
      <c r="J372" s="141"/>
      <c r="K372" s="141"/>
      <c r="L372" s="141"/>
      <c r="M372" s="141"/>
      <c r="N372" s="141"/>
      <c r="O372" s="141"/>
      <c r="P372" s="141"/>
      <c r="Q372" s="141"/>
    </row>
    <row r="373" spans="1:17" ht="13.5" customHeight="1" x14ac:dyDescent="0.15">
      <c r="A373" s="141"/>
      <c r="B373" s="154"/>
      <c r="C373" s="141"/>
      <c r="D373" s="153" t="s">
        <v>367</v>
      </c>
      <c r="E373" s="141"/>
      <c r="F373" s="141"/>
      <c r="G373" s="141"/>
      <c r="H373" s="141"/>
      <c r="I373" s="141"/>
      <c r="J373" s="141"/>
      <c r="K373" s="141"/>
      <c r="L373" s="141"/>
      <c r="M373" s="141"/>
      <c r="N373" s="141"/>
      <c r="O373" s="141"/>
      <c r="P373" s="141"/>
      <c r="Q373" s="141"/>
    </row>
    <row r="374" spans="1:17" ht="13.5" customHeight="1" x14ac:dyDescent="0.15">
      <c r="A374" s="141"/>
      <c r="B374" s="154"/>
      <c r="C374" s="141"/>
      <c r="D374" s="153" t="s">
        <v>367</v>
      </c>
      <c r="E374" s="141"/>
      <c r="F374" s="141"/>
      <c r="G374" s="141"/>
      <c r="H374" s="141"/>
      <c r="I374" s="141"/>
      <c r="J374" s="141"/>
      <c r="K374" s="141"/>
      <c r="L374" s="141"/>
      <c r="M374" s="141"/>
      <c r="N374" s="141"/>
      <c r="O374" s="141"/>
      <c r="P374" s="141"/>
      <c r="Q374" s="141"/>
    </row>
    <row r="375" spans="1:17" ht="13.5" customHeight="1" x14ac:dyDescent="0.15">
      <c r="A375" s="141"/>
      <c r="B375" s="154"/>
      <c r="C375" s="141"/>
      <c r="D375" s="153" t="s">
        <v>367</v>
      </c>
      <c r="E375" s="141"/>
      <c r="F375" s="141"/>
      <c r="G375" s="141"/>
      <c r="H375" s="141"/>
      <c r="I375" s="141"/>
      <c r="J375" s="141"/>
      <c r="K375" s="141"/>
      <c r="L375" s="141"/>
      <c r="M375" s="141"/>
      <c r="N375" s="141"/>
      <c r="O375" s="141"/>
      <c r="P375" s="141"/>
      <c r="Q375" s="141"/>
    </row>
    <row r="376" spans="1:17" ht="13.5" customHeight="1" x14ac:dyDescent="0.15">
      <c r="A376" s="141"/>
      <c r="B376" s="154"/>
      <c r="C376" s="141"/>
      <c r="D376" s="153" t="s">
        <v>367</v>
      </c>
      <c r="E376" s="141"/>
      <c r="F376" s="141"/>
      <c r="G376" s="141"/>
      <c r="H376" s="141"/>
      <c r="I376" s="141"/>
      <c r="J376" s="141"/>
      <c r="K376" s="141"/>
      <c r="L376" s="141"/>
      <c r="M376" s="141"/>
      <c r="N376" s="141"/>
      <c r="O376" s="141"/>
      <c r="P376" s="141"/>
      <c r="Q376" s="141"/>
    </row>
    <row r="377" spans="1:17" ht="13.5" customHeight="1" x14ac:dyDescent="0.15">
      <c r="A377" s="141"/>
      <c r="B377" s="154"/>
      <c r="C377" s="141"/>
      <c r="D377" s="153" t="s">
        <v>367</v>
      </c>
      <c r="E377" s="141"/>
      <c r="F377" s="141"/>
      <c r="G377" s="141"/>
      <c r="H377" s="141"/>
      <c r="I377" s="141"/>
      <c r="J377" s="141"/>
      <c r="K377" s="141"/>
      <c r="L377" s="141"/>
      <c r="M377" s="141"/>
      <c r="N377" s="141"/>
      <c r="O377" s="141"/>
      <c r="P377" s="141"/>
      <c r="Q377" s="141"/>
    </row>
    <row r="378" spans="1:17" ht="13.5" customHeight="1" x14ac:dyDescent="0.15">
      <c r="A378" s="141"/>
      <c r="B378" s="154"/>
      <c r="C378" s="141"/>
      <c r="D378" s="153" t="s">
        <v>367</v>
      </c>
      <c r="E378" s="141"/>
      <c r="F378" s="141"/>
      <c r="G378" s="141"/>
      <c r="H378" s="141"/>
      <c r="I378" s="141"/>
      <c r="J378" s="141"/>
      <c r="K378" s="141"/>
      <c r="L378" s="141"/>
      <c r="M378" s="141"/>
      <c r="N378" s="141"/>
      <c r="O378" s="141"/>
      <c r="P378" s="141"/>
      <c r="Q378" s="141"/>
    </row>
    <row r="379" spans="1:17" ht="13.5" customHeight="1" x14ac:dyDescent="0.15">
      <c r="A379" s="141"/>
      <c r="B379" s="154"/>
      <c r="C379" s="141"/>
      <c r="D379" s="153" t="s">
        <v>367</v>
      </c>
      <c r="E379" s="141"/>
      <c r="F379" s="141"/>
      <c r="G379" s="141"/>
      <c r="H379" s="141"/>
      <c r="I379" s="141"/>
      <c r="J379" s="141"/>
      <c r="K379" s="141"/>
      <c r="L379" s="141"/>
      <c r="M379" s="141"/>
      <c r="N379" s="141"/>
      <c r="O379" s="141"/>
      <c r="P379" s="141"/>
      <c r="Q379" s="141"/>
    </row>
    <row r="380" spans="1:17" ht="13.5" customHeight="1" x14ac:dyDescent="0.15">
      <c r="A380" s="141"/>
      <c r="B380" s="154"/>
      <c r="C380" s="141"/>
      <c r="D380" s="153" t="s">
        <v>367</v>
      </c>
      <c r="E380" s="141"/>
      <c r="F380" s="141"/>
      <c r="G380" s="141"/>
      <c r="H380" s="141"/>
      <c r="I380" s="141"/>
      <c r="J380" s="141"/>
      <c r="K380" s="141"/>
      <c r="L380" s="141"/>
      <c r="M380" s="141"/>
      <c r="N380" s="141"/>
      <c r="O380" s="141"/>
      <c r="P380" s="141"/>
      <c r="Q380" s="141"/>
    </row>
    <row r="381" spans="1:17" ht="13.5" customHeight="1" x14ac:dyDescent="0.15">
      <c r="A381" s="141"/>
      <c r="B381" s="154"/>
      <c r="C381" s="141"/>
      <c r="D381" s="153" t="s">
        <v>367</v>
      </c>
      <c r="E381" s="141"/>
      <c r="F381" s="141"/>
      <c r="G381" s="141"/>
      <c r="H381" s="141"/>
      <c r="I381" s="141"/>
      <c r="J381" s="141"/>
      <c r="K381" s="141"/>
      <c r="L381" s="141"/>
      <c r="M381" s="141"/>
      <c r="N381" s="141"/>
      <c r="O381" s="141"/>
      <c r="P381" s="141"/>
      <c r="Q381" s="141"/>
    </row>
    <row r="382" spans="1:17" ht="13.5" customHeight="1" x14ac:dyDescent="0.15">
      <c r="A382" s="141"/>
      <c r="B382" s="154"/>
      <c r="C382" s="141"/>
      <c r="D382" s="153" t="s">
        <v>367</v>
      </c>
      <c r="E382" s="141"/>
      <c r="F382" s="141"/>
      <c r="G382" s="141"/>
      <c r="H382" s="141"/>
      <c r="I382" s="141"/>
      <c r="J382" s="141"/>
      <c r="K382" s="141"/>
      <c r="L382" s="141"/>
      <c r="M382" s="141"/>
      <c r="N382" s="141"/>
      <c r="O382" s="141"/>
      <c r="P382" s="141"/>
      <c r="Q382" s="141"/>
    </row>
    <row r="383" spans="1:17" ht="13.5" customHeight="1" x14ac:dyDescent="0.15">
      <c r="A383" s="141"/>
      <c r="B383" s="154"/>
      <c r="C383" s="141"/>
      <c r="D383" s="153" t="s">
        <v>367</v>
      </c>
      <c r="E383" s="141"/>
      <c r="F383" s="141"/>
      <c r="G383" s="141"/>
      <c r="H383" s="141"/>
      <c r="I383" s="141"/>
      <c r="J383" s="141"/>
      <c r="K383" s="141"/>
      <c r="L383" s="141"/>
      <c r="M383" s="141"/>
      <c r="N383" s="141"/>
      <c r="O383" s="141"/>
      <c r="P383" s="141"/>
      <c r="Q383" s="141"/>
    </row>
    <row r="384" spans="1:17" ht="13.5" customHeight="1" x14ac:dyDescent="0.15">
      <c r="A384" s="141"/>
      <c r="B384" s="154"/>
      <c r="C384" s="141"/>
      <c r="D384" s="153" t="s">
        <v>367</v>
      </c>
      <c r="E384" s="141"/>
      <c r="F384" s="141"/>
      <c r="G384" s="141"/>
      <c r="H384" s="141"/>
      <c r="I384" s="141"/>
      <c r="J384" s="141"/>
      <c r="K384" s="141"/>
      <c r="L384" s="141"/>
      <c r="M384" s="141"/>
      <c r="N384" s="141"/>
      <c r="O384" s="141"/>
      <c r="P384" s="141"/>
      <c r="Q384" s="141"/>
    </row>
    <row r="385" spans="1:17" ht="13.5" customHeight="1" x14ac:dyDescent="0.15">
      <c r="A385" s="141"/>
      <c r="B385" s="154"/>
      <c r="C385" s="141"/>
      <c r="D385" s="153" t="s">
        <v>367</v>
      </c>
      <c r="E385" s="141"/>
      <c r="F385" s="141"/>
      <c r="G385" s="141"/>
      <c r="H385" s="141"/>
      <c r="I385" s="141"/>
      <c r="J385" s="141"/>
      <c r="K385" s="141"/>
      <c r="L385" s="141"/>
      <c r="M385" s="141"/>
      <c r="N385" s="141"/>
      <c r="O385" s="141"/>
      <c r="P385" s="141"/>
      <c r="Q385" s="141"/>
    </row>
    <row r="386" spans="1:17" ht="13.5" customHeight="1" x14ac:dyDescent="0.15">
      <c r="A386" s="141"/>
      <c r="B386" s="154"/>
      <c r="C386" s="141"/>
      <c r="D386" s="153" t="s">
        <v>367</v>
      </c>
      <c r="E386" s="141"/>
      <c r="F386" s="141"/>
      <c r="G386" s="141"/>
      <c r="H386" s="141"/>
      <c r="I386" s="141"/>
      <c r="J386" s="141"/>
      <c r="K386" s="141"/>
      <c r="L386" s="141"/>
      <c r="M386" s="141"/>
      <c r="N386" s="141"/>
      <c r="O386" s="141"/>
      <c r="P386" s="141"/>
      <c r="Q386" s="141"/>
    </row>
    <row r="387" spans="1:17" ht="13.5" customHeight="1" x14ac:dyDescent="0.15">
      <c r="A387" s="141"/>
      <c r="B387" s="154"/>
      <c r="C387" s="141"/>
      <c r="D387" s="153" t="s">
        <v>367</v>
      </c>
      <c r="E387" s="141"/>
      <c r="F387" s="141"/>
      <c r="G387" s="141"/>
      <c r="H387" s="141"/>
      <c r="I387" s="141"/>
      <c r="J387" s="141"/>
      <c r="K387" s="141"/>
      <c r="L387" s="141"/>
      <c r="M387" s="141"/>
      <c r="N387" s="141"/>
      <c r="O387" s="141"/>
      <c r="P387" s="141"/>
      <c r="Q387" s="141"/>
    </row>
    <row r="388" spans="1:17" ht="13.5" customHeight="1" x14ac:dyDescent="0.15">
      <c r="A388" s="141"/>
      <c r="B388" s="154"/>
      <c r="C388" s="141"/>
      <c r="D388" s="153" t="s">
        <v>367</v>
      </c>
      <c r="E388" s="141"/>
      <c r="F388" s="141"/>
      <c r="G388" s="141"/>
      <c r="H388" s="141"/>
      <c r="I388" s="141"/>
      <c r="J388" s="141"/>
      <c r="K388" s="141"/>
      <c r="L388" s="141"/>
      <c r="M388" s="141"/>
      <c r="N388" s="141"/>
      <c r="O388" s="141"/>
      <c r="P388" s="141"/>
      <c r="Q388" s="141"/>
    </row>
    <row r="389" spans="1:17" ht="13.5" customHeight="1" x14ac:dyDescent="0.15">
      <c r="A389" s="141"/>
      <c r="B389" s="154"/>
      <c r="C389" s="141"/>
      <c r="D389" s="153" t="s">
        <v>367</v>
      </c>
      <c r="E389" s="141"/>
      <c r="F389" s="141"/>
      <c r="G389" s="141"/>
      <c r="H389" s="141"/>
      <c r="I389" s="141"/>
      <c r="J389" s="141"/>
      <c r="K389" s="141"/>
      <c r="L389" s="141"/>
      <c r="M389" s="141"/>
      <c r="N389" s="141"/>
      <c r="O389" s="141"/>
      <c r="P389" s="141"/>
      <c r="Q389" s="141"/>
    </row>
    <row r="390" spans="1:17" ht="13.5" customHeight="1" x14ac:dyDescent="0.15">
      <c r="A390" s="141"/>
      <c r="B390" s="154"/>
      <c r="C390" s="141"/>
      <c r="D390" s="153" t="s">
        <v>367</v>
      </c>
      <c r="E390" s="141"/>
      <c r="F390" s="141"/>
      <c r="G390" s="141"/>
      <c r="H390" s="141"/>
      <c r="I390" s="141"/>
      <c r="J390" s="141"/>
      <c r="K390" s="141"/>
      <c r="L390" s="141"/>
      <c r="M390" s="141"/>
      <c r="N390" s="141"/>
      <c r="O390" s="141"/>
      <c r="P390" s="141"/>
      <c r="Q390" s="141"/>
    </row>
    <row r="391" spans="1:17" ht="13.5" customHeight="1" x14ac:dyDescent="0.15">
      <c r="A391" s="141"/>
      <c r="B391" s="154"/>
      <c r="C391" s="141"/>
      <c r="D391" s="153" t="s">
        <v>367</v>
      </c>
      <c r="E391" s="141"/>
      <c r="F391" s="141"/>
      <c r="G391" s="141"/>
      <c r="H391" s="141"/>
      <c r="I391" s="141"/>
      <c r="J391" s="141"/>
      <c r="K391" s="141"/>
      <c r="L391" s="141"/>
      <c r="M391" s="141"/>
      <c r="N391" s="141"/>
      <c r="O391" s="141"/>
      <c r="P391" s="141"/>
      <c r="Q391" s="141"/>
    </row>
    <row r="392" spans="1:17" ht="13.5" customHeight="1" x14ac:dyDescent="0.15">
      <c r="A392" s="141"/>
      <c r="B392" s="154"/>
      <c r="C392" s="141"/>
      <c r="D392" s="153" t="s">
        <v>367</v>
      </c>
      <c r="E392" s="141"/>
      <c r="F392" s="141"/>
      <c r="G392" s="141"/>
      <c r="H392" s="141"/>
      <c r="I392" s="141"/>
      <c r="J392" s="141"/>
      <c r="K392" s="141"/>
      <c r="L392" s="141"/>
      <c r="M392" s="141"/>
      <c r="N392" s="141"/>
      <c r="O392" s="141"/>
      <c r="P392" s="141"/>
      <c r="Q392" s="141"/>
    </row>
    <row r="393" spans="1:17" ht="13.5" customHeight="1" x14ac:dyDescent="0.15">
      <c r="A393" s="141"/>
      <c r="B393" s="154"/>
      <c r="C393" s="141"/>
      <c r="D393" s="153" t="s">
        <v>367</v>
      </c>
      <c r="E393" s="141"/>
      <c r="F393" s="141"/>
      <c r="G393" s="141"/>
      <c r="H393" s="141"/>
      <c r="I393" s="141"/>
      <c r="J393" s="141"/>
      <c r="K393" s="141"/>
      <c r="L393" s="141"/>
      <c r="M393" s="141"/>
      <c r="N393" s="141"/>
      <c r="O393" s="141"/>
      <c r="P393" s="141"/>
      <c r="Q393" s="141"/>
    </row>
    <row r="394" spans="1:17" ht="13.5" customHeight="1" x14ac:dyDescent="0.15">
      <c r="A394" s="141"/>
      <c r="B394" s="154"/>
      <c r="C394" s="141"/>
      <c r="D394" s="153" t="s">
        <v>367</v>
      </c>
      <c r="E394" s="141"/>
      <c r="F394" s="141"/>
      <c r="G394" s="141"/>
      <c r="H394" s="141"/>
      <c r="I394" s="141"/>
      <c r="J394" s="141"/>
      <c r="K394" s="141"/>
      <c r="L394" s="141"/>
      <c r="M394" s="141"/>
      <c r="N394" s="141"/>
      <c r="O394" s="141"/>
      <c r="P394" s="141"/>
      <c r="Q394" s="141"/>
    </row>
    <row r="395" spans="1:17" ht="13.5" customHeight="1" x14ac:dyDescent="0.15">
      <c r="A395" s="141"/>
      <c r="B395" s="154"/>
      <c r="C395" s="141"/>
      <c r="D395" s="153" t="s">
        <v>367</v>
      </c>
      <c r="E395" s="141"/>
      <c r="F395" s="141"/>
      <c r="G395" s="141"/>
      <c r="H395" s="141"/>
      <c r="I395" s="141"/>
      <c r="J395" s="141"/>
      <c r="K395" s="141"/>
      <c r="L395" s="141"/>
      <c r="M395" s="141"/>
      <c r="N395" s="141"/>
      <c r="O395" s="141"/>
      <c r="P395" s="141"/>
      <c r="Q395" s="141"/>
    </row>
    <row r="396" spans="1:17" ht="13.5" customHeight="1" x14ac:dyDescent="0.15">
      <c r="A396" s="141"/>
      <c r="B396" s="154"/>
      <c r="C396" s="141"/>
      <c r="D396" s="153" t="s">
        <v>367</v>
      </c>
      <c r="E396" s="141"/>
      <c r="F396" s="141"/>
      <c r="G396" s="141"/>
      <c r="H396" s="141"/>
      <c r="I396" s="141"/>
      <c r="J396" s="141"/>
      <c r="K396" s="141"/>
      <c r="L396" s="141"/>
      <c r="M396" s="141"/>
      <c r="N396" s="141"/>
      <c r="O396" s="141"/>
      <c r="P396" s="141"/>
      <c r="Q396" s="141"/>
    </row>
    <row r="397" spans="1:17" ht="13.5" customHeight="1" x14ac:dyDescent="0.15">
      <c r="A397" s="141"/>
      <c r="B397" s="154"/>
      <c r="C397" s="141"/>
      <c r="D397" s="153" t="s">
        <v>367</v>
      </c>
      <c r="E397" s="141"/>
      <c r="F397" s="141"/>
      <c r="G397" s="141"/>
      <c r="H397" s="141"/>
      <c r="I397" s="141"/>
      <c r="J397" s="141"/>
      <c r="K397" s="141"/>
      <c r="L397" s="141"/>
      <c r="M397" s="141"/>
      <c r="N397" s="141"/>
      <c r="O397" s="141"/>
      <c r="P397" s="141"/>
      <c r="Q397" s="141"/>
    </row>
    <row r="398" spans="1:17" ht="13.5" customHeight="1" x14ac:dyDescent="0.15">
      <c r="A398" s="141"/>
      <c r="B398" s="154"/>
      <c r="C398" s="141"/>
      <c r="D398" s="153" t="s">
        <v>367</v>
      </c>
      <c r="E398" s="141"/>
      <c r="F398" s="141"/>
      <c r="G398" s="141"/>
      <c r="H398" s="141"/>
      <c r="I398" s="141"/>
      <c r="J398" s="141"/>
      <c r="K398" s="141"/>
      <c r="L398" s="141"/>
      <c r="M398" s="141"/>
      <c r="N398" s="141"/>
      <c r="O398" s="141"/>
      <c r="P398" s="141"/>
      <c r="Q398" s="141"/>
    </row>
    <row r="399" spans="1:17" ht="13.5" customHeight="1" x14ac:dyDescent="0.15">
      <c r="A399" s="141"/>
      <c r="B399" s="154"/>
      <c r="C399" s="141"/>
      <c r="D399" s="153" t="s">
        <v>367</v>
      </c>
      <c r="E399" s="141"/>
      <c r="F399" s="141"/>
      <c r="G399" s="141"/>
      <c r="H399" s="141"/>
      <c r="I399" s="141"/>
      <c r="J399" s="141"/>
      <c r="K399" s="141"/>
      <c r="L399" s="141"/>
      <c r="M399" s="141"/>
      <c r="N399" s="141"/>
      <c r="O399" s="141"/>
      <c r="P399" s="141"/>
      <c r="Q399" s="141"/>
    </row>
    <row r="400" spans="1:17" ht="13.5" customHeight="1" x14ac:dyDescent="0.15">
      <c r="A400" s="141"/>
      <c r="B400" s="154"/>
      <c r="C400" s="141"/>
      <c r="D400" s="153" t="s">
        <v>367</v>
      </c>
      <c r="E400" s="141"/>
      <c r="F400" s="141"/>
      <c r="G400" s="141"/>
      <c r="H400" s="141"/>
      <c r="I400" s="141"/>
      <c r="J400" s="141"/>
      <c r="K400" s="141"/>
      <c r="L400" s="141"/>
      <c r="M400" s="141"/>
      <c r="N400" s="141"/>
      <c r="O400" s="141"/>
      <c r="P400" s="141"/>
      <c r="Q400" s="141"/>
    </row>
    <row r="401" spans="1:17" ht="13.5" customHeight="1" x14ac:dyDescent="0.15">
      <c r="A401" s="141"/>
      <c r="B401" s="154"/>
      <c r="C401" s="141"/>
      <c r="D401" s="153" t="s">
        <v>367</v>
      </c>
      <c r="E401" s="141"/>
      <c r="F401" s="141"/>
      <c r="G401" s="141"/>
      <c r="H401" s="141"/>
      <c r="I401" s="141"/>
      <c r="J401" s="141"/>
      <c r="K401" s="141"/>
      <c r="L401" s="141"/>
      <c r="M401" s="141"/>
      <c r="N401" s="141"/>
      <c r="O401" s="141"/>
      <c r="P401" s="141"/>
      <c r="Q401" s="141"/>
    </row>
    <row r="402" spans="1:17" ht="13.5" customHeight="1" x14ac:dyDescent="0.15">
      <c r="A402" s="141"/>
      <c r="B402" s="154"/>
      <c r="C402" s="141"/>
      <c r="D402" s="153" t="s">
        <v>367</v>
      </c>
      <c r="E402" s="141"/>
      <c r="F402" s="141"/>
      <c r="G402" s="141"/>
      <c r="H402" s="141"/>
      <c r="I402" s="141"/>
      <c r="J402" s="141"/>
      <c r="K402" s="141"/>
      <c r="L402" s="141"/>
      <c r="M402" s="141"/>
      <c r="N402" s="141"/>
      <c r="O402" s="141"/>
      <c r="P402" s="141"/>
      <c r="Q402" s="141"/>
    </row>
    <row r="403" spans="1:17" ht="13.5" customHeight="1" x14ac:dyDescent="0.15">
      <c r="A403" s="141"/>
      <c r="B403" s="154"/>
      <c r="C403" s="141"/>
      <c r="D403" s="153" t="s">
        <v>367</v>
      </c>
      <c r="E403" s="141"/>
      <c r="F403" s="141"/>
      <c r="G403" s="141"/>
      <c r="H403" s="141"/>
      <c r="I403" s="141"/>
      <c r="J403" s="141"/>
      <c r="K403" s="141"/>
      <c r="L403" s="141"/>
      <c r="M403" s="141"/>
      <c r="N403" s="141"/>
      <c r="O403" s="141"/>
      <c r="P403" s="141"/>
      <c r="Q403" s="141"/>
    </row>
    <row r="404" spans="1:17" ht="13.5" customHeight="1" x14ac:dyDescent="0.15">
      <c r="A404" s="141"/>
      <c r="B404" s="154"/>
      <c r="C404" s="141"/>
      <c r="D404" s="153" t="s">
        <v>367</v>
      </c>
      <c r="E404" s="141"/>
      <c r="F404" s="141"/>
      <c r="G404" s="141"/>
      <c r="H404" s="141"/>
      <c r="I404" s="141"/>
      <c r="J404" s="141"/>
      <c r="K404" s="141"/>
      <c r="L404" s="141"/>
      <c r="M404" s="141"/>
      <c r="N404" s="141"/>
      <c r="O404" s="141"/>
      <c r="P404" s="141"/>
      <c r="Q404" s="141"/>
    </row>
    <row r="405" spans="1:17" ht="13.5" customHeight="1" x14ac:dyDescent="0.15">
      <c r="A405" s="141"/>
      <c r="B405" s="154"/>
      <c r="C405" s="141"/>
      <c r="D405" s="153" t="s">
        <v>367</v>
      </c>
      <c r="E405" s="141"/>
      <c r="F405" s="141"/>
      <c r="G405" s="141"/>
      <c r="H405" s="141"/>
      <c r="I405" s="141"/>
      <c r="J405" s="141"/>
      <c r="K405" s="141"/>
      <c r="L405" s="141"/>
      <c r="M405" s="141"/>
      <c r="N405" s="141"/>
      <c r="O405" s="141"/>
      <c r="P405" s="141"/>
      <c r="Q405" s="141"/>
    </row>
    <row r="406" spans="1:17" ht="13.5" customHeight="1" x14ac:dyDescent="0.15">
      <c r="A406" s="141"/>
      <c r="B406" s="154"/>
      <c r="C406" s="141"/>
      <c r="D406" s="153" t="s">
        <v>367</v>
      </c>
      <c r="E406" s="141"/>
      <c r="F406" s="141"/>
      <c r="G406" s="141"/>
      <c r="H406" s="141"/>
      <c r="I406" s="141"/>
      <c r="J406" s="141"/>
      <c r="K406" s="141"/>
      <c r="L406" s="141"/>
      <c r="M406" s="141"/>
      <c r="N406" s="141"/>
      <c r="O406" s="141"/>
      <c r="P406" s="141"/>
      <c r="Q406" s="141"/>
    </row>
    <row r="407" spans="1:17" ht="13.5" customHeight="1" x14ac:dyDescent="0.15">
      <c r="A407" s="141"/>
      <c r="B407" s="154"/>
      <c r="C407" s="141"/>
      <c r="D407" s="153" t="s">
        <v>367</v>
      </c>
      <c r="E407" s="141"/>
      <c r="F407" s="141"/>
      <c r="G407" s="141"/>
      <c r="H407" s="141"/>
      <c r="I407" s="141"/>
      <c r="J407" s="141"/>
      <c r="K407" s="141"/>
      <c r="L407" s="141"/>
      <c r="M407" s="141"/>
      <c r="N407" s="141"/>
      <c r="O407" s="141"/>
      <c r="P407" s="141"/>
      <c r="Q407" s="141"/>
    </row>
    <row r="408" spans="1:17" ht="13.5" customHeight="1" x14ac:dyDescent="0.15">
      <c r="A408" s="141"/>
      <c r="B408" s="154"/>
      <c r="C408" s="141"/>
      <c r="D408" s="153" t="s">
        <v>367</v>
      </c>
      <c r="E408" s="141"/>
      <c r="F408" s="141"/>
      <c r="G408" s="141"/>
      <c r="H408" s="141"/>
      <c r="I408" s="141"/>
      <c r="J408" s="141"/>
      <c r="K408" s="141"/>
      <c r="L408" s="141"/>
      <c r="M408" s="141"/>
      <c r="N408" s="141"/>
      <c r="O408" s="141"/>
      <c r="P408" s="141"/>
      <c r="Q408" s="141"/>
    </row>
    <row r="409" spans="1:17" ht="13.5" customHeight="1" x14ac:dyDescent="0.15">
      <c r="A409" s="141"/>
      <c r="B409" s="154"/>
      <c r="C409" s="141"/>
      <c r="D409" s="153" t="s">
        <v>367</v>
      </c>
      <c r="E409" s="141"/>
      <c r="F409" s="141"/>
      <c r="G409" s="141"/>
      <c r="H409" s="141"/>
      <c r="I409" s="141"/>
      <c r="J409" s="141"/>
      <c r="K409" s="141"/>
      <c r="L409" s="141"/>
      <c r="M409" s="141"/>
      <c r="N409" s="141"/>
      <c r="O409" s="141"/>
      <c r="P409" s="141"/>
      <c r="Q409" s="141"/>
    </row>
    <row r="410" spans="1:17" ht="13.5" customHeight="1" x14ac:dyDescent="0.15">
      <c r="A410" s="141"/>
      <c r="B410" s="154"/>
      <c r="C410" s="141"/>
      <c r="D410" s="153" t="s">
        <v>367</v>
      </c>
      <c r="E410" s="141"/>
      <c r="F410" s="141"/>
      <c r="G410" s="141"/>
      <c r="H410" s="141"/>
      <c r="I410" s="141"/>
      <c r="J410" s="141"/>
      <c r="K410" s="141"/>
      <c r="L410" s="141"/>
      <c r="M410" s="141"/>
      <c r="N410" s="141"/>
      <c r="O410" s="141"/>
      <c r="P410" s="141"/>
      <c r="Q410" s="141"/>
    </row>
    <row r="411" spans="1:17" ht="13.5" customHeight="1" x14ac:dyDescent="0.15">
      <c r="A411" s="141"/>
      <c r="B411" s="154"/>
      <c r="C411" s="141"/>
      <c r="D411" s="153" t="s">
        <v>367</v>
      </c>
      <c r="E411" s="141"/>
      <c r="F411" s="141"/>
      <c r="G411" s="141"/>
      <c r="H411" s="141"/>
      <c r="I411" s="141"/>
      <c r="J411" s="141"/>
      <c r="K411" s="141"/>
      <c r="L411" s="141"/>
      <c r="M411" s="141"/>
      <c r="N411" s="141"/>
      <c r="O411" s="141"/>
      <c r="P411" s="141"/>
      <c r="Q411" s="141"/>
    </row>
    <row r="412" spans="1:17" ht="13.5" customHeight="1" x14ac:dyDescent="0.15">
      <c r="A412" s="141"/>
      <c r="B412" s="154"/>
      <c r="C412" s="141"/>
      <c r="D412" s="153" t="s">
        <v>367</v>
      </c>
      <c r="E412" s="141"/>
      <c r="F412" s="141"/>
      <c r="G412" s="141"/>
      <c r="H412" s="141"/>
      <c r="I412" s="141"/>
      <c r="J412" s="141"/>
      <c r="K412" s="141"/>
      <c r="L412" s="141"/>
      <c r="M412" s="141"/>
      <c r="N412" s="141"/>
      <c r="O412" s="141"/>
      <c r="P412" s="141"/>
      <c r="Q412" s="141"/>
    </row>
    <row r="413" spans="1:17" ht="13.5" customHeight="1" x14ac:dyDescent="0.15">
      <c r="A413" s="141"/>
      <c r="B413" s="154"/>
      <c r="C413" s="141"/>
      <c r="D413" s="153" t="s">
        <v>367</v>
      </c>
      <c r="E413" s="141"/>
      <c r="F413" s="141"/>
      <c r="G413" s="141"/>
      <c r="H413" s="141"/>
      <c r="I413" s="141"/>
      <c r="J413" s="141"/>
      <c r="K413" s="141"/>
      <c r="L413" s="141"/>
      <c r="M413" s="141"/>
      <c r="N413" s="141"/>
      <c r="O413" s="141"/>
      <c r="P413" s="141"/>
      <c r="Q413" s="141"/>
    </row>
    <row r="414" spans="1:17" ht="13.5" customHeight="1" x14ac:dyDescent="0.15">
      <c r="A414" s="141"/>
      <c r="B414" s="154"/>
      <c r="C414" s="141"/>
      <c r="D414" s="153" t="s">
        <v>367</v>
      </c>
      <c r="E414" s="141"/>
      <c r="F414" s="141"/>
      <c r="G414" s="141"/>
      <c r="H414" s="141"/>
      <c r="I414" s="141"/>
      <c r="J414" s="141"/>
      <c r="K414" s="141"/>
      <c r="L414" s="141"/>
      <c r="M414" s="141"/>
      <c r="N414" s="141"/>
      <c r="O414" s="141"/>
      <c r="P414" s="141"/>
      <c r="Q414" s="141"/>
    </row>
    <row r="415" spans="1:17" ht="13.5" customHeight="1" x14ac:dyDescent="0.15">
      <c r="A415" s="141"/>
      <c r="B415" s="154"/>
      <c r="C415" s="141"/>
      <c r="D415" s="153" t="s">
        <v>367</v>
      </c>
      <c r="E415" s="141"/>
      <c r="F415" s="141"/>
      <c r="G415" s="141"/>
      <c r="H415" s="141"/>
      <c r="I415" s="141"/>
      <c r="J415" s="141"/>
      <c r="K415" s="141"/>
      <c r="L415" s="141"/>
      <c r="M415" s="141"/>
      <c r="N415" s="141"/>
      <c r="O415" s="141"/>
      <c r="P415" s="141"/>
      <c r="Q415" s="141"/>
    </row>
    <row r="416" spans="1:17" ht="13.5" customHeight="1" x14ac:dyDescent="0.15">
      <c r="A416" s="141"/>
      <c r="B416" s="154"/>
      <c r="C416" s="141"/>
      <c r="D416" s="153" t="s">
        <v>367</v>
      </c>
      <c r="E416" s="141"/>
      <c r="F416" s="141"/>
      <c r="G416" s="141"/>
      <c r="H416" s="141"/>
      <c r="I416" s="141"/>
      <c r="J416" s="141"/>
      <c r="K416" s="141"/>
      <c r="L416" s="141"/>
      <c r="M416" s="141"/>
      <c r="N416" s="141"/>
      <c r="O416" s="141"/>
      <c r="P416" s="141"/>
      <c r="Q416" s="141"/>
    </row>
    <row r="417" spans="1:17" ht="13.5" customHeight="1" x14ac:dyDescent="0.15">
      <c r="A417" s="141"/>
      <c r="B417" s="154"/>
      <c r="C417" s="141"/>
      <c r="D417" s="153" t="s">
        <v>367</v>
      </c>
      <c r="E417" s="141"/>
      <c r="F417" s="141"/>
      <c r="G417" s="141"/>
      <c r="H417" s="141"/>
      <c r="I417" s="141"/>
      <c r="J417" s="141"/>
      <c r="K417" s="141"/>
      <c r="L417" s="141"/>
      <c r="M417" s="141"/>
      <c r="N417" s="141"/>
      <c r="O417" s="141"/>
      <c r="P417" s="141"/>
      <c r="Q417" s="141"/>
    </row>
    <row r="418" spans="1:17" ht="13.5" customHeight="1" x14ac:dyDescent="0.15">
      <c r="A418" s="141"/>
      <c r="B418" s="154"/>
      <c r="C418" s="141"/>
      <c r="D418" s="153" t="s">
        <v>367</v>
      </c>
      <c r="E418" s="141"/>
      <c r="F418" s="141"/>
      <c r="G418" s="141"/>
      <c r="H418" s="141"/>
      <c r="I418" s="141"/>
      <c r="J418" s="141"/>
      <c r="K418" s="141"/>
      <c r="L418" s="141"/>
      <c r="M418" s="141"/>
      <c r="N418" s="141"/>
      <c r="O418" s="141"/>
      <c r="P418" s="141"/>
      <c r="Q418" s="141"/>
    </row>
    <row r="419" spans="1:17" ht="13.5" customHeight="1" x14ac:dyDescent="0.15">
      <c r="A419" s="141"/>
      <c r="B419" s="154"/>
      <c r="C419" s="141"/>
      <c r="D419" s="153" t="s">
        <v>367</v>
      </c>
      <c r="E419" s="141"/>
      <c r="F419" s="141"/>
      <c r="G419" s="141"/>
      <c r="H419" s="141"/>
      <c r="I419" s="141"/>
      <c r="J419" s="141"/>
      <c r="K419" s="141"/>
      <c r="L419" s="141"/>
      <c r="M419" s="141"/>
      <c r="N419" s="141"/>
      <c r="O419" s="141"/>
      <c r="P419" s="141"/>
      <c r="Q419" s="141"/>
    </row>
    <row r="420" spans="1:17" ht="13.5" customHeight="1" x14ac:dyDescent="0.15">
      <c r="A420" s="141"/>
      <c r="B420" s="154"/>
      <c r="C420" s="141"/>
      <c r="D420" s="153" t="s">
        <v>367</v>
      </c>
      <c r="E420" s="141"/>
      <c r="F420" s="141"/>
      <c r="G420" s="141"/>
      <c r="H420" s="141"/>
      <c r="I420" s="141"/>
      <c r="J420" s="141"/>
      <c r="K420" s="141"/>
      <c r="L420" s="141"/>
      <c r="M420" s="141"/>
      <c r="N420" s="141"/>
      <c r="O420" s="141"/>
      <c r="P420" s="141"/>
      <c r="Q420" s="141"/>
    </row>
    <row r="421" spans="1:17" ht="13.5" customHeight="1" x14ac:dyDescent="0.15">
      <c r="A421" s="141"/>
      <c r="B421" s="154"/>
      <c r="C421" s="141"/>
      <c r="D421" s="153" t="s">
        <v>367</v>
      </c>
      <c r="E421" s="141"/>
      <c r="F421" s="141"/>
      <c r="G421" s="141"/>
      <c r="H421" s="141"/>
      <c r="I421" s="141"/>
      <c r="J421" s="141"/>
      <c r="K421" s="141"/>
      <c r="L421" s="141"/>
      <c r="M421" s="141"/>
      <c r="N421" s="141"/>
      <c r="O421" s="141"/>
      <c r="P421" s="141"/>
      <c r="Q421" s="141"/>
    </row>
    <row r="422" spans="1:17" ht="13.5" customHeight="1" x14ac:dyDescent="0.15">
      <c r="A422" s="141"/>
      <c r="B422" s="154"/>
      <c r="C422" s="141"/>
      <c r="D422" s="153" t="s">
        <v>367</v>
      </c>
      <c r="E422" s="141"/>
      <c r="F422" s="141"/>
      <c r="G422" s="141"/>
      <c r="H422" s="141"/>
      <c r="I422" s="141"/>
      <c r="J422" s="141"/>
      <c r="K422" s="141"/>
      <c r="L422" s="141"/>
      <c r="M422" s="141"/>
      <c r="N422" s="141"/>
      <c r="O422" s="141"/>
      <c r="P422" s="141"/>
      <c r="Q422" s="141"/>
    </row>
    <row r="423" spans="1:17" ht="13.5" customHeight="1" x14ac:dyDescent="0.15">
      <c r="A423" s="141"/>
      <c r="B423" s="154"/>
      <c r="C423" s="141"/>
      <c r="D423" s="153" t="s">
        <v>367</v>
      </c>
      <c r="E423" s="141"/>
      <c r="F423" s="141"/>
      <c r="G423" s="141"/>
      <c r="H423" s="141"/>
      <c r="I423" s="141"/>
      <c r="J423" s="141"/>
      <c r="K423" s="141"/>
      <c r="L423" s="141"/>
      <c r="M423" s="141"/>
      <c r="N423" s="141"/>
      <c r="O423" s="141"/>
      <c r="P423" s="141"/>
      <c r="Q423" s="141"/>
    </row>
    <row r="424" spans="1:17" ht="13.5" customHeight="1" x14ac:dyDescent="0.15">
      <c r="A424" s="141"/>
      <c r="B424" s="154"/>
      <c r="C424" s="141"/>
      <c r="D424" s="153" t="s">
        <v>367</v>
      </c>
      <c r="E424" s="141"/>
      <c r="F424" s="141"/>
      <c r="G424" s="141"/>
      <c r="H424" s="141"/>
      <c r="I424" s="141"/>
      <c r="J424" s="141"/>
      <c r="K424" s="141"/>
      <c r="L424" s="141"/>
      <c r="M424" s="141"/>
      <c r="N424" s="141"/>
      <c r="O424" s="141"/>
      <c r="P424" s="141"/>
      <c r="Q424" s="141"/>
    </row>
    <row r="425" spans="1:17" ht="13.5" customHeight="1" x14ac:dyDescent="0.15">
      <c r="A425" s="141"/>
      <c r="B425" s="154"/>
      <c r="C425" s="141"/>
      <c r="D425" s="153" t="s">
        <v>367</v>
      </c>
      <c r="E425" s="141"/>
      <c r="F425" s="141"/>
      <c r="G425" s="141"/>
      <c r="H425" s="141"/>
      <c r="I425" s="141"/>
      <c r="J425" s="141"/>
      <c r="K425" s="141"/>
      <c r="L425" s="141"/>
      <c r="M425" s="141"/>
      <c r="N425" s="141"/>
      <c r="O425" s="141"/>
      <c r="P425" s="141"/>
      <c r="Q425" s="141"/>
    </row>
    <row r="426" spans="1:17" ht="13.5" customHeight="1" x14ac:dyDescent="0.15">
      <c r="A426" s="141"/>
      <c r="B426" s="154"/>
      <c r="C426" s="141"/>
      <c r="D426" s="153" t="s">
        <v>367</v>
      </c>
      <c r="E426" s="141"/>
      <c r="F426" s="141"/>
      <c r="G426" s="141"/>
      <c r="H426" s="141"/>
      <c r="I426" s="141"/>
      <c r="J426" s="141"/>
      <c r="K426" s="141"/>
      <c r="L426" s="141"/>
      <c r="M426" s="141"/>
      <c r="N426" s="141"/>
      <c r="O426" s="141"/>
      <c r="P426" s="141"/>
      <c r="Q426" s="141"/>
    </row>
    <row r="427" spans="1:17" ht="13.5" customHeight="1" x14ac:dyDescent="0.15">
      <c r="A427" s="141"/>
      <c r="B427" s="154"/>
      <c r="C427" s="141"/>
      <c r="D427" s="153" t="s">
        <v>367</v>
      </c>
      <c r="E427" s="141"/>
      <c r="F427" s="141"/>
      <c r="G427" s="141"/>
      <c r="H427" s="141"/>
      <c r="I427" s="141"/>
      <c r="J427" s="141"/>
      <c r="K427" s="141"/>
      <c r="L427" s="141"/>
      <c r="M427" s="141"/>
      <c r="N427" s="141"/>
      <c r="O427" s="141"/>
      <c r="P427" s="141"/>
      <c r="Q427" s="141"/>
    </row>
    <row r="428" spans="1:17" ht="13.5" customHeight="1" x14ac:dyDescent="0.15">
      <c r="A428" s="141"/>
      <c r="B428" s="154"/>
      <c r="C428" s="141"/>
      <c r="D428" s="153" t="s">
        <v>367</v>
      </c>
      <c r="E428" s="141"/>
      <c r="F428" s="141"/>
      <c r="G428" s="141"/>
      <c r="H428" s="141"/>
      <c r="I428" s="141"/>
      <c r="J428" s="141"/>
      <c r="K428" s="141"/>
      <c r="L428" s="141"/>
      <c r="M428" s="141"/>
      <c r="N428" s="141"/>
      <c r="O428" s="141"/>
      <c r="P428" s="141"/>
      <c r="Q428" s="141"/>
    </row>
    <row r="429" spans="1:17" ht="13.5" customHeight="1" x14ac:dyDescent="0.15">
      <c r="A429" s="141"/>
      <c r="B429" s="154"/>
      <c r="C429" s="141"/>
      <c r="D429" s="153" t="s">
        <v>367</v>
      </c>
      <c r="E429" s="141"/>
      <c r="F429" s="141"/>
      <c r="G429" s="141"/>
      <c r="H429" s="141"/>
      <c r="I429" s="141"/>
      <c r="J429" s="141"/>
      <c r="K429" s="141"/>
      <c r="L429" s="141"/>
      <c r="M429" s="141"/>
      <c r="N429" s="141"/>
      <c r="O429" s="141"/>
      <c r="P429" s="141"/>
      <c r="Q429" s="141"/>
    </row>
    <row r="430" spans="1:17" ht="13.5" customHeight="1" x14ac:dyDescent="0.15">
      <c r="A430" s="141"/>
      <c r="B430" s="154"/>
      <c r="C430" s="141"/>
      <c r="D430" s="153" t="s">
        <v>367</v>
      </c>
      <c r="E430" s="141"/>
      <c r="F430" s="141"/>
      <c r="G430" s="141"/>
      <c r="H430" s="141"/>
      <c r="I430" s="141"/>
      <c r="J430" s="141"/>
      <c r="K430" s="141"/>
      <c r="L430" s="141"/>
      <c r="M430" s="141"/>
      <c r="N430" s="141"/>
      <c r="O430" s="141"/>
      <c r="P430" s="141"/>
      <c r="Q430" s="141"/>
    </row>
    <row r="431" spans="1:17" ht="13.5" customHeight="1" x14ac:dyDescent="0.15">
      <c r="A431" s="141"/>
      <c r="B431" s="154"/>
      <c r="C431" s="141"/>
      <c r="D431" s="153" t="s">
        <v>367</v>
      </c>
      <c r="E431" s="141"/>
      <c r="F431" s="141"/>
      <c r="G431" s="141"/>
      <c r="H431" s="141"/>
      <c r="I431" s="141"/>
      <c r="J431" s="141"/>
      <c r="K431" s="141"/>
      <c r="L431" s="141"/>
      <c r="M431" s="141"/>
      <c r="N431" s="141"/>
      <c r="O431" s="141"/>
      <c r="P431" s="141"/>
      <c r="Q431" s="141"/>
    </row>
    <row r="432" spans="1:17" ht="13.5" customHeight="1" x14ac:dyDescent="0.15">
      <c r="A432" s="141"/>
      <c r="B432" s="154"/>
      <c r="C432" s="141"/>
      <c r="D432" s="153" t="s">
        <v>367</v>
      </c>
      <c r="E432" s="141"/>
      <c r="F432" s="141"/>
      <c r="G432" s="141"/>
      <c r="H432" s="141"/>
      <c r="I432" s="141"/>
      <c r="J432" s="141"/>
      <c r="K432" s="141"/>
      <c r="L432" s="141"/>
      <c r="M432" s="141"/>
      <c r="N432" s="141"/>
      <c r="O432" s="141"/>
      <c r="P432" s="141"/>
      <c r="Q432" s="141"/>
    </row>
    <row r="433" spans="1:17" ht="13.5" customHeight="1" x14ac:dyDescent="0.15">
      <c r="A433" s="141"/>
      <c r="B433" s="154"/>
      <c r="C433" s="141"/>
      <c r="D433" s="153" t="s">
        <v>367</v>
      </c>
      <c r="E433" s="141"/>
      <c r="F433" s="141"/>
      <c r="G433" s="141"/>
      <c r="H433" s="141"/>
      <c r="I433" s="141"/>
      <c r="J433" s="141"/>
      <c r="K433" s="141"/>
      <c r="L433" s="141"/>
      <c r="M433" s="141"/>
      <c r="N433" s="141"/>
      <c r="O433" s="141"/>
      <c r="P433" s="141"/>
      <c r="Q433" s="141"/>
    </row>
    <row r="434" spans="1:17" ht="13.5" customHeight="1" x14ac:dyDescent="0.15">
      <c r="A434" s="141"/>
      <c r="B434" s="154"/>
      <c r="C434" s="141"/>
      <c r="D434" s="153" t="s">
        <v>367</v>
      </c>
      <c r="E434" s="141"/>
      <c r="F434" s="141"/>
      <c r="G434" s="141"/>
      <c r="H434" s="141"/>
      <c r="I434" s="141"/>
      <c r="J434" s="141"/>
      <c r="K434" s="141"/>
      <c r="L434" s="141"/>
      <c r="M434" s="141"/>
      <c r="N434" s="141"/>
      <c r="O434" s="141"/>
      <c r="P434" s="141"/>
      <c r="Q434" s="141"/>
    </row>
    <row r="435" spans="1:17" ht="13.5" customHeight="1" x14ac:dyDescent="0.15">
      <c r="A435" s="141"/>
      <c r="B435" s="154"/>
      <c r="C435" s="141"/>
      <c r="D435" s="153" t="s">
        <v>367</v>
      </c>
      <c r="E435" s="141"/>
      <c r="F435" s="141"/>
      <c r="G435" s="141"/>
      <c r="H435" s="141"/>
      <c r="I435" s="141"/>
      <c r="J435" s="141"/>
      <c r="K435" s="141"/>
      <c r="L435" s="141"/>
      <c r="M435" s="141"/>
      <c r="N435" s="141"/>
      <c r="O435" s="141"/>
      <c r="P435" s="141"/>
      <c r="Q435" s="141"/>
    </row>
    <row r="436" spans="1:17" ht="13.5" customHeight="1" x14ac:dyDescent="0.15">
      <c r="A436" s="141"/>
      <c r="B436" s="154"/>
      <c r="C436" s="141"/>
      <c r="D436" s="153" t="s">
        <v>367</v>
      </c>
      <c r="E436" s="141"/>
      <c r="F436" s="141"/>
      <c r="G436" s="141"/>
      <c r="H436" s="141"/>
      <c r="I436" s="141"/>
      <c r="J436" s="141"/>
      <c r="K436" s="141"/>
      <c r="L436" s="141"/>
      <c r="M436" s="141"/>
      <c r="N436" s="141"/>
      <c r="O436" s="141"/>
      <c r="P436" s="141"/>
      <c r="Q436" s="141"/>
    </row>
    <row r="437" spans="1:17" ht="13.5" customHeight="1" x14ac:dyDescent="0.15">
      <c r="A437" s="141"/>
      <c r="B437" s="154"/>
      <c r="C437" s="141"/>
      <c r="D437" s="153" t="s">
        <v>367</v>
      </c>
      <c r="E437" s="141"/>
      <c r="F437" s="141"/>
      <c r="G437" s="141"/>
      <c r="H437" s="141"/>
      <c r="I437" s="141"/>
      <c r="J437" s="141"/>
      <c r="K437" s="141"/>
      <c r="L437" s="141"/>
      <c r="M437" s="141"/>
      <c r="N437" s="141"/>
      <c r="O437" s="141"/>
      <c r="P437" s="141"/>
      <c r="Q437" s="141"/>
    </row>
    <row r="438" spans="1:17" ht="13.5" customHeight="1" x14ac:dyDescent="0.15">
      <c r="A438" s="141"/>
      <c r="B438" s="154"/>
      <c r="C438" s="141"/>
      <c r="D438" s="153" t="s">
        <v>367</v>
      </c>
      <c r="E438" s="141"/>
      <c r="F438" s="141"/>
      <c r="G438" s="141"/>
      <c r="H438" s="141"/>
      <c r="I438" s="141"/>
      <c r="J438" s="141"/>
      <c r="K438" s="141"/>
      <c r="L438" s="141"/>
      <c r="M438" s="141"/>
      <c r="N438" s="141"/>
      <c r="O438" s="141"/>
      <c r="P438" s="141"/>
      <c r="Q438" s="141"/>
    </row>
    <row r="439" spans="1:17" ht="13.5" customHeight="1" x14ac:dyDescent="0.15">
      <c r="A439" s="141"/>
      <c r="B439" s="154"/>
      <c r="C439" s="141"/>
      <c r="D439" s="153" t="s">
        <v>367</v>
      </c>
      <c r="E439" s="141"/>
      <c r="F439" s="141"/>
      <c r="G439" s="141"/>
      <c r="H439" s="141"/>
      <c r="I439" s="141"/>
      <c r="J439" s="141"/>
      <c r="K439" s="141"/>
      <c r="L439" s="141"/>
      <c r="M439" s="141"/>
      <c r="N439" s="141"/>
      <c r="O439" s="141"/>
      <c r="P439" s="141"/>
      <c r="Q439" s="141"/>
    </row>
    <row r="440" spans="1:17" ht="13.5" customHeight="1" x14ac:dyDescent="0.15">
      <c r="A440" s="141"/>
      <c r="B440" s="154"/>
      <c r="C440" s="141"/>
      <c r="D440" s="153" t="s">
        <v>367</v>
      </c>
      <c r="E440" s="141"/>
      <c r="F440" s="141"/>
      <c r="G440" s="141"/>
      <c r="H440" s="141"/>
      <c r="I440" s="141"/>
      <c r="J440" s="141"/>
      <c r="K440" s="141"/>
      <c r="L440" s="141"/>
      <c r="M440" s="141"/>
      <c r="N440" s="141"/>
      <c r="O440" s="141"/>
      <c r="P440" s="141"/>
      <c r="Q440" s="141"/>
    </row>
    <row r="441" spans="1:17" ht="13.5" customHeight="1" x14ac:dyDescent="0.15">
      <c r="A441" s="141"/>
      <c r="B441" s="154"/>
      <c r="C441" s="141"/>
      <c r="D441" s="153" t="s">
        <v>367</v>
      </c>
      <c r="E441" s="141"/>
      <c r="F441" s="141"/>
      <c r="G441" s="141"/>
      <c r="H441" s="141"/>
      <c r="I441" s="141"/>
      <c r="J441" s="141"/>
      <c r="K441" s="141"/>
      <c r="L441" s="141"/>
      <c r="M441" s="141"/>
      <c r="N441" s="141"/>
      <c r="O441" s="141"/>
      <c r="P441" s="141"/>
      <c r="Q441" s="141"/>
    </row>
    <row r="442" spans="1:17" ht="13.5" customHeight="1" x14ac:dyDescent="0.15">
      <c r="A442" s="141"/>
      <c r="B442" s="154"/>
      <c r="C442" s="141"/>
      <c r="D442" s="153" t="s">
        <v>367</v>
      </c>
      <c r="E442" s="141"/>
      <c r="F442" s="141"/>
      <c r="G442" s="141"/>
      <c r="H442" s="141"/>
      <c r="I442" s="141"/>
      <c r="J442" s="141"/>
      <c r="K442" s="141"/>
      <c r="L442" s="141"/>
      <c r="M442" s="141"/>
      <c r="N442" s="141"/>
      <c r="O442" s="141"/>
      <c r="P442" s="141"/>
      <c r="Q442" s="141"/>
    </row>
    <row r="443" spans="1:17" ht="13.5" customHeight="1" x14ac:dyDescent="0.15">
      <c r="A443" s="141"/>
      <c r="B443" s="154"/>
      <c r="C443" s="141"/>
      <c r="D443" s="153" t="s">
        <v>367</v>
      </c>
      <c r="E443" s="141"/>
      <c r="F443" s="141"/>
      <c r="G443" s="141"/>
      <c r="H443" s="141"/>
      <c r="I443" s="141"/>
      <c r="J443" s="141"/>
      <c r="K443" s="141"/>
      <c r="L443" s="141"/>
      <c r="M443" s="141"/>
      <c r="N443" s="141"/>
      <c r="O443" s="141"/>
      <c r="P443" s="141"/>
      <c r="Q443" s="141"/>
    </row>
    <row r="444" spans="1:17" ht="13.5" customHeight="1" x14ac:dyDescent="0.15">
      <c r="A444" s="141"/>
      <c r="B444" s="154"/>
      <c r="C444" s="141"/>
      <c r="D444" s="153" t="s">
        <v>367</v>
      </c>
      <c r="E444" s="141"/>
      <c r="F444" s="141"/>
      <c r="G444" s="141"/>
      <c r="H444" s="141"/>
      <c r="I444" s="141"/>
      <c r="J444" s="141"/>
      <c r="K444" s="141"/>
      <c r="L444" s="141"/>
      <c r="M444" s="141"/>
      <c r="N444" s="141"/>
      <c r="O444" s="141"/>
      <c r="P444" s="141"/>
      <c r="Q444" s="141"/>
    </row>
    <row r="445" spans="1:17" ht="13.5" customHeight="1" x14ac:dyDescent="0.15">
      <c r="A445" s="141"/>
      <c r="B445" s="154"/>
      <c r="C445" s="141"/>
      <c r="D445" s="153" t="s">
        <v>367</v>
      </c>
      <c r="E445" s="141"/>
      <c r="F445" s="141"/>
      <c r="G445" s="141"/>
      <c r="H445" s="141"/>
      <c r="I445" s="141"/>
      <c r="J445" s="141"/>
      <c r="K445" s="141"/>
      <c r="L445" s="141"/>
      <c r="M445" s="141"/>
      <c r="N445" s="141"/>
      <c r="O445" s="141"/>
      <c r="P445" s="141"/>
      <c r="Q445" s="141"/>
    </row>
    <row r="446" spans="1:17" ht="13.5" customHeight="1" x14ac:dyDescent="0.15">
      <c r="A446" s="141"/>
      <c r="B446" s="154"/>
      <c r="C446" s="141"/>
      <c r="D446" s="153" t="s">
        <v>367</v>
      </c>
      <c r="E446" s="141"/>
      <c r="F446" s="141"/>
      <c r="G446" s="141"/>
      <c r="H446" s="141"/>
      <c r="I446" s="141"/>
      <c r="J446" s="141"/>
      <c r="K446" s="141"/>
      <c r="L446" s="141"/>
      <c r="M446" s="141"/>
      <c r="N446" s="141"/>
      <c r="O446" s="141"/>
      <c r="P446" s="141"/>
      <c r="Q446" s="141"/>
    </row>
    <row r="447" spans="1:17" ht="13.5" customHeight="1" x14ac:dyDescent="0.15">
      <c r="A447" s="141"/>
      <c r="B447" s="154"/>
      <c r="C447" s="141"/>
      <c r="D447" s="153" t="s">
        <v>367</v>
      </c>
      <c r="E447" s="141"/>
      <c r="F447" s="141"/>
      <c r="G447" s="141"/>
      <c r="H447" s="141"/>
      <c r="I447" s="141"/>
      <c r="J447" s="141"/>
      <c r="K447" s="141"/>
      <c r="L447" s="141"/>
      <c r="M447" s="141"/>
      <c r="N447" s="141"/>
      <c r="O447" s="141"/>
      <c r="P447" s="141"/>
      <c r="Q447" s="141"/>
    </row>
    <row r="448" spans="1:17" ht="13.5" customHeight="1" x14ac:dyDescent="0.15">
      <c r="A448" s="141"/>
      <c r="B448" s="154"/>
      <c r="C448" s="141"/>
      <c r="D448" s="153" t="s">
        <v>367</v>
      </c>
      <c r="E448" s="141"/>
      <c r="F448" s="141"/>
      <c r="G448" s="141"/>
      <c r="H448" s="141"/>
      <c r="I448" s="141"/>
      <c r="J448" s="141"/>
      <c r="K448" s="141"/>
      <c r="L448" s="141"/>
      <c r="M448" s="141"/>
      <c r="N448" s="141"/>
      <c r="O448" s="141"/>
      <c r="P448" s="141"/>
      <c r="Q448" s="141"/>
    </row>
    <row r="449" spans="1:17" ht="13.5" customHeight="1" x14ac:dyDescent="0.15">
      <c r="A449" s="141"/>
      <c r="B449" s="154"/>
      <c r="C449" s="141"/>
      <c r="D449" s="153" t="s">
        <v>367</v>
      </c>
      <c r="E449" s="141"/>
      <c r="F449" s="141"/>
      <c r="G449" s="141"/>
      <c r="H449" s="141"/>
      <c r="I449" s="141"/>
      <c r="J449" s="141"/>
      <c r="K449" s="141"/>
      <c r="L449" s="141"/>
      <c r="M449" s="141"/>
      <c r="N449" s="141"/>
      <c r="O449" s="141"/>
      <c r="P449" s="141"/>
      <c r="Q449" s="141"/>
    </row>
    <row r="450" spans="1:17" ht="13.5" customHeight="1" x14ac:dyDescent="0.15">
      <c r="A450" s="141"/>
      <c r="B450" s="154"/>
      <c r="C450" s="141"/>
      <c r="D450" s="153" t="s">
        <v>367</v>
      </c>
      <c r="E450" s="141"/>
      <c r="F450" s="141"/>
      <c r="G450" s="141"/>
      <c r="H450" s="141"/>
      <c r="I450" s="141"/>
      <c r="J450" s="141"/>
      <c r="K450" s="141"/>
      <c r="L450" s="141"/>
      <c r="M450" s="141"/>
      <c r="N450" s="141"/>
      <c r="O450" s="141"/>
      <c r="P450" s="141"/>
      <c r="Q450" s="141"/>
    </row>
    <row r="451" spans="1:17" ht="13.5" customHeight="1" x14ac:dyDescent="0.15">
      <c r="A451" s="141"/>
      <c r="B451" s="154"/>
      <c r="C451" s="141"/>
      <c r="D451" s="153" t="s">
        <v>367</v>
      </c>
      <c r="E451" s="141"/>
      <c r="F451" s="141"/>
      <c r="G451" s="141"/>
      <c r="H451" s="141"/>
      <c r="I451" s="141"/>
      <c r="J451" s="141"/>
      <c r="K451" s="141"/>
      <c r="L451" s="141"/>
      <c r="M451" s="141"/>
      <c r="N451" s="141"/>
      <c r="O451" s="141"/>
      <c r="P451" s="141"/>
      <c r="Q451" s="141"/>
    </row>
    <row r="452" spans="1:17" ht="13.5" customHeight="1" x14ac:dyDescent="0.15">
      <c r="A452" s="141"/>
      <c r="B452" s="154"/>
      <c r="C452" s="141"/>
      <c r="D452" s="153" t="s">
        <v>367</v>
      </c>
      <c r="E452" s="141"/>
      <c r="F452" s="141"/>
      <c r="G452" s="141"/>
      <c r="H452" s="141"/>
      <c r="I452" s="141"/>
      <c r="J452" s="141"/>
      <c r="K452" s="141"/>
      <c r="L452" s="141"/>
      <c r="M452" s="141"/>
      <c r="N452" s="141"/>
      <c r="O452" s="141"/>
      <c r="P452" s="141"/>
      <c r="Q452" s="141"/>
    </row>
    <row r="453" spans="1:17" ht="13.5" customHeight="1" x14ac:dyDescent="0.15">
      <c r="A453" s="141"/>
      <c r="B453" s="154"/>
      <c r="C453" s="141"/>
      <c r="D453" s="153" t="s">
        <v>367</v>
      </c>
      <c r="E453" s="141"/>
      <c r="F453" s="141"/>
      <c r="G453" s="141"/>
      <c r="H453" s="141"/>
      <c r="I453" s="141"/>
      <c r="J453" s="141"/>
      <c r="K453" s="141"/>
      <c r="L453" s="141"/>
      <c r="M453" s="141"/>
      <c r="N453" s="141"/>
      <c r="O453" s="141"/>
      <c r="P453" s="141"/>
      <c r="Q453" s="141"/>
    </row>
    <row r="454" spans="1:17" ht="13.5" customHeight="1" x14ac:dyDescent="0.15">
      <c r="A454" s="141"/>
      <c r="B454" s="154"/>
      <c r="C454" s="141"/>
      <c r="D454" s="153" t="s">
        <v>367</v>
      </c>
      <c r="E454" s="141"/>
      <c r="F454" s="141"/>
      <c r="G454" s="141"/>
      <c r="H454" s="141"/>
      <c r="I454" s="141"/>
      <c r="J454" s="141"/>
      <c r="K454" s="141"/>
      <c r="L454" s="141"/>
      <c r="M454" s="141"/>
      <c r="N454" s="141"/>
      <c r="O454" s="141"/>
      <c r="P454" s="141"/>
      <c r="Q454" s="141"/>
    </row>
    <row r="455" spans="1:17" ht="13.5" customHeight="1" x14ac:dyDescent="0.15">
      <c r="A455" s="141"/>
      <c r="B455" s="154"/>
      <c r="C455" s="141"/>
      <c r="D455" s="153" t="s">
        <v>367</v>
      </c>
      <c r="E455" s="141"/>
      <c r="F455" s="141"/>
      <c r="G455" s="141"/>
      <c r="H455" s="141"/>
      <c r="I455" s="141"/>
      <c r="J455" s="141"/>
      <c r="K455" s="141"/>
      <c r="L455" s="141"/>
      <c r="M455" s="141"/>
      <c r="N455" s="141"/>
      <c r="O455" s="141"/>
      <c r="P455" s="141"/>
      <c r="Q455" s="141"/>
    </row>
    <row r="456" spans="1:17" ht="13.5" customHeight="1" x14ac:dyDescent="0.15">
      <c r="A456" s="141"/>
      <c r="B456" s="154"/>
      <c r="C456" s="141"/>
      <c r="D456" s="153" t="s">
        <v>367</v>
      </c>
      <c r="E456" s="141"/>
      <c r="F456" s="141"/>
      <c r="G456" s="141"/>
      <c r="H456" s="141"/>
      <c r="I456" s="141"/>
      <c r="J456" s="141"/>
      <c r="K456" s="141"/>
      <c r="L456" s="141"/>
      <c r="M456" s="141"/>
      <c r="N456" s="141"/>
      <c r="O456" s="141"/>
      <c r="P456" s="141"/>
      <c r="Q456" s="141"/>
    </row>
    <row r="457" spans="1:17" ht="13.5" customHeight="1" x14ac:dyDescent="0.15">
      <c r="A457" s="141"/>
      <c r="B457" s="154"/>
      <c r="C457" s="141"/>
      <c r="D457" s="153" t="s">
        <v>367</v>
      </c>
      <c r="E457" s="141"/>
      <c r="F457" s="141"/>
      <c r="G457" s="141"/>
      <c r="H457" s="141"/>
      <c r="I457" s="141"/>
      <c r="J457" s="141"/>
      <c r="K457" s="141"/>
      <c r="L457" s="141"/>
      <c r="M457" s="141"/>
      <c r="N457" s="141"/>
      <c r="O457" s="141"/>
      <c r="P457" s="141"/>
      <c r="Q457" s="141"/>
    </row>
    <row r="458" spans="1:17" ht="13.5" customHeight="1" x14ac:dyDescent="0.15">
      <c r="A458" s="141"/>
      <c r="B458" s="154"/>
      <c r="C458" s="141"/>
      <c r="D458" s="153" t="s">
        <v>367</v>
      </c>
      <c r="E458" s="141"/>
      <c r="F458" s="141"/>
      <c r="G458" s="141"/>
      <c r="H458" s="141"/>
      <c r="I458" s="141"/>
      <c r="J458" s="141"/>
      <c r="K458" s="141"/>
      <c r="L458" s="141"/>
      <c r="M458" s="141"/>
      <c r="N458" s="141"/>
      <c r="O458" s="141"/>
      <c r="P458" s="141"/>
      <c r="Q458" s="141"/>
    </row>
    <row r="459" spans="1:17" ht="13.5" customHeight="1" x14ac:dyDescent="0.15">
      <c r="A459" s="141"/>
      <c r="B459" s="154"/>
      <c r="C459" s="141"/>
      <c r="D459" s="153" t="s">
        <v>367</v>
      </c>
      <c r="E459" s="141"/>
      <c r="F459" s="141"/>
      <c r="G459" s="141"/>
      <c r="H459" s="141"/>
      <c r="I459" s="141"/>
      <c r="J459" s="141"/>
      <c r="K459" s="141"/>
      <c r="L459" s="141"/>
      <c r="M459" s="141"/>
      <c r="N459" s="141"/>
      <c r="O459" s="141"/>
      <c r="P459" s="141"/>
      <c r="Q459" s="141"/>
    </row>
    <row r="460" spans="1:17" ht="13.5" customHeight="1" x14ac:dyDescent="0.15">
      <c r="A460" s="141"/>
      <c r="B460" s="154"/>
      <c r="C460" s="141"/>
      <c r="D460" s="153" t="s">
        <v>367</v>
      </c>
      <c r="E460" s="141"/>
      <c r="F460" s="141"/>
      <c r="G460" s="141"/>
      <c r="H460" s="141"/>
      <c r="I460" s="141"/>
      <c r="J460" s="141"/>
      <c r="K460" s="141"/>
      <c r="L460" s="141"/>
      <c r="M460" s="141"/>
      <c r="N460" s="141"/>
      <c r="O460" s="141"/>
      <c r="P460" s="141"/>
      <c r="Q460" s="141"/>
    </row>
    <row r="461" spans="1:17" ht="13.5" customHeight="1" x14ac:dyDescent="0.15">
      <c r="A461" s="141"/>
      <c r="B461" s="154"/>
      <c r="C461" s="141"/>
      <c r="D461" s="153" t="s">
        <v>367</v>
      </c>
      <c r="E461" s="141"/>
      <c r="F461" s="141"/>
      <c r="G461" s="141"/>
      <c r="H461" s="141"/>
      <c r="I461" s="141"/>
      <c r="J461" s="141"/>
      <c r="K461" s="141"/>
      <c r="L461" s="141"/>
      <c r="M461" s="141"/>
      <c r="N461" s="141"/>
      <c r="O461" s="141"/>
      <c r="P461" s="141"/>
      <c r="Q461" s="141"/>
    </row>
    <row r="462" spans="1:17" ht="13.5" customHeight="1" x14ac:dyDescent="0.15">
      <c r="A462" s="141"/>
      <c r="B462" s="154"/>
      <c r="C462" s="141"/>
      <c r="D462" s="153" t="s">
        <v>367</v>
      </c>
      <c r="E462" s="141"/>
      <c r="F462" s="141"/>
      <c r="G462" s="141"/>
      <c r="H462" s="141"/>
      <c r="I462" s="141"/>
      <c r="J462" s="141"/>
      <c r="K462" s="141"/>
      <c r="L462" s="141"/>
      <c r="M462" s="141"/>
      <c r="N462" s="141"/>
      <c r="O462" s="141"/>
      <c r="P462" s="141"/>
      <c r="Q462" s="141"/>
    </row>
    <row r="463" spans="1:17" ht="13.5" customHeight="1" x14ac:dyDescent="0.15">
      <c r="A463" s="141"/>
      <c r="B463" s="154"/>
      <c r="C463" s="141"/>
      <c r="D463" s="153" t="s">
        <v>367</v>
      </c>
      <c r="E463" s="141"/>
      <c r="F463" s="141"/>
      <c r="G463" s="141"/>
      <c r="H463" s="141"/>
      <c r="I463" s="141"/>
      <c r="J463" s="141"/>
      <c r="K463" s="141"/>
      <c r="L463" s="141"/>
      <c r="M463" s="141"/>
      <c r="N463" s="141"/>
      <c r="O463" s="141"/>
      <c r="P463" s="141"/>
      <c r="Q463" s="141"/>
    </row>
    <row r="464" spans="1:17" ht="13.5" customHeight="1" x14ac:dyDescent="0.15">
      <c r="A464" s="141"/>
      <c r="B464" s="154"/>
      <c r="C464" s="141"/>
      <c r="D464" s="153" t="s">
        <v>367</v>
      </c>
      <c r="E464" s="141"/>
      <c r="F464" s="141"/>
      <c r="G464" s="141"/>
      <c r="H464" s="141"/>
      <c r="I464" s="141"/>
      <c r="J464" s="141"/>
      <c r="K464" s="141"/>
      <c r="L464" s="141"/>
      <c r="M464" s="141"/>
      <c r="N464" s="141"/>
      <c r="O464" s="141"/>
      <c r="P464" s="141"/>
      <c r="Q464" s="141"/>
    </row>
    <row r="465" spans="1:17" ht="13.5" customHeight="1" x14ac:dyDescent="0.15">
      <c r="A465" s="141"/>
      <c r="B465" s="154"/>
      <c r="C465" s="141"/>
      <c r="D465" s="153" t="s">
        <v>367</v>
      </c>
      <c r="E465" s="141"/>
      <c r="F465" s="141"/>
      <c r="G465" s="141"/>
      <c r="H465" s="141"/>
      <c r="I465" s="141"/>
      <c r="J465" s="141"/>
      <c r="K465" s="141"/>
      <c r="L465" s="141"/>
      <c r="M465" s="141"/>
      <c r="N465" s="141"/>
      <c r="O465" s="141"/>
      <c r="P465" s="141"/>
      <c r="Q465" s="141"/>
    </row>
    <row r="466" spans="1:17" ht="13.5" customHeight="1" x14ac:dyDescent="0.15">
      <c r="A466" s="141"/>
      <c r="B466" s="154"/>
      <c r="C466" s="141"/>
      <c r="D466" s="153" t="s">
        <v>367</v>
      </c>
      <c r="E466" s="141"/>
      <c r="F466" s="141"/>
      <c r="G466" s="141"/>
      <c r="H466" s="141"/>
      <c r="I466" s="141"/>
      <c r="J466" s="141"/>
      <c r="K466" s="141"/>
      <c r="L466" s="141"/>
      <c r="M466" s="141"/>
      <c r="N466" s="141"/>
      <c r="O466" s="141"/>
      <c r="P466" s="141"/>
      <c r="Q466" s="141"/>
    </row>
    <row r="467" spans="1:17" ht="13.5" customHeight="1" x14ac:dyDescent="0.15">
      <c r="A467" s="141"/>
      <c r="B467" s="154"/>
      <c r="C467" s="141"/>
      <c r="D467" s="153" t="s">
        <v>367</v>
      </c>
      <c r="E467" s="141"/>
      <c r="F467" s="141"/>
      <c r="G467" s="141"/>
      <c r="H467" s="141"/>
      <c r="I467" s="141"/>
      <c r="J467" s="141"/>
      <c r="K467" s="141"/>
      <c r="L467" s="141"/>
      <c r="M467" s="141"/>
      <c r="N467" s="141"/>
      <c r="O467" s="141"/>
      <c r="P467" s="141"/>
      <c r="Q467" s="141"/>
    </row>
    <row r="468" spans="1:17" ht="13.5" customHeight="1" x14ac:dyDescent="0.15">
      <c r="A468" s="141"/>
      <c r="B468" s="154"/>
      <c r="C468" s="141"/>
      <c r="D468" s="153" t="s">
        <v>367</v>
      </c>
      <c r="E468" s="141"/>
      <c r="F468" s="141"/>
      <c r="G468" s="141"/>
      <c r="H468" s="141"/>
      <c r="I468" s="141"/>
      <c r="J468" s="141"/>
      <c r="K468" s="141"/>
      <c r="L468" s="141"/>
      <c r="M468" s="141"/>
      <c r="N468" s="141"/>
      <c r="O468" s="141"/>
      <c r="P468" s="141"/>
      <c r="Q468" s="141"/>
    </row>
    <row r="469" spans="1:17" ht="13.5" customHeight="1" x14ac:dyDescent="0.15">
      <c r="A469" s="141"/>
      <c r="B469" s="154"/>
      <c r="C469" s="141"/>
      <c r="D469" s="153" t="s">
        <v>367</v>
      </c>
      <c r="E469" s="141"/>
      <c r="F469" s="141"/>
      <c r="G469" s="141"/>
      <c r="H469" s="141"/>
      <c r="I469" s="141"/>
      <c r="J469" s="141"/>
      <c r="K469" s="141"/>
      <c r="L469" s="141"/>
      <c r="M469" s="141"/>
      <c r="N469" s="141"/>
      <c r="O469" s="141"/>
      <c r="P469" s="141"/>
      <c r="Q469" s="141"/>
    </row>
    <row r="470" spans="1:17" ht="13.5" customHeight="1" x14ac:dyDescent="0.15">
      <c r="A470" s="141"/>
      <c r="B470" s="154"/>
      <c r="C470" s="141"/>
      <c r="D470" s="153" t="s">
        <v>367</v>
      </c>
      <c r="E470" s="141"/>
      <c r="F470" s="141"/>
      <c r="G470" s="141"/>
      <c r="H470" s="141"/>
      <c r="I470" s="141"/>
      <c r="J470" s="141"/>
      <c r="K470" s="141"/>
      <c r="L470" s="141"/>
      <c r="M470" s="141"/>
      <c r="N470" s="141"/>
      <c r="O470" s="141"/>
      <c r="P470" s="141"/>
      <c r="Q470" s="141"/>
    </row>
    <row r="471" spans="1:17" ht="13.5" customHeight="1" x14ac:dyDescent="0.15">
      <c r="A471" s="141"/>
      <c r="B471" s="154"/>
      <c r="C471" s="141"/>
      <c r="D471" s="153" t="s">
        <v>367</v>
      </c>
      <c r="E471" s="141"/>
      <c r="F471" s="141"/>
      <c r="G471" s="141"/>
      <c r="H471" s="141"/>
      <c r="I471" s="141"/>
      <c r="J471" s="141"/>
      <c r="K471" s="141"/>
      <c r="L471" s="141"/>
      <c r="M471" s="141"/>
      <c r="N471" s="141"/>
      <c r="O471" s="141"/>
      <c r="P471" s="141"/>
      <c r="Q471" s="141"/>
    </row>
    <row r="472" spans="1:17" ht="13.5" customHeight="1" x14ac:dyDescent="0.15">
      <c r="A472" s="141"/>
      <c r="B472" s="154"/>
      <c r="C472" s="141"/>
      <c r="D472" s="153" t="s">
        <v>367</v>
      </c>
      <c r="E472" s="141"/>
      <c r="F472" s="141"/>
      <c r="G472" s="141"/>
      <c r="H472" s="141"/>
      <c r="I472" s="141"/>
      <c r="J472" s="141"/>
      <c r="K472" s="141"/>
      <c r="L472" s="141"/>
      <c r="M472" s="141"/>
      <c r="N472" s="141"/>
      <c r="O472" s="141"/>
      <c r="P472" s="141"/>
      <c r="Q472" s="141"/>
    </row>
    <row r="473" spans="1:17" ht="13.5" customHeight="1" x14ac:dyDescent="0.15">
      <c r="A473" s="141"/>
      <c r="B473" s="154"/>
      <c r="C473" s="141"/>
      <c r="D473" s="153" t="s">
        <v>367</v>
      </c>
      <c r="E473" s="141"/>
      <c r="F473" s="141"/>
      <c r="G473" s="141"/>
      <c r="H473" s="141"/>
      <c r="I473" s="141"/>
      <c r="J473" s="141"/>
      <c r="K473" s="141"/>
      <c r="L473" s="141"/>
      <c r="M473" s="141"/>
      <c r="N473" s="141"/>
      <c r="O473" s="141"/>
      <c r="P473" s="141"/>
      <c r="Q473" s="141"/>
    </row>
    <row r="474" spans="1:17" ht="13.5" customHeight="1" x14ac:dyDescent="0.15">
      <c r="A474" s="141"/>
      <c r="B474" s="154"/>
      <c r="C474" s="141"/>
      <c r="D474" s="153" t="s">
        <v>367</v>
      </c>
      <c r="E474" s="141"/>
      <c r="F474" s="141"/>
      <c r="G474" s="141"/>
      <c r="H474" s="141"/>
      <c r="I474" s="141"/>
      <c r="J474" s="141"/>
      <c r="K474" s="141"/>
      <c r="L474" s="141"/>
      <c r="M474" s="141"/>
      <c r="N474" s="141"/>
      <c r="O474" s="141"/>
      <c r="P474" s="141"/>
      <c r="Q474" s="141"/>
    </row>
    <row r="475" spans="1:17" ht="13.5" customHeight="1" x14ac:dyDescent="0.15">
      <c r="A475" s="141"/>
      <c r="B475" s="154"/>
      <c r="C475" s="141"/>
      <c r="D475" s="153" t="s">
        <v>367</v>
      </c>
      <c r="E475" s="141"/>
      <c r="F475" s="141"/>
      <c r="G475" s="141"/>
      <c r="H475" s="141"/>
      <c r="I475" s="141"/>
      <c r="J475" s="141"/>
      <c r="K475" s="141"/>
      <c r="L475" s="141"/>
      <c r="M475" s="141"/>
      <c r="N475" s="141"/>
      <c r="O475" s="141"/>
      <c r="P475" s="141"/>
      <c r="Q475" s="141"/>
    </row>
    <row r="476" spans="1:17" ht="13.5" customHeight="1" x14ac:dyDescent="0.15">
      <c r="A476" s="141"/>
      <c r="B476" s="154"/>
      <c r="C476" s="141"/>
      <c r="D476" s="153" t="s">
        <v>367</v>
      </c>
      <c r="E476" s="141"/>
      <c r="F476" s="141"/>
      <c r="G476" s="141"/>
      <c r="H476" s="141"/>
      <c r="I476" s="141"/>
      <c r="J476" s="141"/>
      <c r="K476" s="141"/>
      <c r="L476" s="141"/>
      <c r="M476" s="141"/>
      <c r="N476" s="141"/>
      <c r="O476" s="141"/>
      <c r="P476" s="141"/>
      <c r="Q476" s="141"/>
    </row>
    <row r="477" spans="1:17" ht="13.5" customHeight="1" x14ac:dyDescent="0.15">
      <c r="A477" s="141"/>
      <c r="B477" s="154"/>
      <c r="C477" s="141"/>
      <c r="D477" s="153" t="s">
        <v>367</v>
      </c>
      <c r="E477" s="141"/>
      <c r="F477" s="141"/>
      <c r="G477" s="141"/>
      <c r="H477" s="141"/>
      <c r="I477" s="141"/>
      <c r="J477" s="141"/>
      <c r="K477" s="141"/>
      <c r="L477" s="141"/>
      <c r="M477" s="141"/>
      <c r="N477" s="141"/>
      <c r="O477" s="141"/>
      <c r="P477" s="141"/>
      <c r="Q477" s="141"/>
    </row>
    <row r="478" spans="1:17" ht="13.5" customHeight="1" x14ac:dyDescent="0.15">
      <c r="A478" s="141"/>
      <c r="B478" s="154"/>
      <c r="C478" s="141"/>
      <c r="D478" s="153" t="s">
        <v>367</v>
      </c>
      <c r="E478" s="141"/>
      <c r="F478" s="141"/>
      <c r="G478" s="141"/>
      <c r="H478" s="141"/>
      <c r="I478" s="141"/>
      <c r="J478" s="141"/>
      <c r="K478" s="141"/>
      <c r="L478" s="141"/>
      <c r="M478" s="141"/>
      <c r="N478" s="141"/>
      <c r="O478" s="141"/>
      <c r="P478" s="141"/>
      <c r="Q478" s="141"/>
    </row>
    <row r="479" spans="1:17" ht="13.5" customHeight="1" x14ac:dyDescent="0.15">
      <c r="A479" s="141"/>
      <c r="B479" s="154"/>
      <c r="C479" s="141"/>
      <c r="D479" s="153" t="s">
        <v>367</v>
      </c>
      <c r="E479" s="141"/>
      <c r="F479" s="141"/>
      <c r="G479" s="141"/>
      <c r="H479" s="141"/>
      <c r="I479" s="141"/>
      <c r="J479" s="141"/>
      <c r="K479" s="141"/>
      <c r="L479" s="141"/>
      <c r="M479" s="141"/>
      <c r="N479" s="141"/>
      <c r="O479" s="141"/>
      <c r="P479" s="141"/>
      <c r="Q479" s="141"/>
    </row>
    <row r="480" spans="1:17" ht="13.5" customHeight="1" x14ac:dyDescent="0.15">
      <c r="A480" s="141"/>
      <c r="B480" s="154"/>
      <c r="C480" s="141"/>
      <c r="D480" s="153" t="s">
        <v>367</v>
      </c>
      <c r="E480" s="141"/>
      <c r="F480" s="141"/>
      <c r="G480" s="141"/>
      <c r="H480" s="141"/>
      <c r="I480" s="141"/>
      <c r="J480" s="141"/>
      <c r="K480" s="141"/>
      <c r="L480" s="141"/>
      <c r="M480" s="141"/>
      <c r="N480" s="141"/>
      <c r="O480" s="141"/>
      <c r="P480" s="141"/>
      <c r="Q480" s="141"/>
    </row>
    <row r="481" spans="1:17" ht="13.5" customHeight="1" x14ac:dyDescent="0.15">
      <c r="A481" s="141"/>
      <c r="B481" s="154"/>
      <c r="C481" s="141"/>
      <c r="D481" s="153" t="s">
        <v>367</v>
      </c>
      <c r="E481" s="141"/>
      <c r="F481" s="141"/>
      <c r="G481" s="141"/>
      <c r="H481" s="141"/>
      <c r="I481" s="141"/>
      <c r="J481" s="141"/>
      <c r="K481" s="141"/>
      <c r="L481" s="141"/>
      <c r="M481" s="141"/>
      <c r="N481" s="141"/>
      <c r="O481" s="141"/>
      <c r="P481" s="141"/>
      <c r="Q481" s="141"/>
    </row>
    <row r="482" spans="1:17" ht="13.5" customHeight="1" x14ac:dyDescent="0.15">
      <c r="A482" s="141"/>
      <c r="B482" s="154"/>
      <c r="C482" s="141"/>
      <c r="D482" s="153" t="s">
        <v>367</v>
      </c>
      <c r="E482" s="141"/>
      <c r="F482" s="141"/>
      <c r="G482" s="141"/>
      <c r="H482" s="141"/>
      <c r="I482" s="141"/>
      <c r="J482" s="141"/>
      <c r="K482" s="141"/>
      <c r="L482" s="141"/>
      <c r="M482" s="141"/>
      <c r="N482" s="141"/>
      <c r="O482" s="141"/>
      <c r="P482" s="141"/>
      <c r="Q482" s="141"/>
    </row>
    <row r="483" spans="1:17" ht="13.5" customHeight="1" x14ac:dyDescent="0.15">
      <c r="A483" s="141"/>
      <c r="B483" s="154"/>
      <c r="C483" s="141"/>
      <c r="D483" s="153" t="s">
        <v>367</v>
      </c>
      <c r="E483" s="141"/>
      <c r="F483" s="141"/>
      <c r="G483" s="141"/>
      <c r="H483" s="141"/>
      <c r="I483" s="141"/>
      <c r="J483" s="141"/>
      <c r="K483" s="141"/>
      <c r="L483" s="141"/>
      <c r="M483" s="141"/>
      <c r="N483" s="141"/>
      <c r="O483" s="141"/>
      <c r="P483" s="141"/>
      <c r="Q483" s="141"/>
    </row>
    <row r="484" spans="1:17" ht="13.5" customHeight="1" x14ac:dyDescent="0.15">
      <c r="A484" s="141"/>
      <c r="B484" s="154"/>
      <c r="C484" s="141"/>
      <c r="D484" s="153" t="s">
        <v>367</v>
      </c>
      <c r="E484" s="141"/>
      <c r="F484" s="141"/>
      <c r="G484" s="141"/>
      <c r="H484" s="141"/>
      <c r="I484" s="141"/>
      <c r="J484" s="141"/>
      <c r="K484" s="141"/>
      <c r="L484" s="141"/>
      <c r="M484" s="141"/>
      <c r="N484" s="141"/>
      <c r="O484" s="141"/>
      <c r="P484" s="141"/>
      <c r="Q484" s="141"/>
    </row>
    <row r="485" spans="1:17" ht="13.5" customHeight="1" x14ac:dyDescent="0.15">
      <c r="A485" s="141"/>
      <c r="B485" s="154"/>
      <c r="C485" s="141"/>
      <c r="D485" s="153" t="s">
        <v>367</v>
      </c>
      <c r="E485" s="141"/>
      <c r="F485" s="141"/>
      <c r="G485" s="141"/>
      <c r="H485" s="141"/>
      <c r="I485" s="141"/>
      <c r="J485" s="141"/>
      <c r="K485" s="141"/>
      <c r="L485" s="141"/>
      <c r="M485" s="141"/>
      <c r="N485" s="141"/>
      <c r="O485" s="141"/>
      <c r="P485" s="141"/>
      <c r="Q485" s="141"/>
    </row>
    <row r="486" spans="1:17" ht="13.5" customHeight="1" x14ac:dyDescent="0.15">
      <c r="A486" s="141"/>
      <c r="B486" s="154"/>
      <c r="C486" s="141"/>
      <c r="D486" s="153" t="s">
        <v>367</v>
      </c>
      <c r="E486" s="141"/>
      <c r="F486" s="141"/>
      <c r="G486" s="141"/>
      <c r="H486" s="141"/>
      <c r="I486" s="141"/>
      <c r="J486" s="141"/>
      <c r="K486" s="141"/>
      <c r="L486" s="141"/>
      <c r="M486" s="141"/>
      <c r="N486" s="141"/>
      <c r="O486" s="141"/>
      <c r="P486" s="141"/>
      <c r="Q486" s="141"/>
    </row>
    <row r="487" spans="1:17" ht="13.5" customHeight="1" x14ac:dyDescent="0.15">
      <c r="A487" s="141"/>
      <c r="B487" s="154"/>
      <c r="C487" s="141"/>
      <c r="D487" s="153" t="s">
        <v>367</v>
      </c>
      <c r="E487" s="141"/>
      <c r="F487" s="141"/>
      <c r="G487" s="141"/>
      <c r="H487" s="141"/>
      <c r="I487" s="141"/>
      <c r="J487" s="141"/>
      <c r="K487" s="141"/>
      <c r="L487" s="141"/>
      <c r="M487" s="141"/>
      <c r="N487" s="141"/>
      <c r="O487" s="141"/>
      <c r="P487" s="141"/>
      <c r="Q487" s="141"/>
    </row>
    <row r="488" spans="1:17" ht="13.5" customHeight="1" x14ac:dyDescent="0.15">
      <c r="A488" s="141"/>
      <c r="B488" s="154"/>
      <c r="C488" s="141"/>
      <c r="D488" s="153" t="s">
        <v>367</v>
      </c>
      <c r="E488" s="141"/>
      <c r="F488" s="141"/>
      <c r="G488" s="141"/>
      <c r="H488" s="141"/>
      <c r="I488" s="141"/>
      <c r="J488" s="141"/>
      <c r="K488" s="141"/>
      <c r="L488" s="141"/>
      <c r="M488" s="141"/>
      <c r="N488" s="141"/>
      <c r="O488" s="141"/>
      <c r="P488" s="141"/>
      <c r="Q488" s="141"/>
    </row>
    <row r="489" spans="1:17" ht="13.5" customHeight="1" x14ac:dyDescent="0.15">
      <c r="A489" s="141"/>
      <c r="B489" s="154"/>
      <c r="C489" s="141"/>
      <c r="D489" s="153" t="s">
        <v>367</v>
      </c>
      <c r="E489" s="141"/>
      <c r="F489" s="141"/>
      <c r="G489" s="141"/>
      <c r="H489" s="141"/>
      <c r="I489" s="141"/>
      <c r="J489" s="141"/>
      <c r="K489" s="141"/>
      <c r="L489" s="141"/>
      <c r="M489" s="141"/>
      <c r="N489" s="141"/>
      <c r="O489" s="141"/>
      <c r="P489" s="141"/>
      <c r="Q489" s="141"/>
    </row>
    <row r="490" spans="1:17" ht="13.5" customHeight="1" x14ac:dyDescent="0.15">
      <c r="A490" s="141"/>
      <c r="B490" s="154"/>
      <c r="C490" s="141"/>
      <c r="D490" s="153" t="s">
        <v>367</v>
      </c>
      <c r="E490" s="141"/>
      <c r="F490" s="141"/>
      <c r="G490" s="141"/>
      <c r="H490" s="141"/>
      <c r="I490" s="141"/>
      <c r="J490" s="141"/>
      <c r="K490" s="141"/>
      <c r="L490" s="141"/>
      <c r="M490" s="141"/>
      <c r="N490" s="141"/>
      <c r="O490" s="141"/>
      <c r="P490" s="141"/>
      <c r="Q490" s="141"/>
    </row>
    <row r="491" spans="1:17" ht="13.5" customHeight="1" x14ac:dyDescent="0.15">
      <c r="A491" s="141"/>
      <c r="B491" s="154"/>
      <c r="C491" s="141"/>
      <c r="D491" s="153" t="s">
        <v>367</v>
      </c>
      <c r="E491" s="141"/>
      <c r="F491" s="141"/>
      <c r="G491" s="141"/>
      <c r="H491" s="141"/>
      <c r="I491" s="141"/>
      <c r="J491" s="141"/>
      <c r="K491" s="141"/>
      <c r="L491" s="141"/>
      <c r="M491" s="141"/>
      <c r="N491" s="141"/>
      <c r="O491" s="141"/>
      <c r="P491" s="141"/>
      <c r="Q491" s="141"/>
    </row>
    <row r="492" spans="1:17" ht="13.5" customHeight="1" x14ac:dyDescent="0.15">
      <c r="A492" s="141"/>
      <c r="B492" s="154"/>
      <c r="C492" s="141"/>
      <c r="D492" s="153" t="s">
        <v>367</v>
      </c>
      <c r="E492" s="141"/>
      <c r="F492" s="141"/>
      <c r="G492" s="141"/>
      <c r="H492" s="141"/>
      <c r="I492" s="141"/>
      <c r="J492" s="141"/>
      <c r="K492" s="141"/>
      <c r="L492" s="141"/>
      <c r="M492" s="141"/>
      <c r="N492" s="141"/>
      <c r="O492" s="141"/>
      <c r="P492" s="141"/>
      <c r="Q492" s="141"/>
    </row>
    <row r="493" spans="1:17" ht="13.5" customHeight="1" x14ac:dyDescent="0.15">
      <c r="A493" s="141"/>
      <c r="B493" s="154"/>
      <c r="C493" s="141"/>
      <c r="D493" s="153" t="s">
        <v>367</v>
      </c>
      <c r="E493" s="141"/>
      <c r="F493" s="141"/>
      <c r="G493" s="141"/>
      <c r="H493" s="141"/>
      <c r="I493" s="141"/>
      <c r="J493" s="141"/>
      <c r="K493" s="141"/>
      <c r="L493" s="141"/>
      <c r="M493" s="141"/>
      <c r="N493" s="141"/>
      <c r="O493" s="141"/>
      <c r="P493" s="141"/>
      <c r="Q493" s="141"/>
    </row>
    <row r="494" spans="1:17" ht="13.5" customHeight="1" x14ac:dyDescent="0.15">
      <c r="A494" s="141"/>
      <c r="B494" s="154"/>
      <c r="C494" s="141"/>
      <c r="D494" s="153" t="s">
        <v>367</v>
      </c>
      <c r="E494" s="141"/>
      <c r="F494" s="141"/>
      <c r="G494" s="141"/>
      <c r="H494" s="141"/>
      <c r="I494" s="141"/>
      <c r="J494" s="141"/>
      <c r="K494" s="141"/>
      <c r="L494" s="141"/>
      <c r="M494" s="141"/>
      <c r="N494" s="141"/>
      <c r="O494" s="141"/>
      <c r="P494" s="141"/>
      <c r="Q494" s="141"/>
    </row>
    <row r="495" spans="1:17" ht="13.5" customHeight="1" x14ac:dyDescent="0.15">
      <c r="A495" s="141"/>
      <c r="B495" s="154"/>
      <c r="C495" s="141"/>
      <c r="D495" s="153" t="s">
        <v>367</v>
      </c>
      <c r="E495" s="141"/>
      <c r="F495" s="141"/>
      <c r="G495" s="141"/>
      <c r="H495" s="141"/>
      <c r="I495" s="141"/>
      <c r="J495" s="141"/>
      <c r="K495" s="141"/>
      <c r="L495" s="141"/>
      <c r="M495" s="141"/>
      <c r="N495" s="141"/>
      <c r="O495" s="141"/>
      <c r="P495" s="141"/>
      <c r="Q495" s="141"/>
    </row>
    <row r="496" spans="1:17" ht="13.5" customHeight="1" x14ac:dyDescent="0.15">
      <c r="A496" s="141"/>
      <c r="B496" s="154"/>
      <c r="C496" s="141"/>
      <c r="D496" s="153" t="s">
        <v>367</v>
      </c>
      <c r="E496" s="141"/>
      <c r="F496" s="141"/>
      <c r="G496" s="141"/>
      <c r="H496" s="141"/>
      <c r="I496" s="141"/>
      <c r="J496" s="141"/>
      <c r="K496" s="141"/>
      <c r="L496" s="141"/>
      <c r="M496" s="141"/>
      <c r="N496" s="141"/>
      <c r="O496" s="141"/>
      <c r="P496" s="141"/>
      <c r="Q496" s="141"/>
    </row>
    <row r="497" spans="1:17" ht="13.5" customHeight="1" x14ac:dyDescent="0.15">
      <c r="A497" s="141"/>
      <c r="B497" s="154"/>
      <c r="C497" s="141"/>
      <c r="D497" s="153" t="s">
        <v>367</v>
      </c>
      <c r="E497" s="141"/>
      <c r="F497" s="141"/>
      <c r="G497" s="141"/>
      <c r="H497" s="141"/>
      <c r="I497" s="141"/>
      <c r="J497" s="141"/>
      <c r="K497" s="141"/>
      <c r="L497" s="141"/>
      <c r="M497" s="141"/>
      <c r="N497" s="141"/>
      <c r="O497" s="141"/>
      <c r="P497" s="141"/>
      <c r="Q497" s="141"/>
    </row>
    <row r="498" spans="1:17" ht="13.5" customHeight="1" x14ac:dyDescent="0.15">
      <c r="A498" s="141"/>
      <c r="B498" s="154"/>
      <c r="C498" s="141"/>
      <c r="D498" s="153" t="s">
        <v>367</v>
      </c>
      <c r="E498" s="141"/>
      <c r="F498" s="141"/>
      <c r="G498" s="141"/>
      <c r="H498" s="141"/>
      <c r="I498" s="141"/>
      <c r="J498" s="141"/>
      <c r="K498" s="141"/>
      <c r="L498" s="141"/>
      <c r="M498" s="141"/>
      <c r="N498" s="141"/>
      <c r="O498" s="141"/>
      <c r="P498" s="141"/>
      <c r="Q498" s="141"/>
    </row>
    <row r="499" spans="1:17" ht="13.5" customHeight="1" x14ac:dyDescent="0.15">
      <c r="A499" s="141"/>
      <c r="B499" s="154"/>
      <c r="C499" s="141"/>
      <c r="D499" s="153" t="s">
        <v>367</v>
      </c>
      <c r="E499" s="141"/>
      <c r="F499" s="141"/>
      <c r="G499" s="141"/>
      <c r="H499" s="141"/>
      <c r="I499" s="141"/>
      <c r="J499" s="141"/>
      <c r="K499" s="141"/>
      <c r="L499" s="141"/>
      <c r="M499" s="141"/>
      <c r="N499" s="141"/>
      <c r="O499" s="141"/>
      <c r="P499" s="141"/>
      <c r="Q499" s="141"/>
    </row>
    <row r="500" spans="1:17" ht="13.5" customHeight="1" x14ac:dyDescent="0.15">
      <c r="A500" s="141"/>
      <c r="B500" s="154"/>
      <c r="C500" s="141"/>
      <c r="D500" s="153" t="s">
        <v>367</v>
      </c>
      <c r="E500" s="141"/>
      <c r="F500" s="141"/>
      <c r="G500" s="141"/>
      <c r="H500" s="141"/>
      <c r="I500" s="141"/>
      <c r="J500" s="141"/>
      <c r="K500" s="141"/>
      <c r="L500" s="141"/>
      <c r="M500" s="141"/>
      <c r="N500" s="141"/>
      <c r="O500" s="141"/>
      <c r="P500" s="141"/>
      <c r="Q500" s="141"/>
    </row>
    <row r="501" spans="1:17" ht="13.5" customHeight="1" x14ac:dyDescent="0.15">
      <c r="A501" s="141"/>
      <c r="B501" s="154"/>
      <c r="C501" s="141"/>
      <c r="D501" s="153" t="s">
        <v>367</v>
      </c>
      <c r="E501" s="141"/>
      <c r="F501" s="141"/>
      <c r="G501" s="141"/>
      <c r="H501" s="141"/>
      <c r="I501" s="141"/>
      <c r="J501" s="141"/>
      <c r="K501" s="141"/>
      <c r="L501" s="141"/>
      <c r="M501" s="141"/>
      <c r="N501" s="141"/>
      <c r="O501" s="141"/>
      <c r="P501" s="141"/>
      <c r="Q501" s="141"/>
    </row>
    <row r="502" spans="1:17" ht="13.5" customHeight="1" x14ac:dyDescent="0.15">
      <c r="A502" s="141"/>
      <c r="B502" s="154"/>
      <c r="C502" s="141"/>
      <c r="D502" s="153" t="s">
        <v>367</v>
      </c>
      <c r="E502" s="141"/>
      <c r="F502" s="141"/>
      <c r="G502" s="141"/>
      <c r="H502" s="141"/>
      <c r="I502" s="141"/>
      <c r="J502" s="141"/>
      <c r="K502" s="141"/>
      <c r="L502" s="141"/>
      <c r="M502" s="141"/>
      <c r="N502" s="141"/>
      <c r="O502" s="141"/>
      <c r="P502" s="141"/>
      <c r="Q502" s="141"/>
    </row>
    <row r="503" spans="1:17" ht="13.5" customHeight="1" x14ac:dyDescent="0.15">
      <c r="A503" s="141"/>
      <c r="B503" s="154"/>
      <c r="C503" s="141"/>
      <c r="D503" s="153" t="s">
        <v>367</v>
      </c>
      <c r="E503" s="141"/>
      <c r="F503" s="141"/>
      <c r="G503" s="141"/>
      <c r="H503" s="141"/>
      <c r="I503" s="141"/>
      <c r="J503" s="141"/>
      <c r="K503" s="141"/>
      <c r="L503" s="141"/>
      <c r="M503" s="141"/>
      <c r="N503" s="141"/>
      <c r="O503" s="141"/>
      <c r="P503" s="141"/>
      <c r="Q503" s="141"/>
    </row>
    <row r="504" spans="1:17" ht="13.5" customHeight="1" x14ac:dyDescent="0.15">
      <c r="A504" s="141"/>
      <c r="B504" s="154"/>
      <c r="C504" s="141"/>
      <c r="D504" s="153" t="s">
        <v>367</v>
      </c>
      <c r="E504" s="141"/>
      <c r="F504" s="141"/>
      <c r="G504" s="141"/>
      <c r="H504" s="141"/>
      <c r="I504" s="141"/>
      <c r="J504" s="141"/>
      <c r="K504" s="141"/>
      <c r="L504" s="141"/>
      <c r="M504" s="141"/>
      <c r="N504" s="141"/>
      <c r="O504" s="141"/>
      <c r="P504" s="141"/>
      <c r="Q504" s="141"/>
    </row>
    <row r="505" spans="1:17" ht="13.5" customHeight="1" x14ac:dyDescent="0.15">
      <c r="A505" s="141"/>
      <c r="B505" s="154"/>
      <c r="C505" s="141"/>
      <c r="D505" s="153" t="s">
        <v>367</v>
      </c>
      <c r="E505" s="141"/>
      <c r="F505" s="141"/>
      <c r="G505" s="141"/>
      <c r="H505" s="141"/>
      <c r="I505" s="141"/>
      <c r="J505" s="141"/>
      <c r="K505" s="141"/>
      <c r="L505" s="141"/>
      <c r="M505" s="141"/>
      <c r="N505" s="141"/>
      <c r="O505" s="141"/>
      <c r="P505" s="141"/>
      <c r="Q505" s="141"/>
    </row>
    <row r="506" spans="1:17" ht="13.5" customHeight="1" x14ac:dyDescent="0.15">
      <c r="A506" s="141"/>
      <c r="B506" s="154"/>
      <c r="C506" s="141"/>
      <c r="D506" s="153" t="s">
        <v>367</v>
      </c>
      <c r="E506" s="141"/>
      <c r="F506" s="141"/>
      <c r="G506" s="141"/>
      <c r="H506" s="141"/>
      <c r="I506" s="141"/>
      <c r="J506" s="141"/>
      <c r="K506" s="141"/>
      <c r="L506" s="141"/>
      <c r="M506" s="141"/>
      <c r="N506" s="141"/>
      <c r="O506" s="141"/>
      <c r="P506" s="141"/>
      <c r="Q506" s="141"/>
    </row>
    <row r="507" spans="1:17" ht="13.5" customHeight="1" x14ac:dyDescent="0.15">
      <c r="A507" s="141"/>
      <c r="B507" s="154"/>
      <c r="C507" s="141"/>
      <c r="D507" s="153" t="s">
        <v>367</v>
      </c>
      <c r="E507" s="141"/>
      <c r="F507" s="141"/>
      <c r="G507" s="141"/>
      <c r="H507" s="141"/>
      <c r="I507" s="141"/>
      <c r="J507" s="141"/>
      <c r="K507" s="141"/>
      <c r="L507" s="141"/>
      <c r="M507" s="141"/>
      <c r="N507" s="141"/>
      <c r="O507" s="141"/>
      <c r="P507" s="141"/>
      <c r="Q507" s="141"/>
    </row>
    <row r="508" spans="1:17" ht="13.5" customHeight="1" x14ac:dyDescent="0.15">
      <c r="A508" s="141"/>
      <c r="B508" s="154"/>
      <c r="C508" s="141"/>
      <c r="D508" s="153" t="s">
        <v>367</v>
      </c>
      <c r="E508" s="141"/>
      <c r="F508" s="141"/>
      <c r="G508" s="141"/>
      <c r="H508" s="141"/>
      <c r="I508" s="141"/>
      <c r="J508" s="141"/>
      <c r="K508" s="141"/>
      <c r="L508" s="141"/>
      <c r="M508" s="141"/>
      <c r="N508" s="141"/>
      <c r="O508" s="141"/>
      <c r="P508" s="141"/>
      <c r="Q508" s="141"/>
    </row>
    <row r="509" spans="1:17" ht="13.5" customHeight="1" x14ac:dyDescent="0.15">
      <c r="A509" s="141"/>
      <c r="B509" s="154"/>
      <c r="C509" s="141"/>
      <c r="D509" s="153" t="s">
        <v>367</v>
      </c>
      <c r="E509" s="141"/>
      <c r="F509" s="141"/>
      <c r="G509" s="141"/>
      <c r="H509" s="141"/>
      <c r="I509" s="141"/>
      <c r="J509" s="141"/>
      <c r="K509" s="141"/>
      <c r="L509" s="141"/>
      <c r="M509" s="141"/>
      <c r="N509" s="141"/>
      <c r="O509" s="141"/>
      <c r="P509" s="141"/>
      <c r="Q509" s="141"/>
    </row>
    <row r="510" spans="1:17" ht="13.5" customHeight="1" x14ac:dyDescent="0.15">
      <c r="A510" s="141"/>
      <c r="B510" s="154"/>
      <c r="C510" s="141"/>
      <c r="D510" s="153" t="s">
        <v>367</v>
      </c>
      <c r="E510" s="141"/>
      <c r="F510" s="141"/>
      <c r="G510" s="141"/>
      <c r="H510" s="141"/>
      <c r="I510" s="141"/>
      <c r="J510" s="141"/>
      <c r="K510" s="141"/>
      <c r="L510" s="141"/>
      <c r="M510" s="141"/>
      <c r="N510" s="141"/>
      <c r="O510" s="141"/>
      <c r="P510" s="141"/>
      <c r="Q510" s="141"/>
    </row>
    <row r="511" spans="1:17" ht="13.5" customHeight="1" x14ac:dyDescent="0.15">
      <c r="A511" s="141"/>
      <c r="B511" s="154"/>
      <c r="C511" s="141"/>
      <c r="D511" s="153" t="s">
        <v>367</v>
      </c>
      <c r="E511" s="141"/>
      <c r="F511" s="141"/>
      <c r="G511" s="141"/>
      <c r="H511" s="141"/>
      <c r="I511" s="141"/>
      <c r="J511" s="141"/>
      <c r="K511" s="141"/>
      <c r="L511" s="141"/>
      <c r="M511" s="141"/>
      <c r="N511" s="141"/>
      <c r="O511" s="141"/>
      <c r="P511" s="141"/>
      <c r="Q511" s="141"/>
    </row>
    <row r="512" spans="1:17" ht="13.5" customHeight="1" x14ac:dyDescent="0.15">
      <c r="A512" s="141"/>
      <c r="B512" s="154"/>
      <c r="C512" s="141"/>
      <c r="D512" s="153" t="s">
        <v>367</v>
      </c>
      <c r="E512" s="141"/>
      <c r="F512" s="141"/>
      <c r="G512" s="141"/>
      <c r="H512" s="141"/>
      <c r="I512" s="141"/>
      <c r="J512" s="141"/>
      <c r="K512" s="141"/>
      <c r="L512" s="141"/>
      <c r="M512" s="141"/>
      <c r="N512" s="141"/>
      <c r="O512" s="141"/>
      <c r="P512" s="141"/>
      <c r="Q512" s="141"/>
    </row>
    <row r="513" spans="1:17" ht="13.5" customHeight="1" x14ac:dyDescent="0.15">
      <c r="A513" s="141"/>
      <c r="B513" s="154"/>
      <c r="C513" s="141"/>
      <c r="D513" s="153" t="s">
        <v>367</v>
      </c>
      <c r="E513" s="141"/>
      <c r="F513" s="141"/>
      <c r="G513" s="141"/>
      <c r="H513" s="141"/>
      <c r="I513" s="141"/>
      <c r="J513" s="141"/>
      <c r="K513" s="141"/>
      <c r="L513" s="141"/>
      <c r="M513" s="141"/>
      <c r="N513" s="141"/>
      <c r="O513" s="141"/>
      <c r="P513" s="141"/>
      <c r="Q513" s="141"/>
    </row>
    <row r="514" spans="1:17" ht="13.5" customHeight="1" x14ac:dyDescent="0.15">
      <c r="A514" s="141"/>
      <c r="B514" s="154"/>
      <c r="C514" s="141"/>
      <c r="D514" s="153" t="s">
        <v>367</v>
      </c>
      <c r="E514" s="141"/>
      <c r="F514" s="141"/>
      <c r="G514" s="141"/>
      <c r="H514" s="141"/>
      <c r="I514" s="141"/>
      <c r="J514" s="141"/>
      <c r="K514" s="141"/>
      <c r="L514" s="141"/>
      <c r="M514" s="141"/>
      <c r="N514" s="141"/>
      <c r="O514" s="141"/>
      <c r="P514" s="141"/>
      <c r="Q514" s="141"/>
    </row>
    <row r="515" spans="1:17" ht="13.5" customHeight="1" x14ac:dyDescent="0.15">
      <c r="A515" s="141"/>
      <c r="B515" s="154"/>
      <c r="C515" s="141"/>
      <c r="D515" s="153" t="s">
        <v>367</v>
      </c>
      <c r="E515" s="141"/>
      <c r="F515" s="141"/>
      <c r="G515" s="141"/>
      <c r="H515" s="141"/>
      <c r="I515" s="141"/>
      <c r="J515" s="141"/>
      <c r="K515" s="141"/>
      <c r="L515" s="141"/>
      <c r="M515" s="141"/>
      <c r="N515" s="141"/>
      <c r="O515" s="141"/>
      <c r="P515" s="141"/>
      <c r="Q515" s="141"/>
    </row>
    <row r="516" spans="1:17" ht="13.5" customHeight="1" x14ac:dyDescent="0.15">
      <c r="A516" s="141"/>
      <c r="B516" s="154"/>
      <c r="C516" s="141"/>
      <c r="D516" s="153" t="s">
        <v>367</v>
      </c>
      <c r="E516" s="141"/>
      <c r="F516" s="141"/>
      <c r="G516" s="141"/>
      <c r="H516" s="141"/>
      <c r="I516" s="141"/>
      <c r="J516" s="141"/>
      <c r="K516" s="141"/>
      <c r="L516" s="141"/>
      <c r="M516" s="141"/>
      <c r="N516" s="141"/>
      <c r="O516" s="141"/>
      <c r="P516" s="141"/>
      <c r="Q516" s="141"/>
    </row>
    <row r="517" spans="1:17" ht="13.5" customHeight="1" x14ac:dyDescent="0.15">
      <c r="A517" s="141"/>
      <c r="B517" s="154"/>
      <c r="C517" s="141"/>
      <c r="D517" s="153" t="s">
        <v>367</v>
      </c>
      <c r="E517" s="141"/>
      <c r="F517" s="141"/>
      <c r="G517" s="141"/>
      <c r="H517" s="141"/>
      <c r="I517" s="141"/>
      <c r="J517" s="141"/>
      <c r="K517" s="141"/>
      <c r="L517" s="141"/>
      <c r="M517" s="141"/>
      <c r="N517" s="141"/>
      <c r="O517" s="141"/>
      <c r="P517" s="141"/>
      <c r="Q517" s="141"/>
    </row>
    <row r="518" spans="1:17" ht="13.5" customHeight="1" x14ac:dyDescent="0.15">
      <c r="A518" s="141"/>
      <c r="B518" s="154"/>
      <c r="C518" s="141"/>
      <c r="D518" s="153" t="s">
        <v>367</v>
      </c>
      <c r="E518" s="141"/>
      <c r="F518" s="141"/>
      <c r="G518" s="141"/>
      <c r="H518" s="141"/>
      <c r="I518" s="141"/>
      <c r="J518" s="141"/>
      <c r="K518" s="141"/>
      <c r="L518" s="141"/>
      <c r="M518" s="141"/>
      <c r="N518" s="141"/>
      <c r="O518" s="141"/>
      <c r="P518" s="141"/>
      <c r="Q518" s="141"/>
    </row>
    <row r="519" spans="1:17" ht="13.5" customHeight="1" x14ac:dyDescent="0.15">
      <c r="A519" s="141"/>
      <c r="B519" s="154"/>
      <c r="C519" s="141"/>
      <c r="D519" s="153" t="s">
        <v>367</v>
      </c>
      <c r="E519" s="141"/>
      <c r="F519" s="141"/>
      <c r="G519" s="141"/>
      <c r="H519" s="141"/>
      <c r="I519" s="141"/>
      <c r="J519" s="141"/>
      <c r="K519" s="141"/>
      <c r="L519" s="141"/>
      <c r="M519" s="141"/>
      <c r="N519" s="141"/>
      <c r="O519" s="141"/>
      <c r="P519" s="141"/>
      <c r="Q519" s="141"/>
    </row>
    <row r="520" spans="1:17" ht="13.5" customHeight="1" x14ac:dyDescent="0.15">
      <c r="A520" s="141"/>
      <c r="B520" s="154"/>
      <c r="C520" s="141"/>
      <c r="D520" s="153" t="s">
        <v>367</v>
      </c>
      <c r="E520" s="141"/>
      <c r="F520" s="141"/>
      <c r="G520" s="141"/>
      <c r="H520" s="141"/>
      <c r="I520" s="141"/>
      <c r="J520" s="141"/>
      <c r="K520" s="141"/>
      <c r="L520" s="141"/>
      <c r="M520" s="141"/>
      <c r="N520" s="141"/>
      <c r="O520" s="141"/>
      <c r="P520" s="141"/>
      <c r="Q520" s="141"/>
    </row>
    <row r="521" spans="1:17" ht="13.5" customHeight="1" x14ac:dyDescent="0.15">
      <c r="A521" s="141"/>
      <c r="B521" s="154"/>
      <c r="C521" s="141"/>
      <c r="D521" s="153" t="s">
        <v>367</v>
      </c>
      <c r="E521" s="141"/>
      <c r="F521" s="141"/>
      <c r="G521" s="141"/>
      <c r="H521" s="141"/>
      <c r="I521" s="141"/>
      <c r="J521" s="141"/>
      <c r="K521" s="141"/>
      <c r="L521" s="141"/>
      <c r="M521" s="141"/>
      <c r="N521" s="141"/>
      <c r="O521" s="141"/>
      <c r="P521" s="141"/>
      <c r="Q521" s="141"/>
    </row>
    <row r="522" spans="1:17" ht="13.5" customHeight="1" x14ac:dyDescent="0.15">
      <c r="A522" s="141"/>
      <c r="B522" s="154"/>
      <c r="C522" s="141"/>
      <c r="D522" s="153" t="s">
        <v>367</v>
      </c>
      <c r="E522" s="141"/>
      <c r="F522" s="141"/>
      <c r="G522" s="141"/>
      <c r="H522" s="141"/>
      <c r="I522" s="141"/>
      <c r="J522" s="141"/>
      <c r="K522" s="141"/>
      <c r="L522" s="141"/>
      <c r="M522" s="141"/>
      <c r="N522" s="141"/>
      <c r="O522" s="141"/>
      <c r="P522" s="141"/>
      <c r="Q522" s="141"/>
    </row>
    <row r="523" spans="1:17" ht="13.5" customHeight="1" x14ac:dyDescent="0.15">
      <c r="A523" s="141"/>
      <c r="B523" s="154"/>
      <c r="C523" s="141"/>
      <c r="D523" s="153" t="s">
        <v>367</v>
      </c>
      <c r="E523" s="141"/>
      <c r="F523" s="141"/>
      <c r="G523" s="141"/>
      <c r="H523" s="141"/>
      <c r="I523" s="141"/>
      <c r="J523" s="141"/>
      <c r="K523" s="141"/>
      <c r="L523" s="141"/>
      <c r="M523" s="141"/>
      <c r="N523" s="141"/>
      <c r="O523" s="141"/>
      <c r="P523" s="141"/>
      <c r="Q523" s="141"/>
    </row>
    <row r="524" spans="1:17" ht="13.5" customHeight="1" x14ac:dyDescent="0.15">
      <c r="A524" s="141"/>
      <c r="B524" s="154"/>
      <c r="C524" s="141"/>
      <c r="D524" s="153" t="s">
        <v>367</v>
      </c>
      <c r="E524" s="141"/>
      <c r="F524" s="141"/>
      <c r="G524" s="141"/>
      <c r="H524" s="141"/>
      <c r="I524" s="141"/>
      <c r="J524" s="141"/>
      <c r="K524" s="141"/>
      <c r="L524" s="141"/>
      <c r="M524" s="141"/>
      <c r="N524" s="141"/>
      <c r="O524" s="141"/>
      <c r="P524" s="141"/>
      <c r="Q524" s="141"/>
    </row>
    <row r="525" spans="1:17" ht="13.5" customHeight="1" x14ac:dyDescent="0.15">
      <c r="A525" s="141"/>
      <c r="B525" s="154"/>
      <c r="C525" s="141"/>
      <c r="D525" s="153" t="s">
        <v>367</v>
      </c>
      <c r="E525" s="141"/>
      <c r="F525" s="141"/>
      <c r="G525" s="141"/>
      <c r="H525" s="141"/>
      <c r="I525" s="141"/>
      <c r="J525" s="141"/>
      <c r="K525" s="141"/>
      <c r="L525" s="141"/>
      <c r="M525" s="141"/>
      <c r="N525" s="141"/>
      <c r="O525" s="141"/>
      <c r="P525" s="141"/>
      <c r="Q525" s="141"/>
    </row>
    <row r="526" spans="1:17" ht="13.5" customHeight="1" x14ac:dyDescent="0.15">
      <c r="A526" s="141"/>
      <c r="B526" s="154"/>
      <c r="C526" s="141"/>
      <c r="D526" s="153" t="s">
        <v>367</v>
      </c>
      <c r="E526" s="141"/>
      <c r="F526" s="141"/>
      <c r="G526" s="141"/>
      <c r="H526" s="141"/>
      <c r="I526" s="141"/>
      <c r="J526" s="141"/>
      <c r="K526" s="141"/>
      <c r="L526" s="141"/>
      <c r="M526" s="141"/>
      <c r="N526" s="141"/>
      <c r="O526" s="141"/>
      <c r="P526" s="141"/>
      <c r="Q526" s="141"/>
    </row>
    <row r="527" spans="1:17" ht="13.5" customHeight="1" x14ac:dyDescent="0.15">
      <c r="A527" s="141"/>
      <c r="B527" s="154"/>
      <c r="C527" s="141"/>
      <c r="D527" s="153" t="s">
        <v>367</v>
      </c>
      <c r="E527" s="141"/>
      <c r="F527" s="141"/>
      <c r="G527" s="141"/>
      <c r="H527" s="141"/>
      <c r="I527" s="141"/>
      <c r="J527" s="141"/>
      <c r="K527" s="141"/>
      <c r="L527" s="141"/>
      <c r="M527" s="141"/>
      <c r="N527" s="141"/>
      <c r="O527" s="141"/>
      <c r="P527" s="141"/>
      <c r="Q527" s="141"/>
    </row>
    <row r="528" spans="1:17" ht="13.5" customHeight="1" x14ac:dyDescent="0.15">
      <c r="A528" s="141"/>
      <c r="B528" s="154"/>
      <c r="C528" s="141"/>
      <c r="D528" s="153" t="s">
        <v>367</v>
      </c>
      <c r="E528" s="141"/>
      <c r="F528" s="141"/>
      <c r="G528" s="141"/>
      <c r="H528" s="141"/>
      <c r="I528" s="141"/>
      <c r="J528" s="141"/>
      <c r="K528" s="141"/>
      <c r="L528" s="141"/>
      <c r="M528" s="141"/>
      <c r="N528" s="141"/>
      <c r="O528" s="141"/>
      <c r="P528" s="141"/>
      <c r="Q528" s="141"/>
    </row>
    <row r="529" spans="1:17" ht="13.5" customHeight="1" x14ac:dyDescent="0.15">
      <c r="A529" s="141"/>
      <c r="B529" s="154"/>
      <c r="C529" s="141"/>
      <c r="D529" s="153" t="s">
        <v>367</v>
      </c>
      <c r="E529" s="141"/>
      <c r="F529" s="141"/>
      <c r="G529" s="141"/>
      <c r="H529" s="141"/>
      <c r="I529" s="141"/>
      <c r="J529" s="141"/>
      <c r="K529" s="141"/>
      <c r="L529" s="141"/>
      <c r="M529" s="141"/>
      <c r="N529" s="141"/>
      <c r="O529" s="141"/>
      <c r="P529" s="141"/>
      <c r="Q529" s="141"/>
    </row>
    <row r="530" spans="1:17" ht="13.5" customHeight="1" x14ac:dyDescent="0.15">
      <c r="A530" s="141"/>
      <c r="B530" s="154"/>
      <c r="C530" s="141"/>
      <c r="D530" s="153" t="s">
        <v>367</v>
      </c>
      <c r="E530" s="141"/>
      <c r="F530" s="141"/>
      <c r="G530" s="141"/>
      <c r="H530" s="141"/>
      <c r="I530" s="141"/>
      <c r="J530" s="141"/>
      <c r="K530" s="141"/>
      <c r="L530" s="141"/>
      <c r="M530" s="141"/>
      <c r="N530" s="141"/>
      <c r="O530" s="141"/>
      <c r="P530" s="141"/>
      <c r="Q530" s="141"/>
    </row>
    <row r="531" spans="1:17" ht="13.5" customHeight="1" x14ac:dyDescent="0.15">
      <c r="A531" s="141"/>
      <c r="B531" s="154"/>
      <c r="C531" s="141"/>
      <c r="D531" s="153" t="s">
        <v>367</v>
      </c>
      <c r="E531" s="141"/>
      <c r="F531" s="141"/>
      <c r="G531" s="141"/>
      <c r="H531" s="141"/>
      <c r="I531" s="141"/>
      <c r="J531" s="141"/>
      <c r="K531" s="141"/>
      <c r="L531" s="141"/>
      <c r="M531" s="141"/>
      <c r="N531" s="141"/>
      <c r="O531" s="141"/>
      <c r="P531" s="141"/>
      <c r="Q531" s="141"/>
    </row>
    <row r="532" spans="1:17" ht="13.5" customHeight="1" x14ac:dyDescent="0.15">
      <c r="A532" s="141"/>
      <c r="B532" s="154"/>
      <c r="C532" s="141"/>
      <c r="D532" s="153" t="s">
        <v>367</v>
      </c>
      <c r="E532" s="141"/>
      <c r="F532" s="141"/>
      <c r="G532" s="141"/>
      <c r="H532" s="141"/>
      <c r="I532" s="141"/>
      <c r="J532" s="141"/>
      <c r="K532" s="141"/>
      <c r="L532" s="141"/>
      <c r="M532" s="141"/>
      <c r="N532" s="141"/>
      <c r="O532" s="141"/>
      <c r="P532" s="141"/>
      <c r="Q532" s="141"/>
    </row>
    <row r="533" spans="1:17" ht="13.5" customHeight="1" x14ac:dyDescent="0.15">
      <c r="A533" s="141"/>
      <c r="B533" s="154"/>
      <c r="C533" s="141"/>
      <c r="D533" s="153" t="s">
        <v>367</v>
      </c>
      <c r="E533" s="141"/>
      <c r="F533" s="141"/>
      <c r="G533" s="141"/>
      <c r="H533" s="141"/>
      <c r="I533" s="141"/>
      <c r="J533" s="141"/>
      <c r="K533" s="141"/>
      <c r="L533" s="141"/>
      <c r="M533" s="141"/>
      <c r="N533" s="141"/>
      <c r="O533" s="141"/>
      <c r="P533" s="141"/>
      <c r="Q533" s="141"/>
    </row>
    <row r="534" spans="1:17" ht="13.5" customHeight="1" x14ac:dyDescent="0.15">
      <c r="A534" s="141"/>
      <c r="B534" s="154"/>
      <c r="C534" s="141"/>
      <c r="D534" s="153" t="s">
        <v>367</v>
      </c>
      <c r="E534" s="141"/>
      <c r="F534" s="141"/>
      <c r="G534" s="141"/>
      <c r="H534" s="141"/>
      <c r="I534" s="141"/>
      <c r="J534" s="141"/>
      <c r="K534" s="141"/>
      <c r="L534" s="141"/>
      <c r="M534" s="141"/>
      <c r="N534" s="141"/>
      <c r="O534" s="141"/>
      <c r="P534" s="141"/>
      <c r="Q534" s="141"/>
    </row>
    <row r="535" spans="1:17" ht="13.5" customHeight="1" x14ac:dyDescent="0.15">
      <c r="A535" s="141"/>
      <c r="B535" s="154"/>
      <c r="C535" s="141"/>
      <c r="D535" s="153" t="s">
        <v>367</v>
      </c>
      <c r="E535" s="141"/>
      <c r="F535" s="141"/>
      <c r="G535" s="141"/>
      <c r="H535" s="141"/>
      <c r="I535" s="141"/>
      <c r="J535" s="141"/>
      <c r="K535" s="141"/>
      <c r="L535" s="141"/>
      <c r="M535" s="141"/>
      <c r="N535" s="141"/>
      <c r="O535" s="141"/>
      <c r="P535" s="141"/>
      <c r="Q535" s="141"/>
    </row>
    <row r="536" spans="1:17" ht="13.5" customHeight="1" x14ac:dyDescent="0.15">
      <c r="A536" s="141"/>
      <c r="B536" s="154"/>
      <c r="C536" s="141"/>
      <c r="D536" s="153" t="s">
        <v>367</v>
      </c>
      <c r="E536" s="141"/>
      <c r="F536" s="141"/>
      <c r="G536" s="141"/>
      <c r="H536" s="141"/>
      <c r="I536" s="141"/>
      <c r="J536" s="141"/>
      <c r="K536" s="141"/>
      <c r="L536" s="141"/>
      <c r="M536" s="141"/>
      <c r="N536" s="141"/>
      <c r="O536" s="141"/>
      <c r="P536" s="141"/>
      <c r="Q536" s="141"/>
    </row>
    <row r="537" spans="1:17" ht="13.5" customHeight="1" x14ac:dyDescent="0.15">
      <c r="A537" s="141"/>
      <c r="B537" s="154"/>
      <c r="C537" s="141"/>
      <c r="D537" s="153" t="s">
        <v>367</v>
      </c>
      <c r="E537" s="141"/>
      <c r="F537" s="141"/>
      <c r="G537" s="141"/>
      <c r="H537" s="141"/>
      <c r="I537" s="141"/>
      <c r="J537" s="141"/>
      <c r="K537" s="141"/>
      <c r="L537" s="141"/>
      <c r="M537" s="141"/>
      <c r="N537" s="141"/>
      <c r="O537" s="141"/>
      <c r="P537" s="141"/>
      <c r="Q537" s="141"/>
    </row>
    <row r="538" spans="1:17" ht="13.5" customHeight="1" x14ac:dyDescent="0.15">
      <c r="A538" s="141"/>
      <c r="B538" s="154"/>
      <c r="C538" s="141"/>
      <c r="D538" s="153" t="s">
        <v>367</v>
      </c>
      <c r="E538" s="141"/>
      <c r="F538" s="141"/>
      <c r="G538" s="141"/>
      <c r="H538" s="141"/>
      <c r="I538" s="141"/>
      <c r="J538" s="141"/>
      <c r="K538" s="141"/>
      <c r="L538" s="141"/>
      <c r="M538" s="141"/>
      <c r="N538" s="141"/>
      <c r="O538" s="141"/>
      <c r="P538" s="141"/>
      <c r="Q538" s="141"/>
    </row>
    <row r="539" spans="1:17" ht="13.5" customHeight="1" x14ac:dyDescent="0.15">
      <c r="A539" s="141"/>
      <c r="B539" s="154"/>
      <c r="C539" s="141"/>
      <c r="D539" s="153" t="s">
        <v>367</v>
      </c>
      <c r="E539" s="141"/>
      <c r="F539" s="141"/>
      <c r="G539" s="141"/>
      <c r="H539" s="141"/>
      <c r="I539" s="141"/>
      <c r="J539" s="141"/>
      <c r="K539" s="141"/>
      <c r="L539" s="141"/>
      <c r="M539" s="141"/>
      <c r="N539" s="141"/>
      <c r="O539" s="141"/>
      <c r="P539" s="141"/>
      <c r="Q539" s="141"/>
    </row>
    <row r="540" spans="1:17" ht="13.5" customHeight="1" x14ac:dyDescent="0.15">
      <c r="A540" s="141"/>
      <c r="B540" s="154"/>
      <c r="C540" s="141"/>
      <c r="D540" s="153" t="s">
        <v>367</v>
      </c>
      <c r="E540" s="141"/>
      <c r="F540" s="141"/>
      <c r="G540" s="141"/>
      <c r="H540" s="141"/>
      <c r="I540" s="141"/>
      <c r="J540" s="141"/>
      <c r="K540" s="141"/>
      <c r="L540" s="141"/>
      <c r="M540" s="141"/>
      <c r="N540" s="141"/>
      <c r="O540" s="141"/>
      <c r="P540" s="141"/>
      <c r="Q540" s="141"/>
    </row>
    <row r="541" spans="1:17" ht="13.5" customHeight="1" x14ac:dyDescent="0.15">
      <c r="A541" s="141"/>
      <c r="B541" s="154"/>
      <c r="C541" s="141"/>
      <c r="D541" s="153" t="s">
        <v>367</v>
      </c>
      <c r="E541" s="141"/>
      <c r="F541" s="141"/>
      <c r="G541" s="141"/>
      <c r="H541" s="141"/>
      <c r="I541" s="141"/>
      <c r="J541" s="141"/>
      <c r="K541" s="141"/>
      <c r="L541" s="141"/>
      <c r="M541" s="141"/>
      <c r="N541" s="141"/>
      <c r="O541" s="141"/>
      <c r="P541" s="141"/>
      <c r="Q541" s="141"/>
    </row>
    <row r="542" spans="1:17" ht="13.5" customHeight="1" x14ac:dyDescent="0.15">
      <c r="A542" s="141"/>
      <c r="B542" s="154"/>
      <c r="C542" s="141"/>
      <c r="D542" s="153" t="s">
        <v>367</v>
      </c>
      <c r="E542" s="141"/>
      <c r="F542" s="141"/>
      <c r="G542" s="141"/>
      <c r="H542" s="141"/>
      <c r="I542" s="141"/>
      <c r="J542" s="141"/>
      <c r="K542" s="141"/>
      <c r="L542" s="141"/>
      <c r="M542" s="141"/>
      <c r="N542" s="141"/>
      <c r="O542" s="141"/>
      <c r="P542" s="141"/>
      <c r="Q542" s="141"/>
    </row>
    <row r="543" spans="1:17" ht="13.5" customHeight="1" x14ac:dyDescent="0.15">
      <c r="A543" s="141"/>
      <c r="B543" s="154"/>
      <c r="C543" s="141"/>
      <c r="D543" s="153" t="s">
        <v>367</v>
      </c>
      <c r="E543" s="141"/>
      <c r="F543" s="141"/>
      <c r="G543" s="141"/>
      <c r="H543" s="141"/>
      <c r="I543" s="141"/>
      <c r="J543" s="141"/>
      <c r="K543" s="141"/>
      <c r="L543" s="141"/>
      <c r="M543" s="141"/>
      <c r="N543" s="141"/>
      <c r="O543" s="141"/>
      <c r="P543" s="141"/>
      <c r="Q543" s="141"/>
    </row>
    <row r="544" spans="1:17" ht="13.5" customHeight="1" x14ac:dyDescent="0.15">
      <c r="A544" s="141"/>
      <c r="B544" s="154"/>
      <c r="C544" s="141"/>
      <c r="D544" s="153" t="s">
        <v>367</v>
      </c>
      <c r="E544" s="141"/>
      <c r="F544" s="141"/>
      <c r="G544" s="141"/>
      <c r="H544" s="141"/>
      <c r="I544" s="141"/>
      <c r="J544" s="141"/>
      <c r="K544" s="141"/>
      <c r="L544" s="141"/>
      <c r="M544" s="141"/>
      <c r="N544" s="141"/>
      <c r="O544" s="141"/>
      <c r="P544" s="141"/>
      <c r="Q544" s="141"/>
    </row>
    <row r="545" spans="1:17" ht="13.5" customHeight="1" x14ac:dyDescent="0.15">
      <c r="A545" s="141"/>
      <c r="B545" s="154"/>
      <c r="C545" s="141"/>
      <c r="D545" s="153" t="s">
        <v>367</v>
      </c>
      <c r="E545" s="141"/>
      <c r="F545" s="141"/>
      <c r="G545" s="141"/>
      <c r="H545" s="141"/>
      <c r="I545" s="141"/>
      <c r="J545" s="141"/>
      <c r="K545" s="141"/>
      <c r="L545" s="141"/>
      <c r="M545" s="141"/>
      <c r="N545" s="141"/>
      <c r="O545" s="141"/>
      <c r="P545" s="141"/>
      <c r="Q545" s="141"/>
    </row>
    <row r="546" spans="1:17" ht="13.5" customHeight="1" x14ac:dyDescent="0.15">
      <c r="A546" s="141"/>
      <c r="B546" s="154"/>
      <c r="C546" s="141"/>
      <c r="D546" s="153" t="s">
        <v>367</v>
      </c>
      <c r="E546" s="141"/>
      <c r="F546" s="141"/>
      <c r="G546" s="141"/>
      <c r="H546" s="141"/>
      <c r="I546" s="141"/>
      <c r="J546" s="141"/>
      <c r="K546" s="141"/>
      <c r="L546" s="141"/>
      <c r="M546" s="141"/>
      <c r="N546" s="141"/>
      <c r="O546" s="141"/>
      <c r="P546" s="141"/>
      <c r="Q546" s="141"/>
    </row>
    <row r="547" spans="1:17" ht="13.5" customHeight="1" x14ac:dyDescent="0.15">
      <c r="A547" s="141"/>
      <c r="B547" s="154"/>
      <c r="C547" s="141"/>
      <c r="D547" s="153" t="s">
        <v>367</v>
      </c>
      <c r="E547" s="141"/>
      <c r="F547" s="141"/>
      <c r="G547" s="141"/>
      <c r="H547" s="141"/>
      <c r="I547" s="141"/>
      <c r="J547" s="141"/>
      <c r="K547" s="141"/>
      <c r="L547" s="141"/>
      <c r="M547" s="141"/>
      <c r="N547" s="141"/>
      <c r="O547" s="141"/>
      <c r="P547" s="141"/>
      <c r="Q547" s="141"/>
    </row>
    <row r="548" spans="1:17" ht="13.5" customHeight="1" x14ac:dyDescent="0.15">
      <c r="A548" s="141"/>
      <c r="B548" s="154"/>
      <c r="C548" s="141"/>
      <c r="D548" s="153" t="s">
        <v>367</v>
      </c>
      <c r="E548" s="141"/>
      <c r="F548" s="141"/>
      <c r="G548" s="141"/>
      <c r="H548" s="141"/>
      <c r="I548" s="141"/>
      <c r="J548" s="141"/>
      <c r="K548" s="141"/>
      <c r="L548" s="141"/>
      <c r="M548" s="141"/>
      <c r="N548" s="141"/>
      <c r="O548" s="141"/>
      <c r="P548" s="141"/>
      <c r="Q548" s="141"/>
    </row>
    <row r="549" spans="1:17" ht="13.5" customHeight="1" x14ac:dyDescent="0.15">
      <c r="A549" s="141"/>
      <c r="B549" s="154"/>
      <c r="C549" s="141"/>
      <c r="D549" s="153" t="s">
        <v>367</v>
      </c>
      <c r="E549" s="141"/>
      <c r="F549" s="141"/>
      <c r="G549" s="141"/>
      <c r="H549" s="141"/>
      <c r="I549" s="141"/>
      <c r="J549" s="141"/>
      <c r="K549" s="141"/>
      <c r="L549" s="141"/>
      <c r="M549" s="141"/>
      <c r="N549" s="141"/>
      <c r="O549" s="141"/>
      <c r="P549" s="141"/>
      <c r="Q549" s="141"/>
    </row>
    <row r="550" spans="1:17" ht="13.5" customHeight="1" x14ac:dyDescent="0.15">
      <c r="A550" s="141"/>
      <c r="B550" s="154"/>
      <c r="C550" s="141"/>
      <c r="D550" s="153" t="s">
        <v>367</v>
      </c>
      <c r="E550" s="141"/>
      <c r="F550" s="141"/>
      <c r="G550" s="141"/>
      <c r="H550" s="141"/>
      <c r="I550" s="141"/>
      <c r="J550" s="141"/>
      <c r="K550" s="141"/>
      <c r="L550" s="141"/>
      <c r="M550" s="141"/>
      <c r="N550" s="141"/>
      <c r="O550" s="141"/>
      <c r="P550" s="141"/>
      <c r="Q550" s="141"/>
    </row>
    <row r="551" spans="1:17" ht="13.5" customHeight="1" x14ac:dyDescent="0.15">
      <c r="A551" s="141"/>
      <c r="B551" s="154"/>
      <c r="C551" s="141"/>
      <c r="D551" s="153" t="s">
        <v>367</v>
      </c>
      <c r="E551" s="141"/>
      <c r="F551" s="141"/>
      <c r="G551" s="141"/>
      <c r="H551" s="141"/>
      <c r="I551" s="141"/>
      <c r="J551" s="141"/>
      <c r="K551" s="141"/>
      <c r="L551" s="141"/>
      <c r="M551" s="141"/>
      <c r="N551" s="141"/>
      <c r="O551" s="141"/>
      <c r="P551" s="141"/>
      <c r="Q551" s="141"/>
    </row>
    <row r="552" spans="1:17" ht="13.5" customHeight="1" x14ac:dyDescent="0.15">
      <c r="A552" s="141"/>
      <c r="B552" s="154"/>
      <c r="C552" s="141"/>
      <c r="D552" s="153" t="s">
        <v>367</v>
      </c>
      <c r="E552" s="141"/>
      <c r="F552" s="141"/>
      <c r="G552" s="141"/>
      <c r="H552" s="141"/>
      <c r="I552" s="141"/>
      <c r="J552" s="141"/>
      <c r="K552" s="141"/>
      <c r="L552" s="141"/>
      <c r="M552" s="141"/>
      <c r="N552" s="141"/>
      <c r="O552" s="141"/>
      <c r="P552" s="141"/>
      <c r="Q552" s="141"/>
    </row>
    <row r="553" spans="1:17" ht="13.5" customHeight="1" x14ac:dyDescent="0.15">
      <c r="A553" s="141"/>
      <c r="B553" s="154"/>
      <c r="C553" s="141"/>
      <c r="D553" s="153" t="s">
        <v>367</v>
      </c>
      <c r="E553" s="141"/>
      <c r="F553" s="141"/>
      <c r="G553" s="141"/>
      <c r="H553" s="141"/>
      <c r="I553" s="141"/>
      <c r="J553" s="141"/>
      <c r="K553" s="141"/>
      <c r="L553" s="141"/>
      <c r="M553" s="141"/>
      <c r="N553" s="141"/>
      <c r="O553" s="141"/>
      <c r="P553" s="141"/>
      <c r="Q553" s="141"/>
    </row>
    <row r="554" spans="1:17" ht="13.5" customHeight="1" x14ac:dyDescent="0.15">
      <c r="A554" s="141"/>
      <c r="B554" s="154"/>
      <c r="C554" s="141"/>
      <c r="D554" s="153" t="s">
        <v>367</v>
      </c>
      <c r="E554" s="141"/>
      <c r="F554" s="141"/>
      <c r="G554" s="141"/>
      <c r="H554" s="141"/>
      <c r="I554" s="141"/>
      <c r="J554" s="141"/>
      <c r="K554" s="141"/>
      <c r="L554" s="141"/>
      <c r="M554" s="141"/>
      <c r="N554" s="141"/>
      <c r="O554" s="141"/>
      <c r="P554" s="141"/>
      <c r="Q554" s="141"/>
    </row>
    <row r="555" spans="1:17" ht="13.5" customHeight="1" x14ac:dyDescent="0.15">
      <c r="A555" s="141"/>
      <c r="B555" s="154"/>
      <c r="C555" s="141"/>
      <c r="D555" s="153" t="s">
        <v>367</v>
      </c>
      <c r="E555" s="141"/>
      <c r="F555" s="141"/>
      <c r="G555" s="141"/>
      <c r="H555" s="141"/>
      <c r="I555" s="141"/>
      <c r="J555" s="141"/>
      <c r="K555" s="141"/>
      <c r="L555" s="141"/>
      <c r="M555" s="141"/>
      <c r="N555" s="141"/>
      <c r="O555" s="141"/>
      <c r="P555" s="141"/>
      <c r="Q555" s="141"/>
    </row>
    <row r="556" spans="1:17" ht="13.5" customHeight="1" x14ac:dyDescent="0.15">
      <c r="A556" s="141"/>
      <c r="B556" s="154"/>
      <c r="C556" s="141"/>
      <c r="D556" s="153" t="s">
        <v>367</v>
      </c>
      <c r="E556" s="141"/>
      <c r="F556" s="141"/>
      <c r="G556" s="141"/>
      <c r="H556" s="141"/>
      <c r="I556" s="141"/>
      <c r="J556" s="141"/>
      <c r="K556" s="141"/>
      <c r="L556" s="141"/>
      <c r="M556" s="141"/>
      <c r="N556" s="141"/>
      <c r="O556" s="141"/>
      <c r="P556" s="141"/>
      <c r="Q556" s="141"/>
    </row>
    <row r="557" spans="1:17" ht="13.5" customHeight="1" x14ac:dyDescent="0.15">
      <c r="A557" s="141"/>
      <c r="B557" s="154"/>
      <c r="C557" s="141"/>
      <c r="D557" s="153" t="s">
        <v>367</v>
      </c>
      <c r="E557" s="141"/>
      <c r="F557" s="141"/>
      <c r="G557" s="141"/>
      <c r="H557" s="141"/>
      <c r="I557" s="141"/>
      <c r="J557" s="141"/>
      <c r="K557" s="141"/>
      <c r="L557" s="141"/>
      <c r="M557" s="141"/>
      <c r="N557" s="141"/>
      <c r="O557" s="141"/>
      <c r="P557" s="141"/>
      <c r="Q557" s="141"/>
    </row>
    <row r="558" spans="1:17" ht="13.5" customHeight="1" x14ac:dyDescent="0.15">
      <c r="A558" s="141"/>
      <c r="B558" s="154"/>
      <c r="C558" s="141"/>
      <c r="D558" s="153" t="s">
        <v>367</v>
      </c>
      <c r="E558" s="141"/>
      <c r="F558" s="141"/>
      <c r="G558" s="141"/>
      <c r="H558" s="141"/>
      <c r="I558" s="141"/>
      <c r="J558" s="141"/>
      <c r="K558" s="141"/>
      <c r="L558" s="141"/>
      <c r="M558" s="141"/>
      <c r="N558" s="141"/>
      <c r="O558" s="141"/>
      <c r="P558" s="141"/>
      <c r="Q558" s="141"/>
    </row>
    <row r="559" spans="1:17" ht="13.5" customHeight="1" x14ac:dyDescent="0.15">
      <c r="A559" s="141"/>
      <c r="B559" s="154"/>
      <c r="C559" s="141"/>
      <c r="D559" s="153" t="s">
        <v>367</v>
      </c>
      <c r="E559" s="141"/>
      <c r="F559" s="141"/>
      <c r="G559" s="141"/>
      <c r="H559" s="141"/>
      <c r="I559" s="141"/>
      <c r="J559" s="141"/>
      <c r="K559" s="141"/>
      <c r="L559" s="141"/>
      <c r="M559" s="141"/>
      <c r="N559" s="141"/>
      <c r="O559" s="141"/>
      <c r="P559" s="141"/>
      <c r="Q559" s="141"/>
    </row>
    <row r="560" spans="1:17" ht="13.5" customHeight="1" x14ac:dyDescent="0.15">
      <c r="A560" s="141"/>
      <c r="B560" s="154"/>
      <c r="C560" s="141"/>
      <c r="D560" s="153" t="s">
        <v>367</v>
      </c>
      <c r="E560" s="141"/>
      <c r="F560" s="141"/>
      <c r="G560" s="141"/>
      <c r="H560" s="141"/>
      <c r="I560" s="141"/>
      <c r="J560" s="141"/>
      <c r="K560" s="141"/>
      <c r="L560" s="141"/>
      <c r="M560" s="141"/>
      <c r="N560" s="141"/>
      <c r="O560" s="141"/>
      <c r="P560" s="141"/>
      <c r="Q560" s="141"/>
    </row>
    <row r="561" spans="1:17" ht="13.5" customHeight="1" x14ac:dyDescent="0.15">
      <c r="A561" s="141"/>
      <c r="B561" s="154"/>
      <c r="C561" s="141"/>
      <c r="D561" s="153" t="s">
        <v>367</v>
      </c>
      <c r="E561" s="141"/>
      <c r="F561" s="141"/>
      <c r="G561" s="141"/>
      <c r="H561" s="141"/>
      <c r="I561" s="141"/>
      <c r="J561" s="141"/>
      <c r="K561" s="141"/>
      <c r="L561" s="141"/>
      <c r="M561" s="141"/>
      <c r="N561" s="141"/>
      <c r="O561" s="141"/>
      <c r="P561" s="141"/>
      <c r="Q561" s="141"/>
    </row>
    <row r="562" spans="1:17" ht="13.5" customHeight="1" x14ac:dyDescent="0.15">
      <c r="A562" s="141"/>
      <c r="B562" s="154"/>
      <c r="C562" s="141"/>
      <c r="D562" s="153" t="s">
        <v>367</v>
      </c>
      <c r="E562" s="141"/>
      <c r="F562" s="141"/>
      <c r="G562" s="141"/>
      <c r="H562" s="141"/>
      <c r="I562" s="141"/>
      <c r="J562" s="141"/>
      <c r="K562" s="141"/>
      <c r="L562" s="141"/>
      <c r="M562" s="141"/>
      <c r="N562" s="141"/>
      <c r="O562" s="141"/>
      <c r="P562" s="141"/>
      <c r="Q562" s="141"/>
    </row>
    <row r="563" spans="1:17" ht="13.5" customHeight="1" x14ac:dyDescent="0.15">
      <c r="A563" s="141"/>
      <c r="B563" s="154"/>
      <c r="C563" s="141"/>
      <c r="D563" s="153" t="s">
        <v>367</v>
      </c>
      <c r="E563" s="141"/>
      <c r="F563" s="141"/>
      <c r="G563" s="141"/>
      <c r="H563" s="141"/>
      <c r="I563" s="141"/>
      <c r="J563" s="141"/>
      <c r="K563" s="141"/>
      <c r="L563" s="141"/>
      <c r="M563" s="141"/>
      <c r="N563" s="141"/>
      <c r="O563" s="141"/>
      <c r="P563" s="141"/>
      <c r="Q563" s="141"/>
    </row>
    <row r="564" spans="1:17" ht="13.5" customHeight="1" x14ac:dyDescent="0.15">
      <c r="A564" s="141"/>
      <c r="B564" s="154"/>
      <c r="C564" s="141"/>
      <c r="D564" s="153" t="s">
        <v>367</v>
      </c>
      <c r="E564" s="141"/>
      <c r="F564" s="141"/>
      <c r="G564" s="141"/>
      <c r="H564" s="141"/>
      <c r="I564" s="141"/>
      <c r="J564" s="141"/>
      <c r="K564" s="141"/>
      <c r="L564" s="141"/>
      <c r="M564" s="141"/>
      <c r="N564" s="141"/>
      <c r="O564" s="141"/>
      <c r="P564" s="141"/>
      <c r="Q564" s="141"/>
    </row>
    <row r="565" spans="1:17" ht="13.5" customHeight="1" x14ac:dyDescent="0.15">
      <c r="A565" s="141"/>
      <c r="B565" s="154"/>
      <c r="C565" s="141"/>
      <c r="D565" s="153" t="s">
        <v>367</v>
      </c>
      <c r="E565" s="141"/>
      <c r="F565" s="141"/>
      <c r="G565" s="141"/>
      <c r="H565" s="141"/>
      <c r="I565" s="141"/>
      <c r="J565" s="141"/>
      <c r="K565" s="141"/>
      <c r="L565" s="141"/>
      <c r="M565" s="141"/>
      <c r="N565" s="141"/>
      <c r="O565" s="141"/>
      <c r="P565" s="141"/>
      <c r="Q565" s="141"/>
    </row>
    <row r="566" spans="1:17" ht="13.5" customHeight="1" x14ac:dyDescent="0.15">
      <c r="A566" s="141"/>
      <c r="B566" s="154"/>
      <c r="C566" s="141"/>
      <c r="D566" s="153" t="s">
        <v>367</v>
      </c>
      <c r="E566" s="141"/>
      <c r="F566" s="141"/>
      <c r="G566" s="141"/>
      <c r="H566" s="141"/>
      <c r="I566" s="141"/>
      <c r="J566" s="141"/>
      <c r="K566" s="141"/>
      <c r="L566" s="141"/>
      <c r="M566" s="141"/>
      <c r="N566" s="141"/>
      <c r="O566" s="141"/>
      <c r="P566" s="141"/>
      <c r="Q566" s="141"/>
    </row>
    <row r="567" spans="1:17" ht="13.5" customHeight="1" x14ac:dyDescent="0.15">
      <c r="A567" s="141"/>
      <c r="B567" s="154"/>
      <c r="C567" s="141"/>
      <c r="D567" s="153" t="s">
        <v>367</v>
      </c>
      <c r="E567" s="141"/>
      <c r="F567" s="141"/>
      <c r="G567" s="141"/>
      <c r="H567" s="141"/>
      <c r="I567" s="141"/>
      <c r="J567" s="141"/>
      <c r="K567" s="141"/>
      <c r="L567" s="141"/>
      <c r="M567" s="141"/>
      <c r="N567" s="141"/>
      <c r="O567" s="141"/>
      <c r="P567" s="141"/>
      <c r="Q567" s="141"/>
    </row>
    <row r="568" spans="1:17" ht="13.5" customHeight="1" x14ac:dyDescent="0.15">
      <c r="A568" s="141"/>
      <c r="B568" s="154"/>
      <c r="C568" s="141"/>
      <c r="D568" s="153" t="s">
        <v>367</v>
      </c>
      <c r="E568" s="141"/>
      <c r="F568" s="141"/>
      <c r="G568" s="141"/>
      <c r="H568" s="141"/>
      <c r="I568" s="141"/>
      <c r="J568" s="141"/>
      <c r="K568" s="141"/>
      <c r="L568" s="141"/>
      <c r="M568" s="141"/>
      <c r="N568" s="141"/>
      <c r="O568" s="141"/>
      <c r="P568" s="141"/>
      <c r="Q568" s="141"/>
    </row>
    <row r="569" spans="1:17" ht="13.5" customHeight="1" x14ac:dyDescent="0.15">
      <c r="A569" s="141"/>
      <c r="B569" s="154"/>
      <c r="C569" s="141"/>
      <c r="D569" s="153" t="s">
        <v>367</v>
      </c>
      <c r="E569" s="141"/>
      <c r="F569" s="141"/>
      <c r="G569" s="141"/>
      <c r="H569" s="141"/>
      <c r="I569" s="141"/>
      <c r="J569" s="141"/>
      <c r="K569" s="141"/>
      <c r="L569" s="141"/>
      <c r="M569" s="141"/>
      <c r="N569" s="141"/>
      <c r="O569" s="141"/>
      <c r="P569" s="141"/>
      <c r="Q569" s="141"/>
    </row>
    <row r="570" spans="1:17" ht="13.5" customHeight="1" x14ac:dyDescent="0.15">
      <c r="A570" s="141"/>
      <c r="B570" s="154"/>
      <c r="C570" s="141"/>
      <c r="D570" s="153" t="s">
        <v>367</v>
      </c>
      <c r="E570" s="141"/>
      <c r="F570" s="141"/>
      <c r="G570" s="141"/>
      <c r="H570" s="141"/>
      <c r="I570" s="141"/>
      <c r="J570" s="141"/>
      <c r="K570" s="141"/>
      <c r="L570" s="141"/>
      <c r="M570" s="141"/>
      <c r="N570" s="141"/>
      <c r="O570" s="141"/>
      <c r="P570" s="141"/>
      <c r="Q570" s="141"/>
    </row>
    <row r="571" spans="1:17" ht="13.5" customHeight="1" x14ac:dyDescent="0.15">
      <c r="A571" s="141"/>
      <c r="B571" s="154"/>
      <c r="C571" s="141"/>
      <c r="D571" s="153" t="s">
        <v>367</v>
      </c>
      <c r="E571" s="141"/>
      <c r="F571" s="141"/>
      <c r="G571" s="141"/>
      <c r="H571" s="141"/>
      <c r="I571" s="141"/>
      <c r="J571" s="141"/>
      <c r="K571" s="141"/>
      <c r="L571" s="141"/>
      <c r="M571" s="141"/>
      <c r="N571" s="141"/>
      <c r="O571" s="141"/>
      <c r="P571" s="141"/>
      <c r="Q571" s="141"/>
    </row>
    <row r="572" spans="1:17" ht="13.5" customHeight="1" x14ac:dyDescent="0.15">
      <c r="A572" s="141"/>
      <c r="B572" s="154"/>
      <c r="C572" s="141"/>
      <c r="D572" s="153" t="s">
        <v>367</v>
      </c>
      <c r="E572" s="141"/>
      <c r="F572" s="141"/>
      <c r="G572" s="141"/>
      <c r="H572" s="141"/>
      <c r="I572" s="141"/>
      <c r="J572" s="141"/>
      <c r="K572" s="141"/>
      <c r="L572" s="141"/>
      <c r="M572" s="141"/>
      <c r="N572" s="141"/>
      <c r="O572" s="141"/>
      <c r="P572" s="141"/>
      <c r="Q572" s="141"/>
    </row>
    <row r="573" spans="1:17" ht="13.5" customHeight="1" x14ac:dyDescent="0.15">
      <c r="A573" s="141"/>
      <c r="B573" s="154"/>
      <c r="C573" s="141"/>
      <c r="D573" s="153" t="s">
        <v>367</v>
      </c>
      <c r="E573" s="141"/>
      <c r="F573" s="141"/>
      <c r="G573" s="141"/>
      <c r="H573" s="141"/>
      <c r="I573" s="141"/>
      <c r="J573" s="141"/>
      <c r="K573" s="141"/>
      <c r="L573" s="141"/>
      <c r="M573" s="141"/>
      <c r="N573" s="141"/>
      <c r="O573" s="141"/>
      <c r="P573" s="141"/>
      <c r="Q573" s="141"/>
    </row>
    <row r="574" spans="1:17" ht="13.5" customHeight="1" x14ac:dyDescent="0.15">
      <c r="A574" s="141"/>
      <c r="B574" s="154"/>
      <c r="C574" s="141"/>
      <c r="D574" s="153" t="s">
        <v>367</v>
      </c>
      <c r="E574" s="141"/>
      <c r="F574" s="141"/>
      <c r="G574" s="141"/>
      <c r="H574" s="141"/>
      <c r="I574" s="141"/>
      <c r="J574" s="141"/>
      <c r="K574" s="141"/>
      <c r="L574" s="141"/>
      <c r="M574" s="141"/>
      <c r="N574" s="141"/>
      <c r="O574" s="141"/>
      <c r="P574" s="141"/>
      <c r="Q574" s="141"/>
    </row>
    <row r="575" spans="1:17" ht="13.5" customHeight="1" x14ac:dyDescent="0.15">
      <c r="A575" s="141"/>
      <c r="B575" s="154"/>
      <c r="C575" s="141"/>
      <c r="D575" s="153" t="s">
        <v>367</v>
      </c>
      <c r="E575" s="141"/>
      <c r="F575" s="141"/>
      <c r="G575" s="141"/>
      <c r="H575" s="141"/>
      <c r="I575" s="141"/>
      <c r="J575" s="141"/>
      <c r="K575" s="141"/>
      <c r="L575" s="141"/>
      <c r="M575" s="141"/>
      <c r="N575" s="141"/>
      <c r="O575" s="141"/>
      <c r="P575" s="141"/>
      <c r="Q575" s="141"/>
    </row>
    <row r="576" spans="1:17" ht="13.5" customHeight="1" x14ac:dyDescent="0.15">
      <c r="A576" s="141"/>
      <c r="B576" s="154"/>
      <c r="C576" s="141"/>
      <c r="D576" s="153" t="s">
        <v>367</v>
      </c>
      <c r="E576" s="141"/>
      <c r="F576" s="141"/>
      <c r="G576" s="141"/>
      <c r="H576" s="141"/>
      <c r="I576" s="141"/>
      <c r="J576" s="141"/>
      <c r="K576" s="141"/>
      <c r="L576" s="141"/>
      <c r="M576" s="141"/>
      <c r="N576" s="141"/>
      <c r="O576" s="141"/>
      <c r="P576" s="141"/>
      <c r="Q576" s="141"/>
    </row>
    <row r="577" spans="1:17" ht="13.5" customHeight="1" x14ac:dyDescent="0.15">
      <c r="A577" s="141"/>
      <c r="B577" s="154"/>
      <c r="C577" s="141"/>
      <c r="D577" s="153" t="s">
        <v>367</v>
      </c>
      <c r="E577" s="141"/>
      <c r="F577" s="141"/>
      <c r="G577" s="141"/>
      <c r="H577" s="141"/>
      <c r="I577" s="141"/>
      <c r="J577" s="141"/>
      <c r="K577" s="141"/>
      <c r="L577" s="141"/>
      <c r="M577" s="141"/>
      <c r="N577" s="141"/>
      <c r="O577" s="141"/>
      <c r="P577" s="141"/>
      <c r="Q577" s="141"/>
    </row>
    <row r="578" spans="1:17" ht="13.5" customHeight="1" x14ac:dyDescent="0.15">
      <c r="A578" s="141"/>
      <c r="B578" s="154"/>
      <c r="C578" s="141"/>
      <c r="D578" s="153" t="s">
        <v>367</v>
      </c>
      <c r="E578" s="141"/>
      <c r="F578" s="141"/>
      <c r="G578" s="141"/>
      <c r="H578" s="141"/>
      <c r="I578" s="141"/>
      <c r="J578" s="141"/>
      <c r="K578" s="141"/>
      <c r="L578" s="141"/>
      <c r="M578" s="141"/>
      <c r="N578" s="141"/>
      <c r="O578" s="141"/>
      <c r="P578" s="141"/>
      <c r="Q578" s="141"/>
    </row>
    <row r="579" spans="1:17" ht="13.5" customHeight="1" x14ac:dyDescent="0.15">
      <c r="A579" s="141"/>
      <c r="B579" s="154"/>
      <c r="C579" s="141"/>
      <c r="D579" s="153" t="s">
        <v>367</v>
      </c>
      <c r="E579" s="141"/>
      <c r="F579" s="141"/>
      <c r="G579" s="141"/>
      <c r="H579" s="141"/>
      <c r="I579" s="141"/>
      <c r="J579" s="141"/>
      <c r="K579" s="141"/>
      <c r="L579" s="141"/>
      <c r="M579" s="141"/>
      <c r="N579" s="141"/>
      <c r="O579" s="141"/>
      <c r="P579" s="141"/>
      <c r="Q579" s="141"/>
    </row>
    <row r="580" spans="1:17" ht="13.5" customHeight="1" x14ac:dyDescent="0.15">
      <c r="A580" s="141"/>
      <c r="B580" s="154"/>
      <c r="C580" s="141"/>
      <c r="D580" s="153" t="s">
        <v>367</v>
      </c>
      <c r="E580" s="141"/>
      <c r="F580" s="141"/>
      <c r="G580" s="141"/>
      <c r="H580" s="141"/>
      <c r="I580" s="141"/>
      <c r="J580" s="141"/>
      <c r="K580" s="141"/>
      <c r="L580" s="141"/>
      <c r="M580" s="141"/>
      <c r="N580" s="141"/>
      <c r="O580" s="141"/>
      <c r="P580" s="141"/>
      <c r="Q580" s="141"/>
    </row>
    <row r="581" spans="1:17" ht="13.5" customHeight="1" x14ac:dyDescent="0.15">
      <c r="A581" s="141"/>
      <c r="B581" s="154"/>
      <c r="C581" s="141"/>
      <c r="D581" s="153" t="s">
        <v>367</v>
      </c>
      <c r="E581" s="141"/>
      <c r="F581" s="141"/>
      <c r="G581" s="141"/>
      <c r="H581" s="141"/>
      <c r="I581" s="141"/>
      <c r="J581" s="141"/>
      <c r="K581" s="141"/>
      <c r="L581" s="141"/>
      <c r="M581" s="141"/>
      <c r="N581" s="141"/>
      <c r="O581" s="141"/>
      <c r="P581" s="141"/>
      <c r="Q581" s="141"/>
    </row>
    <row r="582" spans="1:17" ht="13.5" customHeight="1" x14ac:dyDescent="0.15">
      <c r="A582" s="141"/>
      <c r="B582" s="154"/>
      <c r="C582" s="141"/>
      <c r="D582" s="153" t="s">
        <v>367</v>
      </c>
      <c r="E582" s="141"/>
      <c r="F582" s="141"/>
      <c r="G582" s="141"/>
      <c r="H582" s="141"/>
      <c r="I582" s="141"/>
      <c r="J582" s="141"/>
      <c r="K582" s="141"/>
      <c r="L582" s="141"/>
      <c r="M582" s="141"/>
      <c r="N582" s="141"/>
      <c r="O582" s="141"/>
      <c r="P582" s="141"/>
      <c r="Q582" s="141"/>
    </row>
    <row r="583" spans="1:17" ht="13.5" customHeight="1" x14ac:dyDescent="0.15">
      <c r="A583" s="141"/>
      <c r="B583" s="154"/>
      <c r="C583" s="141"/>
      <c r="D583" s="153" t="s">
        <v>367</v>
      </c>
      <c r="E583" s="141"/>
      <c r="F583" s="141"/>
      <c r="G583" s="141"/>
      <c r="H583" s="141"/>
      <c r="I583" s="141"/>
      <c r="J583" s="141"/>
      <c r="K583" s="141"/>
      <c r="L583" s="141"/>
      <c r="M583" s="141"/>
      <c r="N583" s="141"/>
      <c r="O583" s="141"/>
      <c r="P583" s="141"/>
      <c r="Q583" s="141"/>
    </row>
    <row r="584" spans="1:17" ht="13.5" customHeight="1" x14ac:dyDescent="0.15">
      <c r="A584" s="141"/>
      <c r="B584" s="154"/>
      <c r="C584" s="141"/>
      <c r="D584" s="153" t="s">
        <v>367</v>
      </c>
      <c r="E584" s="141"/>
      <c r="F584" s="141"/>
      <c r="G584" s="141"/>
      <c r="H584" s="141"/>
      <c r="I584" s="141"/>
      <c r="J584" s="141"/>
      <c r="K584" s="141"/>
      <c r="L584" s="141"/>
      <c r="M584" s="141"/>
      <c r="N584" s="141"/>
      <c r="O584" s="141"/>
      <c r="P584" s="141"/>
      <c r="Q584" s="141"/>
    </row>
    <row r="585" spans="1:17" ht="13.5" customHeight="1" x14ac:dyDescent="0.15">
      <c r="A585" s="141"/>
      <c r="B585" s="154"/>
      <c r="C585" s="141"/>
      <c r="D585" s="153" t="s">
        <v>367</v>
      </c>
      <c r="E585" s="141"/>
      <c r="F585" s="141"/>
      <c r="G585" s="141"/>
      <c r="H585" s="141"/>
      <c r="I585" s="141"/>
      <c r="J585" s="141"/>
      <c r="K585" s="141"/>
      <c r="L585" s="141"/>
      <c r="M585" s="141"/>
      <c r="N585" s="141"/>
      <c r="O585" s="141"/>
      <c r="P585" s="141"/>
      <c r="Q585" s="141"/>
    </row>
    <row r="586" spans="1:17" ht="13.5" customHeight="1" x14ac:dyDescent="0.15">
      <c r="A586" s="141"/>
      <c r="B586" s="154"/>
      <c r="C586" s="141"/>
      <c r="D586" s="153" t="s">
        <v>367</v>
      </c>
      <c r="E586" s="141"/>
      <c r="F586" s="141"/>
      <c r="G586" s="141"/>
      <c r="H586" s="141"/>
      <c r="I586" s="141"/>
      <c r="J586" s="141"/>
      <c r="K586" s="141"/>
      <c r="L586" s="141"/>
      <c r="M586" s="141"/>
      <c r="N586" s="141"/>
      <c r="O586" s="141"/>
      <c r="P586" s="141"/>
      <c r="Q586" s="141"/>
    </row>
    <row r="587" spans="1:17" ht="13.5" customHeight="1" x14ac:dyDescent="0.15">
      <c r="A587" s="141"/>
      <c r="B587" s="154"/>
      <c r="C587" s="141"/>
      <c r="D587" s="153" t="s">
        <v>367</v>
      </c>
      <c r="E587" s="141"/>
      <c r="F587" s="141"/>
      <c r="G587" s="141"/>
      <c r="H587" s="141"/>
      <c r="I587" s="141"/>
      <c r="J587" s="141"/>
      <c r="K587" s="141"/>
      <c r="L587" s="141"/>
      <c r="M587" s="141"/>
      <c r="N587" s="141"/>
      <c r="O587" s="141"/>
      <c r="P587" s="141"/>
      <c r="Q587" s="141"/>
    </row>
    <row r="588" spans="1:17" ht="13.5" customHeight="1" x14ac:dyDescent="0.15">
      <c r="A588" s="141"/>
      <c r="B588" s="154"/>
      <c r="C588" s="141"/>
      <c r="D588" s="153" t="s">
        <v>367</v>
      </c>
      <c r="E588" s="141"/>
      <c r="F588" s="141"/>
      <c r="G588" s="141"/>
      <c r="H588" s="141"/>
      <c r="I588" s="141"/>
      <c r="J588" s="141"/>
      <c r="K588" s="141"/>
      <c r="L588" s="141"/>
      <c r="M588" s="141"/>
      <c r="N588" s="141"/>
      <c r="O588" s="141"/>
      <c r="P588" s="141"/>
      <c r="Q588" s="141"/>
    </row>
    <row r="589" spans="1:17" ht="13.5" customHeight="1" x14ac:dyDescent="0.15">
      <c r="A589" s="141"/>
      <c r="B589" s="154"/>
      <c r="C589" s="141"/>
      <c r="D589" s="153" t="s">
        <v>367</v>
      </c>
      <c r="E589" s="141"/>
      <c r="F589" s="141"/>
      <c r="G589" s="141"/>
      <c r="H589" s="141"/>
      <c r="I589" s="141"/>
      <c r="J589" s="141"/>
      <c r="K589" s="141"/>
      <c r="L589" s="141"/>
      <c r="M589" s="141"/>
      <c r="N589" s="141"/>
      <c r="O589" s="141"/>
      <c r="P589" s="141"/>
      <c r="Q589" s="141"/>
    </row>
    <row r="590" spans="1:17" ht="13.5" customHeight="1" x14ac:dyDescent="0.15">
      <c r="A590" s="141"/>
      <c r="B590" s="154"/>
      <c r="C590" s="141"/>
      <c r="D590" s="153" t="s">
        <v>367</v>
      </c>
      <c r="E590" s="141"/>
      <c r="F590" s="141"/>
      <c r="G590" s="141"/>
      <c r="H590" s="141"/>
      <c r="I590" s="141"/>
      <c r="J590" s="141"/>
      <c r="K590" s="141"/>
      <c r="L590" s="141"/>
      <c r="M590" s="141"/>
      <c r="N590" s="141"/>
      <c r="O590" s="141"/>
      <c r="P590" s="141"/>
      <c r="Q590" s="141"/>
    </row>
    <row r="591" spans="1:17" ht="13.5" customHeight="1" x14ac:dyDescent="0.15">
      <c r="A591" s="141"/>
      <c r="B591" s="154"/>
      <c r="C591" s="141"/>
      <c r="D591" s="153" t="s">
        <v>367</v>
      </c>
      <c r="E591" s="141"/>
      <c r="F591" s="141"/>
      <c r="G591" s="141"/>
      <c r="H591" s="141"/>
      <c r="I591" s="141"/>
      <c r="J591" s="141"/>
      <c r="K591" s="141"/>
      <c r="L591" s="141"/>
      <c r="M591" s="141"/>
      <c r="N591" s="141"/>
      <c r="O591" s="141"/>
      <c r="P591" s="141"/>
      <c r="Q591" s="141"/>
    </row>
    <row r="592" spans="1:17" ht="13.5" customHeight="1" x14ac:dyDescent="0.15">
      <c r="A592" s="141"/>
      <c r="B592" s="154"/>
      <c r="C592" s="141"/>
      <c r="D592" s="153" t="s">
        <v>367</v>
      </c>
      <c r="E592" s="141"/>
      <c r="F592" s="141"/>
      <c r="G592" s="141"/>
      <c r="H592" s="141"/>
      <c r="I592" s="141"/>
      <c r="J592" s="141"/>
      <c r="K592" s="141"/>
      <c r="L592" s="141"/>
      <c r="M592" s="141"/>
      <c r="N592" s="141"/>
      <c r="O592" s="141"/>
      <c r="P592" s="141"/>
      <c r="Q592" s="141"/>
    </row>
    <row r="593" spans="1:17" ht="13.5" customHeight="1" x14ac:dyDescent="0.15">
      <c r="A593" s="141"/>
      <c r="B593" s="154"/>
      <c r="C593" s="141"/>
      <c r="D593" s="153" t="s">
        <v>367</v>
      </c>
      <c r="E593" s="141"/>
      <c r="F593" s="141"/>
      <c r="G593" s="141"/>
      <c r="H593" s="141"/>
      <c r="I593" s="141"/>
      <c r="J593" s="141"/>
      <c r="K593" s="141"/>
      <c r="L593" s="141"/>
      <c r="M593" s="141"/>
      <c r="N593" s="141"/>
      <c r="O593" s="141"/>
      <c r="P593" s="141"/>
      <c r="Q593" s="141"/>
    </row>
    <row r="594" spans="1:17" ht="13.5" customHeight="1" x14ac:dyDescent="0.15">
      <c r="A594" s="141"/>
      <c r="B594" s="154"/>
      <c r="C594" s="141"/>
      <c r="D594" s="153" t="s">
        <v>367</v>
      </c>
      <c r="E594" s="141"/>
      <c r="F594" s="141"/>
      <c r="G594" s="141"/>
      <c r="H594" s="141"/>
      <c r="I594" s="141"/>
      <c r="J594" s="141"/>
      <c r="K594" s="141"/>
      <c r="L594" s="141"/>
      <c r="M594" s="141"/>
      <c r="N594" s="141"/>
      <c r="O594" s="141"/>
      <c r="P594" s="141"/>
      <c r="Q594" s="141"/>
    </row>
    <row r="595" spans="1:17" ht="13.5" customHeight="1" x14ac:dyDescent="0.15">
      <c r="A595" s="141"/>
      <c r="B595" s="154"/>
      <c r="C595" s="141"/>
      <c r="D595" s="153" t="s">
        <v>367</v>
      </c>
      <c r="E595" s="141"/>
      <c r="F595" s="141"/>
      <c r="G595" s="141"/>
      <c r="H595" s="141"/>
      <c r="I595" s="141"/>
      <c r="J595" s="141"/>
      <c r="K595" s="141"/>
      <c r="L595" s="141"/>
      <c r="M595" s="141"/>
      <c r="N595" s="141"/>
      <c r="O595" s="141"/>
      <c r="P595" s="141"/>
      <c r="Q595" s="141"/>
    </row>
    <row r="596" spans="1:17" ht="13.5" customHeight="1" x14ac:dyDescent="0.15">
      <c r="A596" s="141"/>
      <c r="B596" s="154"/>
      <c r="C596" s="141"/>
      <c r="D596" s="153" t="s">
        <v>367</v>
      </c>
      <c r="E596" s="141"/>
      <c r="F596" s="141"/>
      <c r="G596" s="141"/>
      <c r="H596" s="141"/>
      <c r="I596" s="141"/>
      <c r="J596" s="141"/>
      <c r="K596" s="141"/>
      <c r="L596" s="141"/>
      <c r="M596" s="141"/>
      <c r="N596" s="141"/>
      <c r="O596" s="141"/>
      <c r="P596" s="141"/>
      <c r="Q596" s="141"/>
    </row>
    <row r="597" spans="1:17" ht="13.5" customHeight="1" x14ac:dyDescent="0.15">
      <c r="A597" s="141"/>
      <c r="B597" s="154"/>
      <c r="C597" s="141"/>
      <c r="D597" s="153" t="s">
        <v>367</v>
      </c>
      <c r="E597" s="141"/>
      <c r="F597" s="141"/>
      <c r="G597" s="141"/>
      <c r="H597" s="141"/>
      <c r="I597" s="141"/>
      <c r="J597" s="141"/>
      <c r="K597" s="141"/>
      <c r="L597" s="141"/>
      <c r="M597" s="141"/>
      <c r="N597" s="141"/>
      <c r="O597" s="141"/>
      <c r="P597" s="141"/>
      <c r="Q597" s="141"/>
    </row>
    <row r="598" spans="1:17" ht="13.5" customHeight="1" x14ac:dyDescent="0.15">
      <c r="A598" s="141"/>
      <c r="B598" s="154"/>
      <c r="C598" s="141"/>
      <c r="D598" s="153" t="s">
        <v>367</v>
      </c>
      <c r="E598" s="141"/>
      <c r="F598" s="141"/>
      <c r="G598" s="141"/>
      <c r="H598" s="141"/>
      <c r="I598" s="141"/>
      <c r="J598" s="141"/>
      <c r="K598" s="141"/>
      <c r="L598" s="141"/>
      <c r="M598" s="141"/>
      <c r="N598" s="141"/>
      <c r="O598" s="141"/>
      <c r="P598" s="141"/>
      <c r="Q598" s="141"/>
    </row>
    <row r="599" spans="1:17" ht="13.5" customHeight="1" x14ac:dyDescent="0.15">
      <c r="A599" s="141"/>
      <c r="B599" s="154"/>
      <c r="C599" s="141"/>
      <c r="D599" s="153" t="s">
        <v>367</v>
      </c>
      <c r="E599" s="141"/>
      <c r="F599" s="141"/>
      <c r="G599" s="141"/>
      <c r="H599" s="141"/>
      <c r="I599" s="141"/>
      <c r="J599" s="141"/>
      <c r="K599" s="141"/>
      <c r="L599" s="141"/>
      <c r="M599" s="141"/>
      <c r="N599" s="141"/>
      <c r="O599" s="141"/>
      <c r="P599" s="141"/>
      <c r="Q599" s="141"/>
    </row>
    <row r="600" spans="1:17" ht="13.5" customHeight="1" x14ac:dyDescent="0.15">
      <c r="A600" s="141"/>
      <c r="B600" s="154"/>
      <c r="C600" s="141"/>
      <c r="D600" s="153" t="s">
        <v>367</v>
      </c>
      <c r="E600" s="141"/>
      <c r="F600" s="141"/>
      <c r="G600" s="141"/>
      <c r="H600" s="141"/>
      <c r="I600" s="141"/>
      <c r="J600" s="141"/>
      <c r="K600" s="141"/>
      <c r="L600" s="141"/>
      <c r="M600" s="141"/>
      <c r="N600" s="141"/>
      <c r="O600" s="141"/>
      <c r="P600" s="141"/>
      <c r="Q600" s="141"/>
    </row>
    <row r="601" spans="1:17" ht="13.5" customHeight="1" x14ac:dyDescent="0.15">
      <c r="A601" s="141"/>
      <c r="B601" s="154"/>
      <c r="C601" s="141"/>
      <c r="D601" s="153" t="s">
        <v>367</v>
      </c>
      <c r="E601" s="141"/>
      <c r="F601" s="141"/>
      <c r="G601" s="141"/>
      <c r="H601" s="141"/>
      <c r="I601" s="141"/>
      <c r="J601" s="141"/>
      <c r="K601" s="141"/>
      <c r="L601" s="141"/>
      <c r="M601" s="141"/>
      <c r="N601" s="141"/>
      <c r="O601" s="141"/>
      <c r="P601" s="141"/>
      <c r="Q601" s="141"/>
    </row>
    <row r="602" spans="1:17" ht="13.5" customHeight="1" x14ac:dyDescent="0.15">
      <c r="A602" s="141"/>
      <c r="B602" s="154"/>
      <c r="C602" s="141"/>
      <c r="D602" s="153" t="s">
        <v>367</v>
      </c>
      <c r="E602" s="141"/>
      <c r="F602" s="141"/>
      <c r="G602" s="141"/>
      <c r="H602" s="141"/>
      <c r="I602" s="141"/>
      <c r="J602" s="141"/>
      <c r="K602" s="141"/>
      <c r="L602" s="141"/>
      <c r="M602" s="141"/>
      <c r="N602" s="141"/>
      <c r="O602" s="141"/>
      <c r="P602" s="141"/>
      <c r="Q602" s="141"/>
    </row>
    <row r="603" spans="1:17" ht="13.5" customHeight="1" x14ac:dyDescent="0.15">
      <c r="A603" s="141"/>
      <c r="B603" s="154"/>
      <c r="C603" s="141"/>
      <c r="D603" s="153" t="s">
        <v>367</v>
      </c>
      <c r="E603" s="141"/>
      <c r="F603" s="141"/>
      <c r="G603" s="141"/>
      <c r="H603" s="141"/>
      <c r="I603" s="141"/>
      <c r="J603" s="141"/>
      <c r="K603" s="141"/>
      <c r="L603" s="141"/>
      <c r="M603" s="141"/>
      <c r="N603" s="141"/>
      <c r="O603" s="141"/>
      <c r="P603" s="141"/>
      <c r="Q603" s="141"/>
    </row>
    <row r="604" spans="1:17" ht="13.5" customHeight="1" x14ac:dyDescent="0.15">
      <c r="A604" s="141"/>
      <c r="B604" s="154"/>
      <c r="C604" s="141"/>
      <c r="D604" s="153" t="s">
        <v>367</v>
      </c>
      <c r="E604" s="141"/>
      <c r="F604" s="141"/>
      <c r="G604" s="141"/>
      <c r="H604" s="141"/>
      <c r="I604" s="141"/>
      <c r="J604" s="141"/>
      <c r="K604" s="141"/>
      <c r="L604" s="141"/>
      <c r="M604" s="141"/>
      <c r="N604" s="141"/>
      <c r="O604" s="141"/>
      <c r="P604" s="141"/>
      <c r="Q604" s="141"/>
    </row>
    <row r="605" spans="1:17" ht="13.5" customHeight="1" x14ac:dyDescent="0.15">
      <c r="A605" s="141"/>
      <c r="B605" s="154"/>
      <c r="C605" s="141"/>
      <c r="D605" s="153" t="s">
        <v>367</v>
      </c>
      <c r="E605" s="141"/>
      <c r="F605" s="141"/>
      <c r="G605" s="141"/>
      <c r="H605" s="141"/>
      <c r="I605" s="141"/>
      <c r="J605" s="141"/>
      <c r="K605" s="141"/>
      <c r="L605" s="141"/>
      <c r="M605" s="141"/>
      <c r="N605" s="141"/>
      <c r="O605" s="141"/>
      <c r="P605" s="141"/>
      <c r="Q605" s="141"/>
    </row>
    <row r="606" spans="1:17" ht="13.5" customHeight="1" x14ac:dyDescent="0.15">
      <c r="A606" s="141"/>
      <c r="B606" s="154"/>
      <c r="C606" s="141"/>
      <c r="D606" s="153" t="s">
        <v>367</v>
      </c>
      <c r="E606" s="141"/>
      <c r="F606" s="141"/>
      <c r="G606" s="141"/>
      <c r="H606" s="141"/>
      <c r="I606" s="141"/>
      <c r="J606" s="141"/>
      <c r="K606" s="141"/>
      <c r="L606" s="141"/>
      <c r="M606" s="141"/>
      <c r="N606" s="141"/>
      <c r="O606" s="141"/>
      <c r="P606" s="141"/>
      <c r="Q606" s="141"/>
    </row>
    <row r="607" spans="1:17" ht="13.5" customHeight="1" x14ac:dyDescent="0.15">
      <c r="A607" s="141"/>
      <c r="B607" s="154"/>
      <c r="C607" s="141"/>
      <c r="D607" s="153" t="s">
        <v>367</v>
      </c>
      <c r="E607" s="141"/>
      <c r="F607" s="141"/>
      <c r="G607" s="141"/>
      <c r="H607" s="141"/>
      <c r="I607" s="141"/>
      <c r="J607" s="141"/>
      <c r="K607" s="141"/>
      <c r="L607" s="141"/>
      <c r="M607" s="141"/>
      <c r="N607" s="141"/>
      <c r="O607" s="141"/>
      <c r="P607" s="141"/>
      <c r="Q607" s="141"/>
    </row>
    <row r="608" spans="1:17" ht="13.5" customHeight="1" x14ac:dyDescent="0.15">
      <c r="A608" s="141"/>
      <c r="B608" s="154"/>
      <c r="C608" s="141"/>
      <c r="D608" s="153" t="s">
        <v>367</v>
      </c>
      <c r="E608" s="141"/>
      <c r="F608" s="141"/>
      <c r="G608" s="141"/>
      <c r="H608" s="141"/>
      <c r="I608" s="141"/>
      <c r="J608" s="141"/>
      <c r="K608" s="141"/>
      <c r="L608" s="141"/>
      <c r="M608" s="141"/>
      <c r="N608" s="141"/>
      <c r="O608" s="141"/>
      <c r="P608" s="141"/>
      <c r="Q608" s="141"/>
    </row>
    <row r="609" spans="1:17" ht="13.5" customHeight="1" x14ac:dyDescent="0.15">
      <c r="A609" s="141"/>
      <c r="B609" s="154"/>
      <c r="C609" s="141"/>
      <c r="D609" s="153" t="s">
        <v>367</v>
      </c>
      <c r="E609" s="141"/>
      <c r="F609" s="141"/>
      <c r="G609" s="141"/>
      <c r="H609" s="141"/>
      <c r="I609" s="141"/>
      <c r="J609" s="141"/>
      <c r="K609" s="141"/>
      <c r="L609" s="141"/>
      <c r="M609" s="141"/>
      <c r="N609" s="141"/>
      <c r="O609" s="141"/>
      <c r="P609" s="141"/>
      <c r="Q609" s="141"/>
    </row>
    <row r="610" spans="1:17" ht="13.5" customHeight="1" x14ac:dyDescent="0.15">
      <c r="A610" s="141"/>
      <c r="B610" s="154"/>
      <c r="C610" s="141"/>
      <c r="D610" s="153" t="s">
        <v>367</v>
      </c>
      <c r="E610" s="141"/>
      <c r="F610" s="141"/>
      <c r="G610" s="141"/>
      <c r="H610" s="141"/>
      <c r="I610" s="141"/>
      <c r="J610" s="141"/>
      <c r="K610" s="141"/>
      <c r="L610" s="141"/>
      <c r="M610" s="141"/>
      <c r="N610" s="141"/>
      <c r="O610" s="141"/>
      <c r="P610" s="141"/>
      <c r="Q610" s="141"/>
    </row>
    <row r="611" spans="1:17" ht="13.5" customHeight="1" x14ac:dyDescent="0.15">
      <c r="A611" s="141"/>
      <c r="B611" s="154"/>
      <c r="C611" s="141"/>
      <c r="D611" s="153" t="s">
        <v>367</v>
      </c>
      <c r="E611" s="141"/>
      <c r="F611" s="141"/>
      <c r="G611" s="141"/>
      <c r="H611" s="141"/>
      <c r="I611" s="141"/>
      <c r="J611" s="141"/>
      <c r="K611" s="141"/>
      <c r="L611" s="141"/>
      <c r="M611" s="141"/>
      <c r="N611" s="141"/>
      <c r="O611" s="141"/>
      <c r="P611" s="141"/>
      <c r="Q611" s="141"/>
    </row>
    <row r="612" spans="1:17" ht="13.5" customHeight="1" x14ac:dyDescent="0.15">
      <c r="A612" s="141"/>
      <c r="B612" s="154"/>
      <c r="C612" s="141"/>
      <c r="D612" s="153" t="s">
        <v>367</v>
      </c>
      <c r="E612" s="141"/>
      <c r="F612" s="141"/>
      <c r="G612" s="141"/>
      <c r="H612" s="141"/>
      <c r="I612" s="141"/>
      <c r="J612" s="141"/>
      <c r="K612" s="141"/>
      <c r="L612" s="141"/>
      <c r="M612" s="141"/>
      <c r="N612" s="141"/>
      <c r="O612" s="141"/>
      <c r="P612" s="141"/>
      <c r="Q612" s="141"/>
    </row>
    <row r="613" spans="1:17" ht="13.5" customHeight="1" x14ac:dyDescent="0.15">
      <c r="A613" s="141"/>
      <c r="B613" s="154"/>
      <c r="C613" s="141"/>
      <c r="D613" s="153" t="s">
        <v>367</v>
      </c>
      <c r="E613" s="141"/>
      <c r="F613" s="141"/>
      <c r="G613" s="141"/>
      <c r="H613" s="141"/>
      <c r="I613" s="141"/>
      <c r="J613" s="141"/>
      <c r="K613" s="141"/>
      <c r="L613" s="141"/>
      <c r="M613" s="141"/>
      <c r="N613" s="141"/>
      <c r="O613" s="141"/>
      <c r="P613" s="141"/>
      <c r="Q613" s="141"/>
    </row>
    <row r="614" spans="1:17" ht="13.5" customHeight="1" x14ac:dyDescent="0.15">
      <c r="A614" s="141"/>
      <c r="B614" s="154"/>
      <c r="C614" s="141"/>
      <c r="D614" s="153" t="s">
        <v>367</v>
      </c>
      <c r="E614" s="141"/>
      <c r="F614" s="141"/>
      <c r="G614" s="141"/>
      <c r="H614" s="141"/>
      <c r="I614" s="141"/>
      <c r="J614" s="141"/>
      <c r="K614" s="141"/>
      <c r="L614" s="141"/>
      <c r="M614" s="141"/>
      <c r="N614" s="141"/>
      <c r="O614" s="141"/>
      <c r="P614" s="141"/>
      <c r="Q614" s="141"/>
    </row>
    <row r="615" spans="1:17" ht="13.5" customHeight="1" x14ac:dyDescent="0.15">
      <c r="A615" s="141"/>
      <c r="B615" s="154"/>
      <c r="C615" s="141"/>
      <c r="D615" s="153" t="s">
        <v>367</v>
      </c>
      <c r="E615" s="141"/>
      <c r="F615" s="141"/>
      <c r="G615" s="141"/>
      <c r="H615" s="141"/>
      <c r="I615" s="141"/>
      <c r="J615" s="141"/>
      <c r="K615" s="141"/>
      <c r="L615" s="141"/>
      <c r="M615" s="141"/>
      <c r="N615" s="141"/>
      <c r="O615" s="141"/>
      <c r="P615" s="141"/>
      <c r="Q615" s="141"/>
    </row>
    <row r="616" spans="1:17" ht="13.5" customHeight="1" x14ac:dyDescent="0.15">
      <c r="A616" s="141"/>
      <c r="B616" s="154"/>
      <c r="C616" s="141"/>
      <c r="D616" s="153" t="s">
        <v>367</v>
      </c>
      <c r="E616" s="141"/>
      <c r="F616" s="141"/>
      <c r="G616" s="141"/>
      <c r="H616" s="141"/>
      <c r="I616" s="141"/>
      <c r="J616" s="141"/>
      <c r="K616" s="141"/>
      <c r="L616" s="141"/>
      <c r="M616" s="141"/>
      <c r="N616" s="141"/>
      <c r="O616" s="141"/>
      <c r="P616" s="141"/>
      <c r="Q616" s="141"/>
    </row>
    <row r="617" spans="1:17" ht="13.5" customHeight="1" x14ac:dyDescent="0.15">
      <c r="A617" s="141"/>
      <c r="B617" s="154"/>
      <c r="C617" s="141"/>
      <c r="D617" s="153" t="s">
        <v>367</v>
      </c>
      <c r="E617" s="141"/>
      <c r="F617" s="141"/>
      <c r="G617" s="141"/>
      <c r="H617" s="141"/>
      <c r="I617" s="141"/>
      <c r="J617" s="141"/>
      <c r="K617" s="141"/>
      <c r="L617" s="141"/>
      <c r="M617" s="141"/>
      <c r="N617" s="141"/>
      <c r="O617" s="141"/>
      <c r="P617" s="141"/>
      <c r="Q617" s="141"/>
    </row>
    <row r="618" spans="1:17" ht="13.5" customHeight="1" x14ac:dyDescent="0.15">
      <c r="A618" s="141"/>
      <c r="B618" s="154"/>
      <c r="C618" s="141"/>
      <c r="D618" s="153" t="s">
        <v>367</v>
      </c>
      <c r="E618" s="141"/>
      <c r="F618" s="141"/>
      <c r="G618" s="141"/>
      <c r="H618" s="141"/>
      <c r="I618" s="141"/>
      <c r="J618" s="141"/>
      <c r="K618" s="141"/>
      <c r="L618" s="141"/>
      <c r="M618" s="141"/>
      <c r="N618" s="141"/>
      <c r="O618" s="141"/>
      <c r="P618" s="141"/>
      <c r="Q618" s="141"/>
    </row>
    <row r="619" spans="1:17" ht="13.5" customHeight="1" x14ac:dyDescent="0.15">
      <c r="A619" s="141"/>
      <c r="B619" s="154"/>
      <c r="C619" s="141"/>
      <c r="D619" s="153" t="s">
        <v>367</v>
      </c>
      <c r="E619" s="141"/>
      <c r="F619" s="141"/>
      <c r="G619" s="141"/>
      <c r="H619" s="141"/>
      <c r="I619" s="141"/>
      <c r="J619" s="141"/>
      <c r="K619" s="141"/>
      <c r="L619" s="141"/>
      <c r="M619" s="141"/>
      <c r="N619" s="141"/>
      <c r="O619" s="141"/>
      <c r="P619" s="141"/>
      <c r="Q619" s="141"/>
    </row>
    <row r="620" spans="1:17" ht="13.5" customHeight="1" x14ac:dyDescent="0.15">
      <c r="A620" s="141"/>
      <c r="B620" s="154"/>
      <c r="C620" s="141"/>
      <c r="D620" s="153" t="s">
        <v>367</v>
      </c>
      <c r="E620" s="141"/>
      <c r="F620" s="141"/>
      <c r="G620" s="141"/>
      <c r="H620" s="141"/>
      <c r="I620" s="141"/>
      <c r="J620" s="141"/>
      <c r="K620" s="141"/>
      <c r="L620" s="141"/>
      <c r="M620" s="141"/>
      <c r="N620" s="141"/>
      <c r="O620" s="141"/>
      <c r="P620" s="141"/>
      <c r="Q620" s="141"/>
    </row>
    <row r="621" spans="1:17" ht="13.5" customHeight="1" x14ac:dyDescent="0.15">
      <c r="A621" s="141"/>
      <c r="B621" s="154"/>
      <c r="C621" s="141"/>
      <c r="D621" s="153" t="s">
        <v>367</v>
      </c>
      <c r="E621" s="141"/>
      <c r="F621" s="141"/>
      <c r="G621" s="141"/>
      <c r="H621" s="141"/>
      <c r="I621" s="141"/>
      <c r="J621" s="141"/>
      <c r="K621" s="141"/>
      <c r="L621" s="141"/>
      <c r="M621" s="141"/>
      <c r="N621" s="141"/>
      <c r="O621" s="141"/>
      <c r="P621" s="141"/>
      <c r="Q621" s="141"/>
    </row>
    <row r="622" spans="1:17" ht="13.5" customHeight="1" x14ac:dyDescent="0.15">
      <c r="A622" s="141"/>
      <c r="B622" s="154"/>
      <c r="C622" s="141"/>
      <c r="D622" s="153" t="s">
        <v>367</v>
      </c>
      <c r="E622" s="141"/>
      <c r="F622" s="141"/>
      <c r="G622" s="141"/>
      <c r="H622" s="141"/>
      <c r="I622" s="141"/>
      <c r="J622" s="141"/>
      <c r="K622" s="141"/>
      <c r="L622" s="141"/>
      <c r="M622" s="141"/>
      <c r="N622" s="141"/>
      <c r="O622" s="141"/>
      <c r="P622" s="141"/>
      <c r="Q622" s="141"/>
    </row>
    <row r="623" spans="1:17" ht="13.5" customHeight="1" x14ac:dyDescent="0.15">
      <c r="A623" s="141"/>
      <c r="B623" s="154"/>
      <c r="C623" s="141"/>
      <c r="D623" s="153" t="s">
        <v>367</v>
      </c>
      <c r="E623" s="141"/>
      <c r="F623" s="141"/>
      <c r="G623" s="141"/>
      <c r="H623" s="141"/>
      <c r="I623" s="141"/>
      <c r="J623" s="141"/>
      <c r="K623" s="141"/>
      <c r="L623" s="141"/>
      <c r="M623" s="141"/>
      <c r="N623" s="141"/>
      <c r="O623" s="141"/>
      <c r="P623" s="141"/>
      <c r="Q623" s="141"/>
    </row>
    <row r="624" spans="1:17" ht="13.5" customHeight="1" x14ac:dyDescent="0.15">
      <c r="A624" s="141"/>
      <c r="B624" s="154"/>
      <c r="C624" s="141"/>
      <c r="D624" s="153" t="s">
        <v>367</v>
      </c>
      <c r="E624" s="141"/>
      <c r="F624" s="141"/>
      <c r="G624" s="141"/>
      <c r="H624" s="141"/>
      <c r="I624" s="141"/>
      <c r="J624" s="141"/>
      <c r="K624" s="141"/>
      <c r="L624" s="141"/>
      <c r="M624" s="141"/>
      <c r="N624" s="141"/>
      <c r="O624" s="141"/>
      <c r="P624" s="141"/>
      <c r="Q624" s="141"/>
    </row>
    <row r="625" spans="1:17" ht="13.5" customHeight="1" x14ac:dyDescent="0.15">
      <c r="A625" s="141"/>
      <c r="B625" s="154"/>
      <c r="C625" s="141"/>
      <c r="D625" s="153" t="s">
        <v>367</v>
      </c>
      <c r="E625" s="141"/>
      <c r="F625" s="141"/>
      <c r="G625" s="141"/>
      <c r="H625" s="141"/>
      <c r="I625" s="141"/>
      <c r="J625" s="141"/>
      <c r="K625" s="141"/>
      <c r="L625" s="141"/>
      <c r="M625" s="141"/>
      <c r="N625" s="141"/>
      <c r="O625" s="141"/>
      <c r="P625" s="141"/>
      <c r="Q625" s="141"/>
    </row>
    <row r="626" spans="1:17" ht="13.5" customHeight="1" x14ac:dyDescent="0.15">
      <c r="A626" s="141"/>
      <c r="B626" s="154"/>
      <c r="C626" s="141"/>
      <c r="D626" s="153" t="s">
        <v>367</v>
      </c>
      <c r="E626" s="141"/>
      <c r="F626" s="141"/>
      <c r="G626" s="141"/>
      <c r="H626" s="141"/>
      <c r="I626" s="141"/>
      <c r="J626" s="141"/>
      <c r="K626" s="141"/>
      <c r="L626" s="141"/>
      <c r="M626" s="141"/>
      <c r="N626" s="141"/>
      <c r="O626" s="141"/>
      <c r="P626" s="141"/>
      <c r="Q626" s="141"/>
    </row>
    <row r="627" spans="1:17" ht="13.5" customHeight="1" x14ac:dyDescent="0.15">
      <c r="A627" s="141"/>
      <c r="B627" s="154"/>
      <c r="C627" s="141"/>
      <c r="D627" s="153" t="s">
        <v>367</v>
      </c>
      <c r="E627" s="141"/>
      <c r="F627" s="141"/>
      <c r="G627" s="141"/>
      <c r="H627" s="141"/>
      <c r="I627" s="141"/>
      <c r="J627" s="141"/>
      <c r="K627" s="141"/>
      <c r="L627" s="141"/>
      <c r="M627" s="141"/>
      <c r="N627" s="141"/>
      <c r="O627" s="141"/>
      <c r="P627" s="141"/>
      <c r="Q627" s="141"/>
    </row>
    <row r="628" spans="1:17" ht="13.5" customHeight="1" x14ac:dyDescent="0.15">
      <c r="A628" s="141"/>
      <c r="B628" s="154"/>
      <c r="C628" s="141"/>
      <c r="D628" s="153" t="s">
        <v>367</v>
      </c>
      <c r="E628" s="141"/>
      <c r="F628" s="141"/>
      <c r="G628" s="141"/>
      <c r="H628" s="141"/>
      <c r="I628" s="141"/>
      <c r="J628" s="141"/>
      <c r="K628" s="141"/>
      <c r="L628" s="141"/>
      <c r="M628" s="141"/>
      <c r="N628" s="141"/>
      <c r="O628" s="141"/>
      <c r="P628" s="141"/>
      <c r="Q628" s="141"/>
    </row>
    <row r="629" spans="1:17" ht="13.5" customHeight="1" x14ac:dyDescent="0.15">
      <c r="A629" s="141"/>
      <c r="B629" s="154"/>
      <c r="C629" s="141"/>
      <c r="D629" s="153" t="s">
        <v>367</v>
      </c>
      <c r="E629" s="141"/>
      <c r="F629" s="141"/>
      <c r="G629" s="141"/>
      <c r="H629" s="141"/>
      <c r="I629" s="141"/>
      <c r="J629" s="141"/>
      <c r="K629" s="141"/>
      <c r="L629" s="141"/>
      <c r="M629" s="141"/>
      <c r="N629" s="141"/>
      <c r="O629" s="141"/>
      <c r="P629" s="141"/>
      <c r="Q629" s="141"/>
    </row>
    <row r="630" spans="1:17" ht="13.5" customHeight="1" x14ac:dyDescent="0.15">
      <c r="A630" s="141"/>
      <c r="B630" s="154"/>
      <c r="C630" s="141"/>
      <c r="D630" s="153" t="s">
        <v>367</v>
      </c>
      <c r="E630" s="141"/>
      <c r="F630" s="141"/>
      <c r="G630" s="141"/>
      <c r="H630" s="141"/>
      <c r="I630" s="141"/>
      <c r="J630" s="141"/>
      <c r="K630" s="141"/>
      <c r="L630" s="141"/>
      <c r="M630" s="141"/>
      <c r="N630" s="141"/>
      <c r="O630" s="141"/>
      <c r="P630" s="141"/>
      <c r="Q630" s="141"/>
    </row>
    <row r="631" spans="1:17" ht="13.5" customHeight="1" x14ac:dyDescent="0.15">
      <c r="A631" s="141"/>
      <c r="B631" s="154"/>
      <c r="C631" s="141"/>
      <c r="D631" s="153" t="s">
        <v>367</v>
      </c>
      <c r="E631" s="141"/>
      <c r="F631" s="141"/>
      <c r="G631" s="141"/>
      <c r="H631" s="141"/>
      <c r="I631" s="141"/>
      <c r="J631" s="141"/>
      <c r="K631" s="141"/>
      <c r="L631" s="141"/>
      <c r="M631" s="141"/>
      <c r="N631" s="141"/>
      <c r="O631" s="141"/>
      <c r="P631" s="141"/>
      <c r="Q631" s="141"/>
    </row>
    <row r="632" spans="1:17" ht="13.5" customHeight="1" x14ac:dyDescent="0.15">
      <c r="A632" s="141"/>
      <c r="B632" s="154"/>
      <c r="C632" s="141"/>
      <c r="D632" s="153" t="s">
        <v>367</v>
      </c>
      <c r="E632" s="141"/>
      <c r="F632" s="141"/>
      <c r="G632" s="141"/>
      <c r="H632" s="141"/>
      <c r="I632" s="141"/>
      <c r="J632" s="141"/>
      <c r="K632" s="141"/>
      <c r="L632" s="141"/>
      <c r="M632" s="141"/>
      <c r="N632" s="141"/>
      <c r="O632" s="141"/>
      <c r="P632" s="141"/>
      <c r="Q632" s="141"/>
    </row>
    <row r="633" spans="1:17" ht="13.5" customHeight="1" x14ac:dyDescent="0.15">
      <c r="A633" s="141"/>
      <c r="B633" s="154"/>
      <c r="C633" s="141"/>
      <c r="D633" s="153" t="s">
        <v>367</v>
      </c>
      <c r="E633" s="141"/>
      <c r="F633" s="141"/>
      <c r="G633" s="141"/>
      <c r="H633" s="141"/>
      <c r="I633" s="141"/>
      <c r="J633" s="141"/>
      <c r="K633" s="141"/>
      <c r="L633" s="141"/>
      <c r="M633" s="141"/>
      <c r="N633" s="141"/>
      <c r="O633" s="141"/>
      <c r="P633" s="141"/>
      <c r="Q633" s="141"/>
    </row>
    <row r="634" spans="1:17" ht="13.5" customHeight="1" x14ac:dyDescent="0.15">
      <c r="A634" s="141"/>
      <c r="B634" s="154"/>
      <c r="C634" s="141"/>
      <c r="D634" s="153" t="s">
        <v>367</v>
      </c>
      <c r="E634" s="141"/>
      <c r="F634" s="141"/>
      <c r="G634" s="141"/>
      <c r="H634" s="141"/>
      <c r="I634" s="141"/>
      <c r="J634" s="141"/>
      <c r="K634" s="141"/>
      <c r="L634" s="141"/>
      <c r="M634" s="141"/>
      <c r="N634" s="141"/>
      <c r="O634" s="141"/>
      <c r="P634" s="141"/>
      <c r="Q634" s="141"/>
    </row>
    <row r="635" spans="1:17" ht="13.5" customHeight="1" x14ac:dyDescent="0.15">
      <c r="A635" s="141"/>
      <c r="B635" s="154"/>
      <c r="C635" s="141"/>
      <c r="D635" s="153" t="s">
        <v>367</v>
      </c>
      <c r="E635" s="141"/>
      <c r="F635" s="141"/>
      <c r="G635" s="141"/>
      <c r="H635" s="141"/>
      <c r="I635" s="141"/>
      <c r="J635" s="141"/>
      <c r="K635" s="141"/>
      <c r="L635" s="141"/>
      <c r="M635" s="141"/>
      <c r="N635" s="141"/>
      <c r="O635" s="141"/>
      <c r="P635" s="141"/>
      <c r="Q635" s="141"/>
    </row>
    <row r="636" spans="1:17" ht="13.5" customHeight="1" x14ac:dyDescent="0.15">
      <c r="A636" s="141"/>
      <c r="B636" s="154"/>
      <c r="C636" s="141"/>
      <c r="D636" s="153" t="s">
        <v>367</v>
      </c>
      <c r="E636" s="141"/>
      <c r="F636" s="141"/>
      <c r="G636" s="141"/>
      <c r="H636" s="141"/>
      <c r="I636" s="141"/>
      <c r="J636" s="141"/>
      <c r="K636" s="141"/>
      <c r="L636" s="141"/>
      <c r="M636" s="141"/>
      <c r="N636" s="141"/>
      <c r="O636" s="141"/>
      <c r="P636" s="141"/>
      <c r="Q636" s="141"/>
    </row>
    <row r="637" spans="1:17" ht="13.5" customHeight="1" x14ac:dyDescent="0.15">
      <c r="A637" s="141"/>
      <c r="B637" s="154"/>
      <c r="C637" s="141"/>
      <c r="D637" s="153" t="s">
        <v>367</v>
      </c>
      <c r="E637" s="141"/>
      <c r="F637" s="141"/>
      <c r="G637" s="141"/>
      <c r="H637" s="141"/>
      <c r="I637" s="141"/>
      <c r="J637" s="141"/>
      <c r="K637" s="141"/>
      <c r="L637" s="141"/>
      <c r="M637" s="141"/>
      <c r="N637" s="141"/>
      <c r="O637" s="141"/>
      <c r="P637" s="141"/>
      <c r="Q637" s="141"/>
    </row>
    <row r="638" spans="1:17" ht="13.5" customHeight="1" x14ac:dyDescent="0.15">
      <c r="A638" s="141"/>
      <c r="B638" s="154"/>
      <c r="C638" s="141"/>
      <c r="D638" s="153" t="s">
        <v>367</v>
      </c>
      <c r="E638" s="141"/>
      <c r="F638" s="141"/>
      <c r="G638" s="141"/>
      <c r="H638" s="141"/>
      <c r="I638" s="141"/>
      <c r="J638" s="141"/>
      <c r="K638" s="141"/>
      <c r="L638" s="141"/>
      <c r="M638" s="141"/>
      <c r="N638" s="141"/>
      <c r="O638" s="141"/>
      <c r="P638" s="141"/>
      <c r="Q638" s="141"/>
    </row>
    <row r="639" spans="1:17" ht="13.5" customHeight="1" x14ac:dyDescent="0.15">
      <c r="A639" s="141"/>
      <c r="B639" s="154"/>
      <c r="C639" s="141"/>
      <c r="D639" s="153" t="s">
        <v>367</v>
      </c>
      <c r="E639" s="141"/>
      <c r="F639" s="141"/>
      <c r="G639" s="141"/>
      <c r="H639" s="141"/>
      <c r="I639" s="141"/>
      <c r="J639" s="141"/>
      <c r="K639" s="141"/>
      <c r="L639" s="141"/>
      <c r="M639" s="141"/>
      <c r="N639" s="141"/>
      <c r="O639" s="141"/>
      <c r="P639" s="141"/>
      <c r="Q639" s="141"/>
    </row>
    <row r="640" spans="1:17" ht="13.5" customHeight="1" x14ac:dyDescent="0.15">
      <c r="A640" s="141"/>
      <c r="B640" s="154"/>
      <c r="C640" s="141"/>
      <c r="D640" s="153" t="s">
        <v>367</v>
      </c>
      <c r="E640" s="141"/>
      <c r="F640" s="141"/>
      <c r="G640" s="141"/>
      <c r="H640" s="141"/>
      <c r="I640" s="141"/>
      <c r="J640" s="141"/>
      <c r="K640" s="141"/>
      <c r="L640" s="141"/>
      <c r="M640" s="141"/>
      <c r="N640" s="141"/>
      <c r="O640" s="141"/>
      <c r="P640" s="141"/>
      <c r="Q640" s="141"/>
    </row>
    <row r="641" spans="1:17" ht="13.5" customHeight="1" x14ac:dyDescent="0.15">
      <c r="A641" s="141"/>
      <c r="B641" s="154"/>
      <c r="C641" s="141"/>
      <c r="D641" s="153" t="s">
        <v>367</v>
      </c>
      <c r="E641" s="141"/>
      <c r="F641" s="141"/>
      <c r="G641" s="141"/>
      <c r="H641" s="141"/>
      <c r="I641" s="141"/>
      <c r="J641" s="141"/>
      <c r="K641" s="141"/>
      <c r="L641" s="141"/>
      <c r="M641" s="141"/>
      <c r="N641" s="141"/>
      <c r="O641" s="141"/>
      <c r="P641" s="141"/>
      <c r="Q641" s="141"/>
    </row>
    <row r="642" spans="1:17" ht="13.5" customHeight="1" x14ac:dyDescent="0.15">
      <c r="A642" s="141"/>
      <c r="B642" s="154"/>
      <c r="C642" s="141"/>
      <c r="D642" s="153" t="s">
        <v>367</v>
      </c>
      <c r="E642" s="141"/>
      <c r="F642" s="141"/>
      <c r="G642" s="141"/>
      <c r="H642" s="141"/>
      <c r="I642" s="141"/>
      <c r="J642" s="141"/>
      <c r="K642" s="141"/>
      <c r="L642" s="141"/>
      <c r="M642" s="141"/>
      <c r="N642" s="141"/>
      <c r="O642" s="141"/>
      <c r="P642" s="141"/>
      <c r="Q642" s="141"/>
    </row>
    <row r="643" spans="1:17" ht="13.5" customHeight="1" x14ac:dyDescent="0.15">
      <c r="A643" s="141"/>
      <c r="B643" s="154"/>
      <c r="C643" s="141"/>
      <c r="D643" s="153" t="s">
        <v>367</v>
      </c>
      <c r="E643" s="141"/>
      <c r="F643" s="141"/>
      <c r="G643" s="141"/>
      <c r="H643" s="141"/>
      <c r="I643" s="141"/>
      <c r="J643" s="141"/>
      <c r="K643" s="141"/>
      <c r="L643" s="141"/>
      <c r="M643" s="141"/>
      <c r="N643" s="141"/>
      <c r="O643" s="141"/>
      <c r="P643" s="141"/>
      <c r="Q643" s="141"/>
    </row>
    <row r="644" spans="1:17" ht="13.5" customHeight="1" x14ac:dyDescent="0.15">
      <c r="A644" s="141"/>
      <c r="B644" s="154"/>
      <c r="C644" s="141"/>
      <c r="D644" s="153" t="s">
        <v>367</v>
      </c>
      <c r="E644" s="141"/>
      <c r="F644" s="141"/>
      <c r="G644" s="141"/>
      <c r="H644" s="141"/>
      <c r="I644" s="141"/>
      <c r="J644" s="141"/>
      <c r="K644" s="141"/>
      <c r="L644" s="141"/>
      <c r="M644" s="141"/>
      <c r="N644" s="141"/>
      <c r="O644" s="141"/>
      <c r="P644" s="141"/>
      <c r="Q644" s="141"/>
    </row>
    <row r="645" spans="1:17" ht="13.5" customHeight="1" x14ac:dyDescent="0.15">
      <c r="A645" s="141"/>
      <c r="B645" s="154"/>
      <c r="C645" s="141"/>
      <c r="D645" s="153" t="s">
        <v>367</v>
      </c>
      <c r="E645" s="141"/>
      <c r="F645" s="141"/>
      <c r="G645" s="141"/>
      <c r="H645" s="141"/>
      <c r="I645" s="141"/>
      <c r="J645" s="141"/>
      <c r="K645" s="141"/>
      <c r="L645" s="141"/>
      <c r="M645" s="141"/>
      <c r="N645" s="141"/>
      <c r="O645" s="141"/>
      <c r="P645" s="141"/>
      <c r="Q645" s="141"/>
    </row>
    <row r="646" spans="1:17" ht="13.5" customHeight="1" x14ac:dyDescent="0.15">
      <c r="A646" s="141"/>
      <c r="B646" s="154"/>
      <c r="C646" s="141"/>
      <c r="D646" s="153" t="s">
        <v>367</v>
      </c>
      <c r="E646" s="141"/>
      <c r="F646" s="141"/>
      <c r="G646" s="141"/>
      <c r="H646" s="141"/>
      <c r="I646" s="141"/>
      <c r="J646" s="141"/>
      <c r="K646" s="141"/>
      <c r="L646" s="141"/>
      <c r="M646" s="141"/>
      <c r="N646" s="141"/>
      <c r="O646" s="141"/>
      <c r="P646" s="141"/>
      <c r="Q646" s="141"/>
    </row>
    <row r="647" spans="1:17" ht="13.5" customHeight="1" x14ac:dyDescent="0.15">
      <c r="A647" s="141"/>
      <c r="B647" s="154"/>
      <c r="C647" s="141"/>
      <c r="D647" s="153" t="s">
        <v>367</v>
      </c>
      <c r="E647" s="141"/>
      <c r="F647" s="141"/>
      <c r="G647" s="141"/>
      <c r="H647" s="141"/>
      <c r="I647" s="141"/>
      <c r="J647" s="141"/>
      <c r="K647" s="141"/>
      <c r="L647" s="141"/>
      <c r="M647" s="141"/>
      <c r="N647" s="141"/>
      <c r="O647" s="141"/>
      <c r="P647" s="141"/>
      <c r="Q647" s="141"/>
    </row>
    <row r="648" spans="1:17" ht="13.5" customHeight="1" x14ac:dyDescent="0.15">
      <c r="A648" s="141"/>
      <c r="B648" s="154"/>
      <c r="C648" s="141"/>
      <c r="D648" s="153" t="s">
        <v>367</v>
      </c>
      <c r="E648" s="141"/>
      <c r="F648" s="141"/>
      <c r="G648" s="141"/>
      <c r="H648" s="141"/>
      <c r="I648" s="141"/>
      <c r="J648" s="141"/>
      <c r="K648" s="141"/>
      <c r="L648" s="141"/>
      <c r="M648" s="141"/>
      <c r="N648" s="141"/>
      <c r="O648" s="141"/>
      <c r="P648" s="141"/>
      <c r="Q648" s="141"/>
    </row>
    <row r="649" spans="1:17" ht="13.5" customHeight="1" x14ac:dyDescent="0.15">
      <c r="A649" s="141"/>
      <c r="B649" s="154"/>
      <c r="C649" s="141"/>
      <c r="D649" s="153" t="s">
        <v>367</v>
      </c>
      <c r="E649" s="141"/>
      <c r="F649" s="141"/>
      <c r="G649" s="141"/>
      <c r="H649" s="141"/>
      <c r="I649" s="141"/>
      <c r="J649" s="141"/>
      <c r="K649" s="141"/>
      <c r="L649" s="141"/>
      <c r="M649" s="141"/>
      <c r="N649" s="141"/>
      <c r="O649" s="141"/>
      <c r="P649" s="141"/>
      <c r="Q649" s="141"/>
    </row>
    <row r="650" spans="1:17" ht="13.5" customHeight="1" x14ac:dyDescent="0.15">
      <c r="A650" s="141"/>
      <c r="B650" s="154"/>
      <c r="C650" s="141"/>
      <c r="D650" s="153" t="s">
        <v>367</v>
      </c>
      <c r="E650" s="141"/>
      <c r="F650" s="141"/>
      <c r="G650" s="141"/>
      <c r="H650" s="141"/>
      <c r="I650" s="141"/>
      <c r="J650" s="141"/>
      <c r="K650" s="141"/>
      <c r="L650" s="141"/>
      <c r="M650" s="141"/>
      <c r="N650" s="141"/>
      <c r="O650" s="141"/>
      <c r="P650" s="141"/>
      <c r="Q650" s="141"/>
    </row>
    <row r="651" spans="1:17" ht="13.5" customHeight="1" x14ac:dyDescent="0.15">
      <c r="A651" s="141"/>
      <c r="B651" s="154"/>
      <c r="C651" s="141"/>
      <c r="D651" s="153" t="s">
        <v>367</v>
      </c>
      <c r="E651" s="141"/>
      <c r="F651" s="141"/>
      <c r="G651" s="141"/>
      <c r="H651" s="141"/>
      <c r="I651" s="141"/>
      <c r="J651" s="141"/>
      <c r="K651" s="141"/>
      <c r="L651" s="141"/>
      <c r="M651" s="141"/>
      <c r="N651" s="141"/>
      <c r="O651" s="141"/>
      <c r="P651" s="141"/>
      <c r="Q651" s="141"/>
    </row>
    <row r="652" spans="1:17" ht="13.5" customHeight="1" x14ac:dyDescent="0.15">
      <c r="A652" s="141"/>
      <c r="B652" s="154"/>
      <c r="C652" s="141"/>
      <c r="D652" s="153" t="s">
        <v>367</v>
      </c>
      <c r="E652" s="141"/>
      <c r="F652" s="141"/>
      <c r="G652" s="141"/>
      <c r="H652" s="141"/>
      <c r="I652" s="141"/>
      <c r="J652" s="141"/>
      <c r="K652" s="141"/>
      <c r="L652" s="141"/>
      <c r="M652" s="141"/>
      <c r="N652" s="141"/>
      <c r="O652" s="141"/>
      <c r="P652" s="141"/>
      <c r="Q652" s="141"/>
    </row>
    <row r="653" spans="1:17" ht="13.5" customHeight="1" x14ac:dyDescent="0.15">
      <c r="A653" s="141"/>
      <c r="B653" s="154"/>
      <c r="C653" s="141"/>
      <c r="D653" s="153" t="s">
        <v>367</v>
      </c>
      <c r="E653" s="141"/>
      <c r="F653" s="141"/>
      <c r="G653" s="141"/>
      <c r="H653" s="141"/>
      <c r="I653" s="141"/>
      <c r="J653" s="141"/>
      <c r="K653" s="141"/>
      <c r="L653" s="141"/>
      <c r="M653" s="141"/>
      <c r="N653" s="141"/>
      <c r="O653" s="141"/>
      <c r="P653" s="141"/>
      <c r="Q653" s="141"/>
    </row>
    <row r="654" spans="1:17" ht="13.5" customHeight="1" x14ac:dyDescent="0.15">
      <c r="A654" s="141"/>
      <c r="B654" s="154"/>
      <c r="C654" s="141"/>
      <c r="D654" s="153" t="s">
        <v>367</v>
      </c>
      <c r="E654" s="141"/>
      <c r="F654" s="141"/>
      <c r="G654" s="141"/>
      <c r="H654" s="141"/>
      <c r="I654" s="141"/>
      <c r="J654" s="141"/>
      <c r="K654" s="141"/>
      <c r="L654" s="141"/>
      <c r="M654" s="141"/>
      <c r="N654" s="141"/>
      <c r="O654" s="141"/>
      <c r="P654" s="141"/>
      <c r="Q654" s="141"/>
    </row>
    <row r="655" spans="1:17" ht="13.5" customHeight="1" x14ac:dyDescent="0.15">
      <c r="A655" s="141"/>
      <c r="B655" s="154"/>
      <c r="C655" s="141"/>
      <c r="D655" s="153" t="s">
        <v>367</v>
      </c>
      <c r="E655" s="141"/>
      <c r="F655" s="141"/>
      <c r="G655" s="141"/>
      <c r="H655" s="141"/>
      <c r="I655" s="141"/>
      <c r="J655" s="141"/>
      <c r="K655" s="141"/>
      <c r="L655" s="141"/>
      <c r="M655" s="141"/>
      <c r="N655" s="141"/>
      <c r="O655" s="141"/>
      <c r="P655" s="141"/>
      <c r="Q655" s="141"/>
    </row>
    <row r="656" spans="1:17" ht="13.5" customHeight="1" x14ac:dyDescent="0.15">
      <c r="A656" s="141"/>
      <c r="B656" s="154"/>
      <c r="C656" s="141"/>
      <c r="D656" s="153" t="s">
        <v>367</v>
      </c>
      <c r="E656" s="141"/>
      <c r="F656" s="141"/>
      <c r="G656" s="141"/>
      <c r="H656" s="141"/>
      <c r="I656" s="141"/>
      <c r="J656" s="141"/>
      <c r="K656" s="141"/>
      <c r="L656" s="141"/>
      <c r="M656" s="141"/>
      <c r="N656" s="141"/>
      <c r="O656" s="141"/>
      <c r="P656" s="141"/>
      <c r="Q656" s="141"/>
    </row>
    <row r="657" spans="1:17" ht="13.5" customHeight="1" x14ac:dyDescent="0.15">
      <c r="A657" s="141"/>
      <c r="B657" s="154"/>
      <c r="C657" s="141"/>
      <c r="D657" s="153" t="s">
        <v>367</v>
      </c>
      <c r="E657" s="141"/>
      <c r="F657" s="141"/>
      <c r="G657" s="141"/>
      <c r="H657" s="141"/>
      <c r="I657" s="141"/>
      <c r="J657" s="141"/>
      <c r="K657" s="141"/>
      <c r="L657" s="141"/>
      <c r="M657" s="141"/>
      <c r="N657" s="141"/>
      <c r="O657" s="141"/>
      <c r="P657" s="141"/>
      <c r="Q657" s="141"/>
    </row>
    <row r="658" spans="1:17" ht="13.5" customHeight="1" x14ac:dyDescent="0.15">
      <c r="A658" s="141"/>
      <c r="B658" s="154"/>
      <c r="C658" s="141"/>
      <c r="D658" s="153" t="s">
        <v>367</v>
      </c>
      <c r="E658" s="141"/>
      <c r="F658" s="141"/>
      <c r="G658" s="141"/>
      <c r="H658" s="141"/>
      <c r="I658" s="141"/>
      <c r="J658" s="141"/>
      <c r="K658" s="141"/>
      <c r="L658" s="141"/>
      <c r="M658" s="141"/>
      <c r="N658" s="141"/>
      <c r="O658" s="141"/>
      <c r="P658" s="141"/>
      <c r="Q658" s="141"/>
    </row>
    <row r="659" spans="1:17" ht="13.5" customHeight="1" x14ac:dyDescent="0.15">
      <c r="A659" s="141"/>
      <c r="B659" s="154"/>
      <c r="C659" s="141"/>
      <c r="D659" s="153" t="s">
        <v>367</v>
      </c>
      <c r="E659" s="141"/>
      <c r="F659" s="141"/>
      <c r="G659" s="141"/>
      <c r="H659" s="141"/>
      <c r="I659" s="141"/>
      <c r="J659" s="141"/>
      <c r="K659" s="141"/>
      <c r="L659" s="141"/>
      <c r="M659" s="141"/>
      <c r="N659" s="141"/>
      <c r="O659" s="141"/>
      <c r="P659" s="141"/>
      <c r="Q659" s="141"/>
    </row>
    <row r="660" spans="1:17" ht="13.5" customHeight="1" x14ac:dyDescent="0.15">
      <c r="A660" s="141"/>
      <c r="B660" s="154"/>
      <c r="C660" s="141"/>
      <c r="D660" s="153" t="s">
        <v>367</v>
      </c>
      <c r="E660" s="141"/>
      <c r="F660" s="141"/>
      <c r="G660" s="141"/>
      <c r="H660" s="141"/>
      <c r="I660" s="141"/>
      <c r="J660" s="141"/>
      <c r="K660" s="141"/>
      <c r="L660" s="141"/>
      <c r="M660" s="141"/>
      <c r="N660" s="141"/>
      <c r="O660" s="141"/>
      <c r="P660" s="141"/>
      <c r="Q660" s="141"/>
    </row>
    <row r="661" spans="1:17" ht="13.5" customHeight="1" x14ac:dyDescent="0.15">
      <c r="A661" s="141"/>
      <c r="B661" s="154"/>
      <c r="C661" s="141"/>
      <c r="D661" s="153" t="s">
        <v>367</v>
      </c>
      <c r="E661" s="141"/>
      <c r="F661" s="141"/>
      <c r="G661" s="141"/>
      <c r="H661" s="141"/>
      <c r="I661" s="141"/>
      <c r="J661" s="141"/>
      <c r="K661" s="141"/>
      <c r="L661" s="141"/>
      <c r="M661" s="141"/>
      <c r="N661" s="141"/>
      <c r="O661" s="141"/>
      <c r="P661" s="141"/>
      <c r="Q661" s="141"/>
    </row>
    <row r="662" spans="1:17" ht="13.5" customHeight="1" x14ac:dyDescent="0.15">
      <c r="A662" s="141"/>
      <c r="B662" s="154"/>
      <c r="C662" s="141"/>
      <c r="D662" s="153" t="s">
        <v>367</v>
      </c>
      <c r="E662" s="141"/>
      <c r="F662" s="141"/>
      <c r="G662" s="141"/>
      <c r="H662" s="141"/>
      <c r="I662" s="141"/>
      <c r="J662" s="141"/>
      <c r="K662" s="141"/>
      <c r="L662" s="141"/>
      <c r="M662" s="141"/>
      <c r="N662" s="141"/>
      <c r="O662" s="141"/>
      <c r="P662" s="141"/>
      <c r="Q662" s="141"/>
    </row>
    <row r="663" spans="1:17" ht="13.5" customHeight="1" x14ac:dyDescent="0.15">
      <c r="A663" s="141"/>
      <c r="B663" s="154"/>
      <c r="C663" s="141"/>
      <c r="D663" s="153" t="s">
        <v>367</v>
      </c>
      <c r="E663" s="141"/>
      <c r="F663" s="141"/>
      <c r="G663" s="141"/>
      <c r="H663" s="141"/>
      <c r="I663" s="141"/>
      <c r="J663" s="141"/>
      <c r="K663" s="141"/>
      <c r="L663" s="141"/>
      <c r="M663" s="141"/>
      <c r="N663" s="141"/>
      <c r="O663" s="141"/>
      <c r="P663" s="141"/>
      <c r="Q663" s="141"/>
    </row>
    <row r="664" spans="1:17" ht="13.5" customHeight="1" x14ac:dyDescent="0.15">
      <c r="A664" s="141"/>
      <c r="B664" s="154"/>
      <c r="C664" s="141"/>
      <c r="D664" s="153" t="s">
        <v>367</v>
      </c>
      <c r="E664" s="141"/>
      <c r="F664" s="141"/>
      <c r="G664" s="141"/>
      <c r="H664" s="141"/>
      <c r="I664" s="141"/>
      <c r="J664" s="141"/>
      <c r="K664" s="141"/>
      <c r="L664" s="141"/>
      <c r="M664" s="141"/>
      <c r="N664" s="141"/>
      <c r="O664" s="141"/>
      <c r="P664" s="141"/>
      <c r="Q664" s="141"/>
    </row>
    <row r="665" spans="1:17" ht="13.5" customHeight="1" x14ac:dyDescent="0.15">
      <c r="A665" s="141"/>
      <c r="B665" s="154"/>
      <c r="C665" s="141"/>
      <c r="D665" s="153" t="s">
        <v>367</v>
      </c>
      <c r="E665" s="141"/>
      <c r="F665" s="141"/>
      <c r="G665" s="141"/>
      <c r="H665" s="141"/>
      <c r="I665" s="141"/>
      <c r="J665" s="141"/>
      <c r="K665" s="141"/>
      <c r="L665" s="141"/>
      <c r="M665" s="141"/>
      <c r="N665" s="141"/>
      <c r="O665" s="141"/>
      <c r="P665" s="141"/>
      <c r="Q665" s="141"/>
    </row>
    <row r="666" spans="1:17" ht="13.5" customHeight="1" x14ac:dyDescent="0.15">
      <c r="A666" s="141"/>
      <c r="B666" s="154"/>
      <c r="C666" s="141"/>
      <c r="D666" s="153" t="s">
        <v>367</v>
      </c>
      <c r="E666" s="141"/>
      <c r="F666" s="141"/>
      <c r="G666" s="141"/>
      <c r="H666" s="141"/>
      <c r="I666" s="141"/>
      <c r="J666" s="141"/>
      <c r="K666" s="141"/>
      <c r="L666" s="141"/>
      <c r="M666" s="141"/>
      <c r="N666" s="141"/>
      <c r="O666" s="141"/>
      <c r="P666" s="141"/>
      <c r="Q666" s="141"/>
    </row>
    <row r="667" spans="1:17" ht="13.5" customHeight="1" x14ac:dyDescent="0.15">
      <c r="A667" s="141"/>
      <c r="B667" s="154"/>
      <c r="C667" s="141"/>
      <c r="D667" s="153" t="s">
        <v>367</v>
      </c>
      <c r="E667" s="141"/>
      <c r="F667" s="141"/>
      <c r="G667" s="141"/>
      <c r="H667" s="141"/>
      <c r="I667" s="141"/>
      <c r="J667" s="141"/>
      <c r="K667" s="141"/>
      <c r="L667" s="141"/>
      <c r="M667" s="141"/>
      <c r="N667" s="141"/>
      <c r="O667" s="141"/>
      <c r="P667" s="141"/>
      <c r="Q667" s="141"/>
    </row>
    <row r="668" spans="1:17" ht="13.5" customHeight="1" x14ac:dyDescent="0.15">
      <c r="A668" s="141"/>
      <c r="B668" s="154"/>
      <c r="C668" s="141"/>
      <c r="D668" s="153" t="s">
        <v>367</v>
      </c>
      <c r="E668" s="141"/>
      <c r="F668" s="141"/>
      <c r="G668" s="141"/>
      <c r="H668" s="141"/>
      <c r="I668" s="141"/>
      <c r="J668" s="141"/>
      <c r="K668" s="141"/>
      <c r="L668" s="141"/>
      <c r="M668" s="141"/>
      <c r="N668" s="141"/>
      <c r="O668" s="141"/>
      <c r="P668" s="141"/>
      <c r="Q668" s="141"/>
    </row>
    <row r="669" spans="1:17" ht="13.5" customHeight="1" x14ac:dyDescent="0.15">
      <c r="A669" s="141"/>
      <c r="B669" s="154"/>
      <c r="C669" s="141"/>
      <c r="D669" s="153" t="s">
        <v>367</v>
      </c>
      <c r="E669" s="141"/>
      <c r="F669" s="141"/>
      <c r="G669" s="141"/>
      <c r="H669" s="141"/>
      <c r="I669" s="141"/>
      <c r="J669" s="141"/>
      <c r="K669" s="141"/>
      <c r="L669" s="141"/>
      <c r="M669" s="141"/>
      <c r="N669" s="141"/>
      <c r="O669" s="141"/>
      <c r="P669" s="141"/>
      <c r="Q669" s="141"/>
    </row>
    <row r="670" spans="1:17" ht="13.5" customHeight="1" x14ac:dyDescent="0.15">
      <c r="A670" s="141"/>
      <c r="B670" s="154"/>
      <c r="C670" s="141"/>
      <c r="D670" s="153" t="s">
        <v>367</v>
      </c>
      <c r="E670" s="141"/>
      <c r="F670" s="141"/>
      <c r="G670" s="141"/>
      <c r="H670" s="141"/>
      <c r="I670" s="141"/>
      <c r="J670" s="141"/>
      <c r="K670" s="141"/>
      <c r="L670" s="141"/>
      <c r="M670" s="141"/>
      <c r="N670" s="141"/>
      <c r="O670" s="141"/>
      <c r="P670" s="141"/>
      <c r="Q670" s="141"/>
    </row>
    <row r="671" spans="1:17" ht="13.5" customHeight="1" x14ac:dyDescent="0.15">
      <c r="A671" s="141"/>
      <c r="B671" s="154"/>
      <c r="C671" s="141"/>
      <c r="D671" s="153" t="s">
        <v>367</v>
      </c>
      <c r="E671" s="141"/>
      <c r="F671" s="141"/>
      <c r="G671" s="141"/>
      <c r="H671" s="141"/>
      <c r="I671" s="141"/>
      <c r="J671" s="141"/>
      <c r="K671" s="141"/>
      <c r="L671" s="141"/>
      <c r="M671" s="141"/>
      <c r="N671" s="141"/>
      <c r="O671" s="141"/>
      <c r="P671" s="141"/>
      <c r="Q671" s="141"/>
    </row>
    <row r="672" spans="1:17" ht="13.5" customHeight="1" x14ac:dyDescent="0.15">
      <c r="A672" s="141"/>
      <c r="B672" s="154"/>
      <c r="C672" s="141"/>
      <c r="D672" s="153" t="s">
        <v>367</v>
      </c>
      <c r="E672" s="141"/>
      <c r="F672" s="141"/>
      <c r="G672" s="141"/>
      <c r="H672" s="141"/>
      <c r="I672" s="141"/>
      <c r="J672" s="141"/>
      <c r="K672" s="141"/>
      <c r="L672" s="141"/>
      <c r="M672" s="141"/>
      <c r="N672" s="141"/>
      <c r="O672" s="141"/>
      <c r="P672" s="141"/>
      <c r="Q672" s="141"/>
    </row>
    <row r="673" spans="1:17" ht="13.5" customHeight="1" x14ac:dyDescent="0.15">
      <c r="A673" s="141"/>
      <c r="B673" s="154"/>
      <c r="C673" s="141"/>
      <c r="D673" s="153" t="s">
        <v>367</v>
      </c>
      <c r="E673" s="141"/>
      <c r="F673" s="141"/>
      <c r="G673" s="141"/>
      <c r="H673" s="141"/>
      <c r="I673" s="141"/>
      <c r="J673" s="141"/>
      <c r="K673" s="141"/>
      <c r="L673" s="141"/>
      <c r="M673" s="141"/>
      <c r="N673" s="141"/>
      <c r="O673" s="141"/>
      <c r="P673" s="141"/>
      <c r="Q673" s="141"/>
    </row>
    <row r="674" spans="1:17" ht="13.5" customHeight="1" x14ac:dyDescent="0.15">
      <c r="A674" s="141"/>
      <c r="B674" s="154"/>
      <c r="C674" s="141"/>
      <c r="D674" s="153" t="s">
        <v>367</v>
      </c>
      <c r="E674" s="141"/>
      <c r="F674" s="141"/>
      <c r="G674" s="141"/>
      <c r="H674" s="141"/>
      <c r="I674" s="141"/>
      <c r="J674" s="141"/>
      <c r="K674" s="141"/>
      <c r="L674" s="141"/>
      <c r="M674" s="141"/>
      <c r="N674" s="141"/>
      <c r="O674" s="141"/>
      <c r="P674" s="141"/>
      <c r="Q674" s="141"/>
    </row>
    <row r="675" spans="1:17" ht="13.5" customHeight="1" x14ac:dyDescent="0.15">
      <c r="A675" s="141"/>
      <c r="B675" s="154"/>
      <c r="C675" s="141"/>
      <c r="D675" s="153" t="s">
        <v>367</v>
      </c>
      <c r="E675" s="141"/>
      <c r="F675" s="141"/>
      <c r="G675" s="141"/>
      <c r="H675" s="141"/>
      <c r="I675" s="141"/>
      <c r="J675" s="141"/>
      <c r="K675" s="141"/>
      <c r="L675" s="141"/>
      <c r="M675" s="141"/>
      <c r="N675" s="141"/>
      <c r="O675" s="141"/>
      <c r="P675" s="141"/>
      <c r="Q675" s="141"/>
    </row>
    <row r="676" spans="1:17" ht="13.5" customHeight="1" x14ac:dyDescent="0.15">
      <c r="A676" s="141"/>
      <c r="B676" s="154"/>
      <c r="C676" s="141"/>
      <c r="D676" s="153" t="s">
        <v>367</v>
      </c>
      <c r="E676" s="141"/>
      <c r="F676" s="141"/>
      <c r="G676" s="141"/>
      <c r="H676" s="141"/>
      <c r="I676" s="141"/>
      <c r="J676" s="141"/>
      <c r="K676" s="141"/>
      <c r="L676" s="141"/>
      <c r="M676" s="141"/>
      <c r="N676" s="141"/>
      <c r="O676" s="141"/>
      <c r="P676" s="141"/>
      <c r="Q676" s="141"/>
    </row>
    <row r="677" spans="1:17" ht="13.5" customHeight="1" x14ac:dyDescent="0.15">
      <c r="A677" s="141"/>
      <c r="B677" s="154"/>
      <c r="C677" s="141"/>
      <c r="D677" s="153" t="s">
        <v>367</v>
      </c>
      <c r="E677" s="141"/>
      <c r="F677" s="141"/>
      <c r="G677" s="141"/>
      <c r="H677" s="141"/>
      <c r="I677" s="141"/>
      <c r="J677" s="141"/>
      <c r="K677" s="141"/>
      <c r="L677" s="141"/>
      <c r="M677" s="141"/>
      <c r="N677" s="141"/>
      <c r="O677" s="141"/>
      <c r="P677" s="141"/>
      <c r="Q677" s="141"/>
    </row>
    <row r="678" spans="1:17" ht="13.5" customHeight="1" x14ac:dyDescent="0.15">
      <c r="A678" s="141"/>
      <c r="B678" s="154"/>
      <c r="C678" s="141"/>
      <c r="D678" s="153" t="s">
        <v>367</v>
      </c>
      <c r="E678" s="141"/>
      <c r="F678" s="141"/>
      <c r="G678" s="141"/>
      <c r="H678" s="141"/>
      <c r="I678" s="141"/>
      <c r="J678" s="141"/>
      <c r="K678" s="141"/>
      <c r="L678" s="141"/>
      <c r="M678" s="141"/>
      <c r="N678" s="141"/>
      <c r="O678" s="141"/>
      <c r="P678" s="141"/>
      <c r="Q678" s="141"/>
    </row>
    <row r="679" spans="1:17" ht="13.5" customHeight="1" x14ac:dyDescent="0.15">
      <c r="A679" s="141"/>
      <c r="B679" s="154"/>
      <c r="C679" s="141"/>
      <c r="D679" s="153" t="s">
        <v>367</v>
      </c>
      <c r="E679" s="141"/>
      <c r="F679" s="141"/>
      <c r="G679" s="141"/>
      <c r="H679" s="141"/>
      <c r="I679" s="141"/>
      <c r="J679" s="141"/>
      <c r="K679" s="141"/>
      <c r="L679" s="141"/>
      <c r="M679" s="141"/>
      <c r="N679" s="141"/>
      <c r="O679" s="141"/>
      <c r="P679" s="141"/>
      <c r="Q679" s="141"/>
    </row>
    <row r="680" spans="1:17" ht="13.5" customHeight="1" x14ac:dyDescent="0.15">
      <c r="A680" s="141"/>
      <c r="B680" s="154"/>
      <c r="C680" s="141"/>
      <c r="D680" s="153" t="s">
        <v>367</v>
      </c>
      <c r="E680" s="141"/>
      <c r="F680" s="141"/>
      <c r="G680" s="141"/>
      <c r="H680" s="141"/>
      <c r="I680" s="141"/>
      <c r="J680" s="141"/>
      <c r="K680" s="141"/>
      <c r="L680" s="141"/>
      <c r="M680" s="141"/>
      <c r="N680" s="141"/>
      <c r="O680" s="141"/>
      <c r="P680" s="141"/>
      <c r="Q680" s="141"/>
    </row>
    <row r="681" spans="1:17" ht="13.5" customHeight="1" x14ac:dyDescent="0.15">
      <c r="A681" s="141"/>
      <c r="B681" s="154"/>
      <c r="C681" s="141"/>
      <c r="D681" s="153" t="s">
        <v>367</v>
      </c>
      <c r="E681" s="141"/>
      <c r="F681" s="141"/>
      <c r="G681" s="141"/>
      <c r="H681" s="141"/>
      <c r="I681" s="141"/>
      <c r="J681" s="141"/>
      <c r="K681" s="141"/>
      <c r="L681" s="141"/>
      <c r="M681" s="141"/>
      <c r="N681" s="141"/>
      <c r="O681" s="141"/>
      <c r="P681" s="141"/>
      <c r="Q681" s="141"/>
    </row>
    <row r="682" spans="1:17" ht="13.5" customHeight="1" x14ac:dyDescent="0.15">
      <c r="A682" s="141"/>
      <c r="B682" s="154"/>
      <c r="C682" s="141"/>
      <c r="D682" s="153" t="s">
        <v>367</v>
      </c>
      <c r="E682" s="141"/>
      <c r="F682" s="141"/>
      <c r="G682" s="141"/>
      <c r="H682" s="141"/>
      <c r="I682" s="141"/>
      <c r="J682" s="141"/>
      <c r="K682" s="141"/>
      <c r="L682" s="141"/>
      <c r="M682" s="141"/>
      <c r="N682" s="141"/>
      <c r="O682" s="141"/>
      <c r="P682" s="141"/>
      <c r="Q682" s="141"/>
    </row>
    <row r="683" spans="1:17" ht="13.5" customHeight="1" x14ac:dyDescent="0.15">
      <c r="A683" s="141"/>
      <c r="B683" s="154"/>
      <c r="C683" s="141"/>
      <c r="D683" s="153" t="s">
        <v>367</v>
      </c>
      <c r="E683" s="141"/>
      <c r="F683" s="141"/>
      <c r="G683" s="141"/>
      <c r="H683" s="141"/>
      <c r="I683" s="141"/>
      <c r="J683" s="141"/>
      <c r="K683" s="141"/>
      <c r="L683" s="141"/>
      <c r="M683" s="141"/>
      <c r="N683" s="141"/>
      <c r="O683" s="141"/>
      <c r="P683" s="141"/>
      <c r="Q683" s="141"/>
    </row>
    <row r="684" spans="1:17" ht="13.5" customHeight="1" x14ac:dyDescent="0.15">
      <c r="A684" s="141"/>
      <c r="B684" s="154"/>
      <c r="C684" s="141"/>
      <c r="D684" s="153" t="s">
        <v>367</v>
      </c>
      <c r="E684" s="141"/>
      <c r="F684" s="141"/>
      <c r="G684" s="141"/>
      <c r="H684" s="141"/>
      <c r="I684" s="141"/>
      <c r="J684" s="141"/>
      <c r="K684" s="141"/>
      <c r="L684" s="141"/>
      <c r="M684" s="141"/>
      <c r="N684" s="141"/>
      <c r="O684" s="141"/>
      <c r="P684" s="141"/>
      <c r="Q684" s="141"/>
    </row>
    <row r="685" spans="1:17" ht="13.5" customHeight="1" x14ac:dyDescent="0.15">
      <c r="A685" s="141"/>
      <c r="B685" s="154"/>
      <c r="C685" s="141"/>
      <c r="D685" s="153" t="s">
        <v>367</v>
      </c>
      <c r="E685" s="141"/>
      <c r="F685" s="141"/>
      <c r="G685" s="141"/>
      <c r="H685" s="141"/>
      <c r="I685" s="141"/>
      <c r="J685" s="141"/>
      <c r="K685" s="141"/>
      <c r="L685" s="141"/>
      <c r="M685" s="141"/>
      <c r="N685" s="141"/>
      <c r="O685" s="141"/>
      <c r="P685" s="141"/>
      <c r="Q685" s="141"/>
    </row>
    <row r="686" spans="1:17" ht="13.5" customHeight="1" x14ac:dyDescent="0.15">
      <c r="A686" s="141"/>
      <c r="B686" s="154"/>
      <c r="C686" s="141"/>
      <c r="D686" s="153" t="s">
        <v>367</v>
      </c>
      <c r="E686" s="141"/>
      <c r="F686" s="141"/>
      <c r="G686" s="141"/>
      <c r="H686" s="141"/>
      <c r="I686" s="141"/>
      <c r="J686" s="141"/>
      <c r="K686" s="141"/>
      <c r="L686" s="141"/>
      <c r="M686" s="141"/>
      <c r="N686" s="141"/>
      <c r="O686" s="141"/>
      <c r="P686" s="141"/>
      <c r="Q686" s="141"/>
    </row>
    <row r="687" spans="1:17" ht="13.5" customHeight="1" x14ac:dyDescent="0.15">
      <c r="A687" s="141"/>
      <c r="B687" s="154"/>
      <c r="C687" s="141"/>
      <c r="D687" s="153" t="s">
        <v>367</v>
      </c>
      <c r="E687" s="141"/>
      <c r="F687" s="141"/>
      <c r="G687" s="141"/>
      <c r="H687" s="141"/>
      <c r="I687" s="141"/>
      <c r="J687" s="141"/>
      <c r="K687" s="141"/>
      <c r="L687" s="141"/>
      <c r="M687" s="141"/>
      <c r="N687" s="141"/>
      <c r="O687" s="141"/>
      <c r="P687" s="141"/>
      <c r="Q687" s="141"/>
    </row>
    <row r="688" spans="1:17" ht="13.5" customHeight="1" x14ac:dyDescent="0.15">
      <c r="A688" s="141"/>
      <c r="B688" s="154"/>
      <c r="C688" s="141"/>
      <c r="D688" s="153" t="s">
        <v>367</v>
      </c>
      <c r="E688" s="141"/>
      <c r="F688" s="141"/>
      <c r="G688" s="141"/>
      <c r="H688" s="141"/>
      <c r="I688" s="141"/>
      <c r="J688" s="141"/>
      <c r="K688" s="141"/>
      <c r="L688" s="141"/>
      <c r="M688" s="141"/>
      <c r="N688" s="141"/>
      <c r="O688" s="141"/>
      <c r="P688" s="141"/>
      <c r="Q688" s="141"/>
    </row>
    <row r="689" spans="1:17" ht="13.5" customHeight="1" x14ac:dyDescent="0.15">
      <c r="A689" s="141"/>
      <c r="B689" s="154"/>
      <c r="C689" s="141"/>
      <c r="D689" s="153" t="s">
        <v>367</v>
      </c>
      <c r="E689" s="141"/>
      <c r="F689" s="141"/>
      <c r="G689" s="141"/>
      <c r="H689" s="141"/>
      <c r="I689" s="141"/>
      <c r="J689" s="141"/>
      <c r="K689" s="141"/>
      <c r="L689" s="141"/>
      <c r="M689" s="141"/>
      <c r="N689" s="141"/>
      <c r="O689" s="141"/>
      <c r="P689" s="141"/>
      <c r="Q689" s="141"/>
    </row>
    <row r="690" spans="1:17" ht="13.5" customHeight="1" x14ac:dyDescent="0.15">
      <c r="A690" s="141"/>
      <c r="B690" s="154"/>
      <c r="C690" s="141"/>
      <c r="D690" s="153" t="s">
        <v>367</v>
      </c>
      <c r="E690" s="141"/>
      <c r="F690" s="141"/>
      <c r="G690" s="141"/>
      <c r="H690" s="141"/>
      <c r="I690" s="141"/>
      <c r="J690" s="141"/>
      <c r="K690" s="141"/>
      <c r="L690" s="141"/>
      <c r="M690" s="141"/>
      <c r="N690" s="141"/>
      <c r="O690" s="141"/>
      <c r="P690" s="141"/>
      <c r="Q690" s="141"/>
    </row>
    <row r="691" spans="1:17" ht="13.5" customHeight="1" x14ac:dyDescent="0.15">
      <c r="A691" s="141"/>
      <c r="B691" s="154"/>
      <c r="C691" s="141"/>
      <c r="D691" s="153" t="s">
        <v>367</v>
      </c>
      <c r="E691" s="141"/>
      <c r="F691" s="141"/>
      <c r="G691" s="141"/>
      <c r="H691" s="141"/>
      <c r="I691" s="141"/>
      <c r="J691" s="141"/>
      <c r="K691" s="141"/>
      <c r="L691" s="141"/>
      <c r="M691" s="141"/>
      <c r="N691" s="141"/>
      <c r="O691" s="141"/>
      <c r="P691" s="141"/>
      <c r="Q691" s="141"/>
    </row>
    <row r="692" spans="1:17" ht="13.5" customHeight="1" x14ac:dyDescent="0.15">
      <c r="A692" s="141"/>
      <c r="B692" s="154"/>
      <c r="C692" s="141"/>
      <c r="D692" s="153" t="s">
        <v>367</v>
      </c>
      <c r="E692" s="141"/>
      <c r="F692" s="141"/>
      <c r="G692" s="141"/>
      <c r="H692" s="141"/>
      <c r="I692" s="141"/>
      <c r="J692" s="141"/>
      <c r="K692" s="141"/>
      <c r="L692" s="141"/>
      <c r="M692" s="141"/>
      <c r="N692" s="141"/>
      <c r="O692" s="141"/>
      <c r="P692" s="141"/>
      <c r="Q692" s="141"/>
    </row>
    <row r="693" spans="1:17" ht="13.5" customHeight="1" x14ac:dyDescent="0.15">
      <c r="A693" s="141"/>
      <c r="B693" s="154"/>
      <c r="C693" s="141"/>
      <c r="D693" s="153" t="s">
        <v>367</v>
      </c>
      <c r="E693" s="141"/>
      <c r="F693" s="141"/>
      <c r="G693" s="141"/>
      <c r="H693" s="141"/>
      <c r="I693" s="141"/>
      <c r="J693" s="141"/>
      <c r="K693" s="141"/>
      <c r="L693" s="141"/>
      <c r="M693" s="141"/>
      <c r="N693" s="141"/>
      <c r="O693" s="141"/>
      <c r="P693" s="141"/>
      <c r="Q693" s="141"/>
    </row>
    <row r="694" spans="1:17" ht="13.5" customHeight="1" x14ac:dyDescent="0.15">
      <c r="A694" s="141"/>
      <c r="B694" s="154"/>
      <c r="C694" s="141"/>
      <c r="D694" s="153" t="s">
        <v>367</v>
      </c>
      <c r="E694" s="141"/>
      <c r="F694" s="141"/>
      <c r="G694" s="141"/>
      <c r="H694" s="141"/>
      <c r="I694" s="141"/>
      <c r="J694" s="141"/>
      <c r="K694" s="141"/>
      <c r="L694" s="141"/>
      <c r="M694" s="141"/>
      <c r="N694" s="141"/>
      <c r="O694" s="141"/>
      <c r="P694" s="141"/>
      <c r="Q694" s="141"/>
    </row>
    <row r="695" spans="1:17" ht="13.5" customHeight="1" x14ac:dyDescent="0.15">
      <c r="A695" s="141"/>
      <c r="B695" s="154"/>
      <c r="C695" s="141"/>
      <c r="D695" s="153" t="s">
        <v>367</v>
      </c>
      <c r="E695" s="141"/>
      <c r="F695" s="141"/>
      <c r="G695" s="141"/>
      <c r="H695" s="141"/>
      <c r="I695" s="141"/>
      <c r="J695" s="141"/>
      <c r="K695" s="141"/>
      <c r="L695" s="141"/>
      <c r="M695" s="141"/>
      <c r="N695" s="141"/>
      <c r="O695" s="141"/>
      <c r="P695" s="141"/>
      <c r="Q695" s="141"/>
    </row>
    <row r="696" spans="1:17" ht="13.5" customHeight="1" x14ac:dyDescent="0.15">
      <c r="A696" s="141"/>
      <c r="B696" s="154"/>
      <c r="C696" s="141"/>
      <c r="D696" s="153" t="s">
        <v>367</v>
      </c>
      <c r="E696" s="141"/>
      <c r="F696" s="141"/>
      <c r="G696" s="141"/>
      <c r="H696" s="141"/>
      <c r="I696" s="141"/>
      <c r="J696" s="141"/>
      <c r="K696" s="141"/>
      <c r="L696" s="141"/>
      <c r="M696" s="141"/>
      <c r="N696" s="141"/>
      <c r="O696" s="141"/>
      <c r="P696" s="141"/>
      <c r="Q696" s="141"/>
    </row>
    <row r="697" spans="1:17" ht="13.5" customHeight="1" x14ac:dyDescent="0.15">
      <c r="A697" s="141"/>
      <c r="B697" s="154"/>
      <c r="C697" s="141"/>
      <c r="D697" s="153" t="s">
        <v>367</v>
      </c>
      <c r="E697" s="141"/>
      <c r="F697" s="141"/>
      <c r="G697" s="141"/>
      <c r="H697" s="141"/>
      <c r="I697" s="141"/>
      <c r="J697" s="141"/>
      <c r="K697" s="141"/>
      <c r="L697" s="141"/>
      <c r="M697" s="141"/>
      <c r="N697" s="141"/>
      <c r="O697" s="141"/>
      <c r="P697" s="141"/>
      <c r="Q697" s="141"/>
    </row>
    <row r="698" spans="1:17" ht="13.5" customHeight="1" x14ac:dyDescent="0.15">
      <c r="A698" s="141"/>
      <c r="B698" s="154"/>
      <c r="C698" s="141"/>
      <c r="D698" s="153" t="s">
        <v>367</v>
      </c>
      <c r="E698" s="141"/>
      <c r="F698" s="141"/>
      <c r="G698" s="141"/>
      <c r="H698" s="141"/>
      <c r="I698" s="141"/>
      <c r="J698" s="141"/>
      <c r="K698" s="141"/>
      <c r="L698" s="141"/>
      <c r="M698" s="141"/>
      <c r="N698" s="141"/>
      <c r="O698" s="141"/>
      <c r="P698" s="141"/>
      <c r="Q698" s="141"/>
    </row>
    <row r="699" spans="1:17" ht="13.5" customHeight="1" x14ac:dyDescent="0.15">
      <c r="A699" s="141"/>
      <c r="B699" s="154"/>
      <c r="C699" s="141"/>
      <c r="D699" s="153" t="s">
        <v>367</v>
      </c>
      <c r="E699" s="141"/>
      <c r="F699" s="141"/>
      <c r="G699" s="141"/>
      <c r="H699" s="141"/>
      <c r="I699" s="141"/>
      <c r="J699" s="141"/>
      <c r="K699" s="141"/>
      <c r="L699" s="141"/>
      <c r="M699" s="141"/>
      <c r="N699" s="141"/>
      <c r="O699" s="141"/>
      <c r="P699" s="141"/>
      <c r="Q699" s="141"/>
    </row>
    <row r="700" spans="1:17" ht="13.5" customHeight="1" x14ac:dyDescent="0.15">
      <c r="A700" s="141"/>
      <c r="B700" s="154"/>
      <c r="C700" s="141"/>
      <c r="D700" s="153" t="s">
        <v>367</v>
      </c>
      <c r="E700" s="141"/>
      <c r="F700" s="141"/>
      <c r="G700" s="141"/>
      <c r="H700" s="141"/>
      <c r="I700" s="141"/>
      <c r="J700" s="141"/>
      <c r="K700" s="141"/>
      <c r="L700" s="141"/>
      <c r="M700" s="141"/>
      <c r="N700" s="141"/>
      <c r="O700" s="141"/>
      <c r="P700" s="141"/>
      <c r="Q700" s="141"/>
    </row>
    <row r="701" spans="1:17" ht="13.5" customHeight="1" x14ac:dyDescent="0.15">
      <c r="A701" s="141"/>
      <c r="B701" s="154"/>
      <c r="C701" s="141"/>
      <c r="D701" s="153" t="s">
        <v>367</v>
      </c>
      <c r="E701" s="141"/>
      <c r="F701" s="141"/>
      <c r="G701" s="141"/>
      <c r="H701" s="141"/>
      <c r="I701" s="141"/>
      <c r="J701" s="141"/>
      <c r="K701" s="141"/>
      <c r="L701" s="141"/>
      <c r="M701" s="141"/>
      <c r="N701" s="141"/>
      <c r="O701" s="141"/>
      <c r="P701" s="141"/>
      <c r="Q701" s="141"/>
    </row>
    <row r="702" spans="1:17" ht="13.5" customHeight="1" x14ac:dyDescent="0.15">
      <c r="A702" s="141"/>
      <c r="B702" s="154"/>
      <c r="C702" s="141"/>
      <c r="D702" s="153" t="s">
        <v>367</v>
      </c>
      <c r="E702" s="141"/>
      <c r="F702" s="141"/>
      <c r="G702" s="141"/>
      <c r="H702" s="141"/>
      <c r="I702" s="141"/>
      <c r="J702" s="141"/>
      <c r="K702" s="141"/>
      <c r="L702" s="141"/>
      <c r="M702" s="141"/>
      <c r="N702" s="141"/>
      <c r="O702" s="141"/>
      <c r="P702" s="141"/>
      <c r="Q702" s="141"/>
    </row>
    <row r="703" spans="1:17" ht="13.5" customHeight="1" x14ac:dyDescent="0.15">
      <c r="A703" s="141"/>
      <c r="B703" s="154"/>
      <c r="C703" s="141"/>
      <c r="D703" s="153" t="s">
        <v>367</v>
      </c>
      <c r="E703" s="141"/>
      <c r="F703" s="141"/>
      <c r="G703" s="141"/>
      <c r="H703" s="141"/>
      <c r="I703" s="141"/>
      <c r="J703" s="141"/>
      <c r="K703" s="141"/>
      <c r="L703" s="141"/>
      <c r="M703" s="141"/>
      <c r="N703" s="141"/>
      <c r="O703" s="141"/>
      <c r="P703" s="141"/>
      <c r="Q703" s="141"/>
    </row>
    <row r="704" spans="1:17" ht="13.5" customHeight="1" x14ac:dyDescent="0.15">
      <c r="A704" s="141"/>
      <c r="B704" s="154"/>
      <c r="C704" s="141"/>
      <c r="D704" s="153" t="s">
        <v>367</v>
      </c>
      <c r="E704" s="141"/>
      <c r="F704" s="141"/>
      <c r="G704" s="141"/>
      <c r="H704" s="141"/>
      <c r="I704" s="141"/>
      <c r="J704" s="141"/>
      <c r="K704" s="141"/>
      <c r="L704" s="141"/>
      <c r="M704" s="141"/>
      <c r="N704" s="141"/>
      <c r="O704" s="141"/>
      <c r="P704" s="141"/>
      <c r="Q704" s="141"/>
    </row>
    <row r="705" spans="1:17" ht="13.5" customHeight="1" x14ac:dyDescent="0.15">
      <c r="A705" s="141"/>
      <c r="B705" s="154"/>
      <c r="C705" s="141"/>
      <c r="D705" s="153" t="s">
        <v>367</v>
      </c>
      <c r="E705" s="141"/>
      <c r="F705" s="141"/>
      <c r="G705" s="141"/>
      <c r="H705" s="141"/>
      <c r="I705" s="141"/>
      <c r="J705" s="141"/>
      <c r="K705" s="141"/>
      <c r="L705" s="141"/>
      <c r="M705" s="141"/>
      <c r="N705" s="141"/>
      <c r="O705" s="141"/>
      <c r="P705" s="141"/>
      <c r="Q705" s="141"/>
    </row>
    <row r="706" spans="1:17" ht="13.5" customHeight="1" x14ac:dyDescent="0.15">
      <c r="A706" s="141"/>
      <c r="B706" s="154"/>
      <c r="C706" s="141"/>
      <c r="D706" s="153" t="s">
        <v>367</v>
      </c>
      <c r="E706" s="141"/>
      <c r="F706" s="141"/>
      <c r="G706" s="141"/>
      <c r="H706" s="141"/>
      <c r="I706" s="141"/>
      <c r="J706" s="141"/>
      <c r="K706" s="141"/>
      <c r="L706" s="141"/>
      <c r="M706" s="141"/>
      <c r="N706" s="141"/>
      <c r="O706" s="141"/>
      <c r="P706" s="141"/>
      <c r="Q706" s="141"/>
    </row>
    <row r="707" spans="1:17" ht="13.5" customHeight="1" x14ac:dyDescent="0.15">
      <c r="A707" s="141"/>
      <c r="B707" s="154"/>
      <c r="C707" s="141"/>
      <c r="D707" s="153" t="s">
        <v>367</v>
      </c>
      <c r="E707" s="141"/>
      <c r="F707" s="141"/>
      <c r="G707" s="141"/>
      <c r="H707" s="141"/>
      <c r="I707" s="141"/>
      <c r="J707" s="141"/>
      <c r="K707" s="141"/>
      <c r="L707" s="141"/>
      <c r="M707" s="141"/>
      <c r="N707" s="141"/>
      <c r="O707" s="141"/>
      <c r="P707" s="141"/>
      <c r="Q707" s="141"/>
    </row>
    <row r="708" spans="1:17" ht="13.5" customHeight="1" x14ac:dyDescent="0.15">
      <c r="A708" s="141"/>
      <c r="B708" s="154"/>
      <c r="C708" s="141"/>
      <c r="D708" s="153" t="s">
        <v>367</v>
      </c>
      <c r="E708" s="141"/>
      <c r="F708" s="141"/>
      <c r="G708" s="141"/>
      <c r="H708" s="141"/>
      <c r="I708" s="141"/>
      <c r="J708" s="141"/>
      <c r="K708" s="141"/>
      <c r="L708" s="141"/>
      <c r="M708" s="141"/>
      <c r="N708" s="141"/>
      <c r="O708" s="141"/>
      <c r="P708" s="141"/>
      <c r="Q708" s="141"/>
    </row>
    <row r="709" spans="1:17" ht="13.5" customHeight="1" x14ac:dyDescent="0.15">
      <c r="A709" s="141"/>
      <c r="B709" s="154"/>
      <c r="C709" s="141"/>
      <c r="D709" s="153" t="s">
        <v>367</v>
      </c>
      <c r="E709" s="141"/>
      <c r="F709" s="141"/>
      <c r="G709" s="141"/>
      <c r="H709" s="141"/>
      <c r="I709" s="141"/>
      <c r="J709" s="141"/>
      <c r="K709" s="141"/>
      <c r="L709" s="141"/>
      <c r="M709" s="141"/>
      <c r="N709" s="141"/>
      <c r="O709" s="141"/>
      <c r="P709" s="141"/>
      <c r="Q709" s="141"/>
    </row>
    <row r="710" spans="1:17" ht="13.5" customHeight="1" x14ac:dyDescent="0.15">
      <c r="A710" s="141"/>
      <c r="B710" s="154"/>
      <c r="C710" s="141"/>
      <c r="D710" s="153" t="s">
        <v>367</v>
      </c>
      <c r="E710" s="141"/>
      <c r="F710" s="141"/>
      <c r="G710" s="141"/>
      <c r="H710" s="141"/>
      <c r="I710" s="141"/>
      <c r="J710" s="141"/>
      <c r="K710" s="141"/>
      <c r="L710" s="141"/>
      <c r="M710" s="141"/>
      <c r="N710" s="141"/>
      <c r="O710" s="141"/>
      <c r="P710" s="141"/>
      <c r="Q710" s="141"/>
    </row>
    <row r="711" spans="1:17" ht="13.5" customHeight="1" x14ac:dyDescent="0.15">
      <c r="A711" s="141"/>
      <c r="B711" s="154"/>
      <c r="C711" s="141"/>
      <c r="D711" s="153" t="s">
        <v>367</v>
      </c>
      <c r="E711" s="141"/>
      <c r="F711" s="141"/>
      <c r="G711" s="141"/>
      <c r="H711" s="141"/>
      <c r="I711" s="141"/>
      <c r="J711" s="141"/>
      <c r="K711" s="141"/>
      <c r="L711" s="141"/>
      <c r="M711" s="141"/>
      <c r="N711" s="141"/>
      <c r="O711" s="141"/>
      <c r="P711" s="141"/>
      <c r="Q711" s="141"/>
    </row>
    <row r="712" spans="1:17" ht="13.5" customHeight="1" x14ac:dyDescent="0.15">
      <c r="A712" s="141"/>
      <c r="B712" s="154"/>
      <c r="C712" s="141"/>
      <c r="D712" s="153" t="s">
        <v>367</v>
      </c>
      <c r="E712" s="141"/>
      <c r="F712" s="141"/>
      <c r="G712" s="141"/>
      <c r="H712" s="141"/>
      <c r="I712" s="141"/>
      <c r="J712" s="141"/>
      <c r="K712" s="141"/>
      <c r="L712" s="141"/>
      <c r="M712" s="141"/>
      <c r="N712" s="141"/>
      <c r="O712" s="141"/>
      <c r="P712" s="141"/>
      <c r="Q712" s="141"/>
    </row>
    <row r="713" spans="1:17" ht="13.5" customHeight="1" x14ac:dyDescent="0.15">
      <c r="A713" s="141"/>
      <c r="B713" s="154"/>
      <c r="C713" s="141"/>
      <c r="D713" s="153" t="s">
        <v>367</v>
      </c>
      <c r="E713" s="141"/>
      <c r="F713" s="141"/>
      <c r="G713" s="141"/>
      <c r="H713" s="141"/>
      <c r="I713" s="141"/>
      <c r="J713" s="141"/>
      <c r="K713" s="141"/>
      <c r="L713" s="141"/>
      <c r="M713" s="141"/>
      <c r="N713" s="141"/>
      <c r="O713" s="141"/>
      <c r="P713" s="141"/>
      <c r="Q713" s="141"/>
    </row>
    <row r="714" spans="1:17" ht="13.5" customHeight="1" x14ac:dyDescent="0.15">
      <c r="A714" s="141"/>
      <c r="B714" s="154"/>
      <c r="C714" s="141"/>
      <c r="D714" s="153" t="s">
        <v>367</v>
      </c>
      <c r="E714" s="141"/>
      <c r="F714" s="141"/>
      <c r="G714" s="141"/>
      <c r="H714" s="141"/>
      <c r="I714" s="141"/>
      <c r="J714" s="141"/>
      <c r="K714" s="141"/>
      <c r="L714" s="141"/>
      <c r="M714" s="141"/>
      <c r="N714" s="141"/>
      <c r="O714" s="141"/>
      <c r="P714" s="141"/>
      <c r="Q714" s="141"/>
    </row>
    <row r="715" spans="1:17" ht="13.5" customHeight="1" x14ac:dyDescent="0.15">
      <c r="A715" s="141"/>
      <c r="B715" s="154"/>
      <c r="C715" s="141"/>
      <c r="D715" s="153" t="s">
        <v>367</v>
      </c>
      <c r="E715" s="141"/>
      <c r="F715" s="141"/>
      <c r="G715" s="141"/>
      <c r="H715" s="141"/>
      <c r="I715" s="141"/>
      <c r="J715" s="141"/>
      <c r="K715" s="141"/>
      <c r="L715" s="141"/>
      <c r="M715" s="141"/>
      <c r="N715" s="141"/>
      <c r="O715" s="141"/>
      <c r="P715" s="141"/>
      <c r="Q715" s="141"/>
    </row>
    <row r="716" spans="1:17" ht="13.5" customHeight="1" x14ac:dyDescent="0.15">
      <c r="A716" s="141"/>
      <c r="B716" s="154"/>
      <c r="C716" s="141"/>
      <c r="D716" s="153" t="s">
        <v>367</v>
      </c>
      <c r="E716" s="141"/>
      <c r="F716" s="141"/>
      <c r="G716" s="141"/>
      <c r="H716" s="141"/>
      <c r="I716" s="141"/>
      <c r="J716" s="141"/>
      <c r="K716" s="141"/>
      <c r="L716" s="141"/>
      <c r="M716" s="141"/>
      <c r="N716" s="141"/>
      <c r="O716" s="141"/>
      <c r="P716" s="141"/>
      <c r="Q716" s="141"/>
    </row>
    <row r="717" spans="1:17" ht="13.5" customHeight="1" x14ac:dyDescent="0.15">
      <c r="A717" s="141"/>
      <c r="B717" s="154"/>
      <c r="C717" s="141"/>
      <c r="D717" s="153" t="s">
        <v>367</v>
      </c>
      <c r="E717" s="141"/>
      <c r="F717" s="141"/>
      <c r="G717" s="141"/>
      <c r="H717" s="141"/>
      <c r="I717" s="141"/>
      <c r="J717" s="141"/>
      <c r="K717" s="141"/>
      <c r="L717" s="141"/>
      <c r="M717" s="141"/>
      <c r="N717" s="141"/>
      <c r="O717" s="141"/>
      <c r="P717" s="141"/>
      <c r="Q717" s="141"/>
    </row>
    <row r="718" spans="1:17" ht="13.5" customHeight="1" x14ac:dyDescent="0.15">
      <c r="A718" s="141"/>
      <c r="B718" s="154"/>
      <c r="C718" s="141"/>
      <c r="D718" s="153" t="s">
        <v>367</v>
      </c>
      <c r="E718" s="141"/>
      <c r="F718" s="141"/>
      <c r="G718" s="141"/>
      <c r="H718" s="141"/>
      <c r="I718" s="141"/>
      <c r="J718" s="141"/>
      <c r="K718" s="141"/>
      <c r="L718" s="141"/>
      <c r="M718" s="141"/>
      <c r="N718" s="141"/>
      <c r="O718" s="141"/>
      <c r="P718" s="141"/>
      <c r="Q718" s="141"/>
    </row>
    <row r="719" spans="1:17" ht="13.5" customHeight="1" x14ac:dyDescent="0.15">
      <c r="A719" s="141"/>
      <c r="B719" s="154"/>
      <c r="C719" s="141"/>
      <c r="D719" s="153" t="s">
        <v>367</v>
      </c>
      <c r="E719" s="141"/>
      <c r="F719" s="141"/>
      <c r="G719" s="141"/>
      <c r="H719" s="141"/>
      <c r="I719" s="141"/>
      <c r="J719" s="141"/>
      <c r="K719" s="141"/>
      <c r="L719" s="141"/>
      <c r="M719" s="141"/>
      <c r="N719" s="141"/>
      <c r="O719" s="141"/>
      <c r="P719" s="141"/>
      <c r="Q719" s="141"/>
    </row>
    <row r="720" spans="1:17" ht="13.5" customHeight="1" x14ac:dyDescent="0.15">
      <c r="A720" s="141"/>
      <c r="B720" s="154"/>
      <c r="C720" s="141"/>
      <c r="D720" s="153" t="s">
        <v>367</v>
      </c>
      <c r="E720" s="141"/>
      <c r="F720" s="141"/>
      <c r="G720" s="141"/>
      <c r="H720" s="141"/>
      <c r="I720" s="141"/>
      <c r="J720" s="141"/>
      <c r="K720" s="141"/>
      <c r="L720" s="141"/>
      <c r="M720" s="141"/>
      <c r="N720" s="141"/>
      <c r="O720" s="141"/>
      <c r="P720" s="141"/>
      <c r="Q720" s="141"/>
    </row>
    <row r="721" spans="1:17" ht="13.5" customHeight="1" x14ac:dyDescent="0.15">
      <c r="A721" s="141"/>
      <c r="B721" s="154"/>
      <c r="C721" s="141"/>
      <c r="D721" s="153" t="s">
        <v>367</v>
      </c>
      <c r="E721" s="141"/>
      <c r="F721" s="141"/>
      <c r="G721" s="141"/>
      <c r="H721" s="141"/>
      <c r="I721" s="141"/>
      <c r="J721" s="141"/>
      <c r="K721" s="141"/>
      <c r="L721" s="141"/>
      <c r="M721" s="141"/>
      <c r="N721" s="141"/>
      <c r="O721" s="141"/>
      <c r="P721" s="141"/>
      <c r="Q721" s="141"/>
    </row>
    <row r="722" spans="1:17" ht="13.5" customHeight="1" x14ac:dyDescent="0.15">
      <c r="A722" s="141"/>
      <c r="B722" s="154"/>
      <c r="C722" s="141"/>
      <c r="D722" s="153" t="s">
        <v>367</v>
      </c>
      <c r="E722" s="141"/>
      <c r="F722" s="141"/>
      <c r="G722" s="141"/>
      <c r="H722" s="141"/>
      <c r="I722" s="141"/>
      <c r="J722" s="141"/>
      <c r="K722" s="141"/>
      <c r="L722" s="141"/>
      <c r="M722" s="141"/>
      <c r="N722" s="141"/>
      <c r="O722" s="141"/>
      <c r="P722" s="141"/>
      <c r="Q722" s="141"/>
    </row>
    <row r="723" spans="1:17" ht="13.5" customHeight="1" x14ac:dyDescent="0.15">
      <c r="A723" s="141"/>
      <c r="B723" s="154"/>
      <c r="C723" s="141"/>
      <c r="D723" s="153" t="s">
        <v>367</v>
      </c>
      <c r="E723" s="141"/>
      <c r="F723" s="141"/>
      <c r="G723" s="141"/>
      <c r="H723" s="141"/>
      <c r="I723" s="141"/>
      <c r="J723" s="141"/>
      <c r="K723" s="141"/>
      <c r="L723" s="141"/>
      <c r="M723" s="141"/>
      <c r="N723" s="141"/>
      <c r="O723" s="141"/>
      <c r="P723" s="141"/>
      <c r="Q723" s="141"/>
    </row>
    <row r="724" spans="1:17" ht="13.5" customHeight="1" x14ac:dyDescent="0.15">
      <c r="A724" s="141"/>
      <c r="B724" s="154"/>
      <c r="C724" s="141"/>
      <c r="D724" s="153" t="s">
        <v>367</v>
      </c>
      <c r="E724" s="141"/>
      <c r="F724" s="141"/>
      <c r="G724" s="141"/>
      <c r="H724" s="141"/>
      <c r="I724" s="141"/>
      <c r="J724" s="141"/>
      <c r="K724" s="141"/>
      <c r="L724" s="141"/>
      <c r="M724" s="141"/>
      <c r="N724" s="141"/>
      <c r="O724" s="141"/>
      <c r="P724" s="141"/>
      <c r="Q724" s="141"/>
    </row>
    <row r="725" spans="1:17" ht="13.5" customHeight="1" x14ac:dyDescent="0.15">
      <c r="A725" s="141"/>
      <c r="B725" s="154"/>
      <c r="C725" s="141"/>
      <c r="D725" s="153" t="s">
        <v>367</v>
      </c>
      <c r="E725" s="141"/>
      <c r="F725" s="141"/>
      <c r="G725" s="141"/>
      <c r="H725" s="141"/>
      <c r="I725" s="141"/>
      <c r="J725" s="141"/>
      <c r="K725" s="141"/>
      <c r="L725" s="141"/>
      <c r="M725" s="141"/>
      <c r="N725" s="141"/>
      <c r="O725" s="141"/>
      <c r="P725" s="141"/>
      <c r="Q725" s="141"/>
    </row>
    <row r="726" spans="1:17" ht="13.5" customHeight="1" x14ac:dyDescent="0.15">
      <c r="A726" s="141"/>
      <c r="B726" s="154"/>
      <c r="C726" s="141"/>
      <c r="D726" s="153" t="s">
        <v>367</v>
      </c>
      <c r="E726" s="141"/>
      <c r="F726" s="141"/>
      <c r="G726" s="141"/>
      <c r="H726" s="141"/>
      <c r="I726" s="141"/>
      <c r="J726" s="141"/>
      <c r="K726" s="141"/>
      <c r="L726" s="141"/>
      <c r="M726" s="141"/>
      <c r="N726" s="141"/>
      <c r="O726" s="141"/>
      <c r="P726" s="141"/>
      <c r="Q726" s="141"/>
    </row>
    <row r="727" spans="1:17" ht="13.5" customHeight="1" x14ac:dyDescent="0.15">
      <c r="A727" s="141"/>
      <c r="B727" s="154"/>
      <c r="C727" s="141"/>
      <c r="D727" s="153" t="s">
        <v>367</v>
      </c>
      <c r="E727" s="141"/>
      <c r="F727" s="141"/>
      <c r="G727" s="141"/>
      <c r="H727" s="141"/>
      <c r="I727" s="141"/>
      <c r="J727" s="141"/>
      <c r="K727" s="141"/>
      <c r="L727" s="141"/>
      <c r="M727" s="141"/>
      <c r="N727" s="141"/>
      <c r="O727" s="141"/>
      <c r="P727" s="141"/>
      <c r="Q727" s="141"/>
    </row>
    <row r="728" spans="1:17" ht="13.5" customHeight="1" x14ac:dyDescent="0.15">
      <c r="A728" s="141"/>
      <c r="B728" s="154"/>
      <c r="C728" s="141"/>
      <c r="D728" s="153" t="s">
        <v>367</v>
      </c>
      <c r="E728" s="141"/>
      <c r="F728" s="141"/>
      <c r="G728" s="141"/>
      <c r="H728" s="141"/>
      <c r="I728" s="141"/>
      <c r="J728" s="141"/>
      <c r="K728" s="141"/>
      <c r="L728" s="141"/>
      <c r="M728" s="141"/>
      <c r="N728" s="141"/>
      <c r="O728" s="141"/>
      <c r="P728" s="141"/>
      <c r="Q728" s="141"/>
    </row>
    <row r="729" spans="1:17" ht="13.5" customHeight="1" x14ac:dyDescent="0.15">
      <c r="A729" s="141"/>
      <c r="B729" s="154"/>
      <c r="C729" s="141"/>
      <c r="D729" s="153" t="s">
        <v>367</v>
      </c>
      <c r="E729" s="141"/>
      <c r="F729" s="141"/>
      <c r="G729" s="141"/>
      <c r="H729" s="141"/>
      <c r="I729" s="141"/>
      <c r="J729" s="141"/>
      <c r="K729" s="141"/>
      <c r="L729" s="141"/>
      <c r="M729" s="141"/>
      <c r="N729" s="141"/>
      <c r="O729" s="141"/>
      <c r="P729" s="141"/>
      <c r="Q729" s="141"/>
    </row>
    <row r="730" spans="1:17" ht="13.5" customHeight="1" x14ac:dyDescent="0.15">
      <c r="A730" s="141"/>
      <c r="B730" s="154"/>
      <c r="C730" s="141"/>
      <c r="D730" s="153" t="s">
        <v>367</v>
      </c>
      <c r="E730" s="141"/>
      <c r="F730" s="141"/>
      <c r="G730" s="141"/>
      <c r="H730" s="141"/>
      <c r="I730" s="141"/>
      <c r="J730" s="141"/>
      <c r="K730" s="141"/>
      <c r="L730" s="141"/>
      <c r="M730" s="141"/>
      <c r="N730" s="141"/>
      <c r="O730" s="141"/>
      <c r="P730" s="141"/>
      <c r="Q730" s="141"/>
    </row>
    <row r="731" spans="1:17" ht="13.5" customHeight="1" x14ac:dyDescent="0.15">
      <c r="A731" s="141"/>
      <c r="B731" s="154"/>
      <c r="C731" s="141"/>
      <c r="D731" s="153" t="s">
        <v>367</v>
      </c>
      <c r="E731" s="141"/>
      <c r="F731" s="141"/>
      <c r="G731" s="141"/>
      <c r="H731" s="141"/>
      <c r="I731" s="141"/>
      <c r="J731" s="141"/>
      <c r="K731" s="141"/>
      <c r="L731" s="141"/>
      <c r="M731" s="141"/>
      <c r="N731" s="141"/>
      <c r="O731" s="141"/>
      <c r="P731" s="141"/>
      <c r="Q731" s="141"/>
    </row>
    <row r="732" spans="1:17" ht="13.5" customHeight="1" x14ac:dyDescent="0.15">
      <c r="A732" s="141"/>
      <c r="B732" s="154"/>
      <c r="C732" s="141"/>
      <c r="D732" s="153" t="s">
        <v>367</v>
      </c>
      <c r="E732" s="141"/>
      <c r="F732" s="141"/>
      <c r="G732" s="141"/>
      <c r="H732" s="141"/>
      <c r="I732" s="141"/>
      <c r="J732" s="141"/>
      <c r="K732" s="141"/>
      <c r="L732" s="141"/>
      <c r="M732" s="141"/>
      <c r="N732" s="141"/>
      <c r="O732" s="141"/>
      <c r="P732" s="141"/>
      <c r="Q732" s="141"/>
    </row>
    <row r="733" spans="1:17" ht="13.5" customHeight="1" x14ac:dyDescent="0.15">
      <c r="A733" s="141"/>
      <c r="B733" s="154"/>
      <c r="C733" s="141"/>
      <c r="D733" s="153" t="s">
        <v>367</v>
      </c>
      <c r="E733" s="141"/>
      <c r="F733" s="141"/>
      <c r="G733" s="141"/>
      <c r="H733" s="141"/>
      <c r="I733" s="141"/>
      <c r="J733" s="141"/>
      <c r="K733" s="141"/>
      <c r="L733" s="141"/>
      <c r="M733" s="141"/>
      <c r="N733" s="141"/>
      <c r="O733" s="141"/>
      <c r="P733" s="141"/>
      <c r="Q733" s="141"/>
    </row>
    <row r="734" spans="1:17" ht="13.5" customHeight="1" x14ac:dyDescent="0.15">
      <c r="A734" s="141"/>
      <c r="B734" s="154"/>
      <c r="C734" s="141"/>
      <c r="D734" s="153" t="s">
        <v>367</v>
      </c>
      <c r="E734" s="141"/>
      <c r="F734" s="141"/>
      <c r="G734" s="141"/>
      <c r="H734" s="141"/>
      <c r="I734" s="141"/>
      <c r="J734" s="141"/>
      <c r="K734" s="141"/>
      <c r="L734" s="141"/>
      <c r="M734" s="141"/>
      <c r="N734" s="141"/>
      <c r="O734" s="141"/>
      <c r="P734" s="141"/>
      <c r="Q734" s="141"/>
    </row>
    <row r="735" spans="1:17" ht="13.5" customHeight="1" x14ac:dyDescent="0.15">
      <c r="A735" s="141"/>
      <c r="B735" s="154"/>
      <c r="C735" s="141"/>
      <c r="D735" s="153" t="s">
        <v>367</v>
      </c>
      <c r="E735" s="141"/>
      <c r="F735" s="141"/>
      <c r="G735" s="141"/>
      <c r="H735" s="141"/>
      <c r="I735" s="141"/>
      <c r="J735" s="141"/>
      <c r="K735" s="141"/>
      <c r="L735" s="141"/>
      <c r="M735" s="141"/>
      <c r="N735" s="141"/>
      <c r="O735" s="141"/>
      <c r="P735" s="141"/>
      <c r="Q735" s="141"/>
    </row>
    <row r="736" spans="1:17" ht="13.5" customHeight="1" x14ac:dyDescent="0.15">
      <c r="A736" s="141"/>
      <c r="B736" s="154"/>
      <c r="C736" s="141"/>
      <c r="D736" s="153" t="s">
        <v>367</v>
      </c>
      <c r="E736" s="141"/>
      <c r="F736" s="141"/>
      <c r="G736" s="141"/>
      <c r="H736" s="141"/>
      <c r="I736" s="141"/>
      <c r="J736" s="141"/>
      <c r="K736" s="141"/>
      <c r="L736" s="141"/>
      <c r="M736" s="141"/>
      <c r="N736" s="141"/>
      <c r="O736" s="141"/>
      <c r="P736" s="141"/>
      <c r="Q736" s="141"/>
    </row>
    <row r="737" spans="1:17" ht="13.5" customHeight="1" x14ac:dyDescent="0.15">
      <c r="A737" s="141"/>
      <c r="B737" s="154"/>
      <c r="C737" s="141"/>
      <c r="D737" s="153" t="s">
        <v>367</v>
      </c>
      <c r="E737" s="141"/>
      <c r="F737" s="141"/>
      <c r="G737" s="141"/>
      <c r="H737" s="141"/>
      <c r="I737" s="141"/>
      <c r="J737" s="141"/>
      <c r="K737" s="141"/>
      <c r="L737" s="141"/>
      <c r="M737" s="141"/>
      <c r="N737" s="141"/>
      <c r="O737" s="141"/>
      <c r="P737" s="141"/>
      <c r="Q737" s="141"/>
    </row>
    <row r="738" spans="1:17" ht="13.5" customHeight="1" x14ac:dyDescent="0.15">
      <c r="A738" s="141"/>
      <c r="B738" s="154"/>
      <c r="C738" s="141"/>
      <c r="D738" s="153" t="s">
        <v>367</v>
      </c>
      <c r="E738" s="141"/>
      <c r="F738" s="141"/>
      <c r="G738" s="141"/>
      <c r="H738" s="141"/>
      <c r="I738" s="141"/>
      <c r="J738" s="141"/>
      <c r="K738" s="141"/>
      <c r="L738" s="141"/>
      <c r="M738" s="141"/>
      <c r="N738" s="141"/>
      <c r="O738" s="141"/>
      <c r="P738" s="141"/>
      <c r="Q738" s="141"/>
    </row>
    <row r="739" spans="1:17" ht="13.5" customHeight="1" x14ac:dyDescent="0.15">
      <c r="A739" s="141"/>
      <c r="B739" s="154"/>
      <c r="C739" s="141"/>
      <c r="D739" s="153" t="s">
        <v>367</v>
      </c>
      <c r="E739" s="141"/>
      <c r="F739" s="141"/>
      <c r="G739" s="141"/>
      <c r="H739" s="141"/>
      <c r="I739" s="141"/>
      <c r="J739" s="141"/>
      <c r="K739" s="141"/>
      <c r="L739" s="141"/>
      <c r="M739" s="141"/>
      <c r="N739" s="141"/>
      <c r="O739" s="141"/>
      <c r="P739" s="141"/>
      <c r="Q739" s="141"/>
    </row>
    <row r="740" spans="1:17" ht="13.5" customHeight="1" x14ac:dyDescent="0.15">
      <c r="A740" s="141"/>
      <c r="B740" s="154"/>
      <c r="C740" s="141"/>
      <c r="D740" s="153" t="s">
        <v>367</v>
      </c>
      <c r="E740" s="141"/>
      <c r="F740" s="141"/>
      <c r="G740" s="141"/>
      <c r="H740" s="141"/>
      <c r="I740" s="141"/>
      <c r="J740" s="141"/>
      <c r="K740" s="141"/>
      <c r="L740" s="141"/>
      <c r="M740" s="141"/>
      <c r="N740" s="141"/>
      <c r="O740" s="141"/>
      <c r="P740" s="141"/>
      <c r="Q740" s="141"/>
    </row>
    <row r="741" spans="1:17" ht="13.5" customHeight="1" x14ac:dyDescent="0.15">
      <c r="A741" s="141"/>
      <c r="B741" s="154"/>
      <c r="C741" s="141"/>
      <c r="D741" s="153" t="s">
        <v>367</v>
      </c>
      <c r="E741" s="141"/>
      <c r="F741" s="141"/>
      <c r="G741" s="141"/>
      <c r="H741" s="141"/>
      <c r="I741" s="141"/>
      <c r="J741" s="141"/>
      <c r="K741" s="141"/>
      <c r="L741" s="141"/>
      <c r="M741" s="141"/>
      <c r="N741" s="141"/>
      <c r="O741" s="141"/>
      <c r="P741" s="141"/>
      <c r="Q741" s="141"/>
    </row>
    <row r="742" spans="1:17" ht="13.5" customHeight="1" x14ac:dyDescent="0.15">
      <c r="A742" s="141"/>
      <c r="B742" s="154"/>
      <c r="C742" s="141"/>
      <c r="D742" s="153" t="s">
        <v>367</v>
      </c>
      <c r="E742" s="141"/>
      <c r="F742" s="141"/>
      <c r="G742" s="141"/>
      <c r="H742" s="141"/>
      <c r="I742" s="141"/>
      <c r="J742" s="141"/>
      <c r="K742" s="141"/>
      <c r="L742" s="141"/>
      <c r="M742" s="141"/>
      <c r="N742" s="141"/>
      <c r="O742" s="141"/>
      <c r="P742" s="141"/>
      <c r="Q742" s="141"/>
    </row>
    <row r="743" spans="1:17" ht="13.5" customHeight="1" x14ac:dyDescent="0.15">
      <c r="A743" s="141"/>
      <c r="B743" s="154"/>
      <c r="C743" s="141"/>
      <c r="D743" s="153" t="s">
        <v>367</v>
      </c>
      <c r="E743" s="141"/>
      <c r="F743" s="141"/>
      <c r="G743" s="141"/>
      <c r="H743" s="141"/>
      <c r="I743" s="141"/>
      <c r="J743" s="141"/>
      <c r="K743" s="141"/>
      <c r="L743" s="141"/>
      <c r="M743" s="141"/>
      <c r="N743" s="141"/>
      <c r="O743" s="141"/>
      <c r="P743" s="141"/>
      <c r="Q743" s="141"/>
    </row>
    <row r="744" spans="1:17" ht="13.5" customHeight="1" x14ac:dyDescent="0.15">
      <c r="A744" s="141"/>
      <c r="B744" s="154"/>
      <c r="C744" s="141"/>
      <c r="D744" s="153" t="s">
        <v>367</v>
      </c>
      <c r="E744" s="141"/>
      <c r="F744" s="141"/>
      <c r="G744" s="141"/>
      <c r="H744" s="141"/>
      <c r="I744" s="141"/>
      <c r="J744" s="141"/>
      <c r="K744" s="141"/>
      <c r="L744" s="141"/>
      <c r="M744" s="141"/>
      <c r="N744" s="141"/>
      <c r="O744" s="141"/>
      <c r="P744" s="141"/>
      <c r="Q744" s="141"/>
    </row>
    <row r="745" spans="1:17" ht="13.5" customHeight="1" x14ac:dyDescent="0.15">
      <c r="A745" s="141"/>
      <c r="B745" s="154"/>
      <c r="C745" s="141"/>
      <c r="D745" s="153" t="s">
        <v>367</v>
      </c>
      <c r="E745" s="141"/>
      <c r="F745" s="141"/>
      <c r="G745" s="141"/>
      <c r="H745" s="141"/>
      <c r="I745" s="141"/>
      <c r="J745" s="141"/>
      <c r="K745" s="141"/>
      <c r="L745" s="141"/>
      <c r="M745" s="141"/>
      <c r="N745" s="141"/>
      <c r="O745" s="141"/>
      <c r="P745" s="141"/>
      <c r="Q745" s="141"/>
    </row>
    <row r="746" spans="1:17" ht="13.5" customHeight="1" x14ac:dyDescent="0.15">
      <c r="A746" s="141"/>
      <c r="B746" s="154"/>
      <c r="C746" s="141"/>
      <c r="D746" s="153" t="s">
        <v>367</v>
      </c>
      <c r="E746" s="141"/>
      <c r="F746" s="141"/>
      <c r="G746" s="141"/>
      <c r="H746" s="141"/>
      <c r="I746" s="141"/>
      <c r="J746" s="141"/>
      <c r="K746" s="141"/>
      <c r="L746" s="141"/>
      <c r="M746" s="141"/>
      <c r="N746" s="141"/>
      <c r="O746" s="141"/>
      <c r="P746" s="141"/>
      <c r="Q746" s="141"/>
    </row>
    <row r="747" spans="1:17" ht="13.5" customHeight="1" x14ac:dyDescent="0.15">
      <c r="A747" s="141"/>
      <c r="B747" s="154"/>
      <c r="C747" s="141"/>
      <c r="D747" s="153" t="s">
        <v>367</v>
      </c>
      <c r="E747" s="141"/>
      <c r="F747" s="141"/>
      <c r="G747" s="141"/>
      <c r="H747" s="141"/>
      <c r="I747" s="141"/>
      <c r="J747" s="141"/>
      <c r="K747" s="141"/>
      <c r="L747" s="141"/>
      <c r="M747" s="141"/>
      <c r="N747" s="141"/>
      <c r="O747" s="141"/>
      <c r="P747" s="141"/>
      <c r="Q747" s="141"/>
    </row>
    <row r="748" spans="1:17" ht="13.5" customHeight="1" x14ac:dyDescent="0.15">
      <c r="A748" s="141"/>
      <c r="B748" s="154"/>
      <c r="C748" s="141"/>
      <c r="D748" s="153" t="s">
        <v>367</v>
      </c>
      <c r="E748" s="141"/>
      <c r="F748" s="141"/>
      <c r="G748" s="141"/>
      <c r="H748" s="141"/>
      <c r="I748" s="141"/>
      <c r="J748" s="141"/>
      <c r="K748" s="141"/>
      <c r="L748" s="141"/>
      <c r="M748" s="141"/>
      <c r="N748" s="141"/>
      <c r="O748" s="141"/>
      <c r="P748" s="141"/>
      <c r="Q748" s="141"/>
    </row>
    <row r="749" spans="1:17" ht="13.5" customHeight="1" x14ac:dyDescent="0.15">
      <c r="A749" s="141"/>
      <c r="B749" s="154"/>
      <c r="C749" s="141"/>
      <c r="D749" s="153" t="s">
        <v>367</v>
      </c>
      <c r="E749" s="141"/>
      <c r="F749" s="141"/>
      <c r="G749" s="141"/>
      <c r="H749" s="141"/>
      <c r="I749" s="141"/>
      <c r="J749" s="141"/>
      <c r="K749" s="141"/>
      <c r="L749" s="141"/>
      <c r="M749" s="141"/>
      <c r="N749" s="141"/>
      <c r="O749" s="141"/>
      <c r="P749" s="141"/>
      <c r="Q749" s="141"/>
    </row>
    <row r="750" spans="1:17" ht="13.5" customHeight="1" x14ac:dyDescent="0.15">
      <c r="A750" s="141"/>
      <c r="B750" s="154"/>
      <c r="C750" s="141"/>
      <c r="D750" s="153" t="s">
        <v>367</v>
      </c>
      <c r="E750" s="141"/>
      <c r="F750" s="141"/>
      <c r="G750" s="141"/>
      <c r="H750" s="141"/>
      <c r="I750" s="141"/>
      <c r="J750" s="141"/>
      <c r="K750" s="141"/>
      <c r="L750" s="141"/>
      <c r="M750" s="141"/>
      <c r="N750" s="141"/>
      <c r="O750" s="141"/>
      <c r="P750" s="141"/>
      <c r="Q750" s="141"/>
    </row>
    <row r="751" spans="1:17" ht="13.5" customHeight="1" x14ac:dyDescent="0.15">
      <c r="A751" s="141"/>
      <c r="B751" s="154"/>
      <c r="C751" s="141"/>
      <c r="D751" s="153" t="s">
        <v>367</v>
      </c>
      <c r="E751" s="141"/>
      <c r="F751" s="141"/>
      <c r="G751" s="141"/>
      <c r="H751" s="141"/>
      <c r="I751" s="141"/>
      <c r="J751" s="141"/>
      <c r="K751" s="141"/>
      <c r="L751" s="141"/>
      <c r="M751" s="141"/>
      <c r="N751" s="141"/>
      <c r="O751" s="141"/>
      <c r="P751" s="141"/>
      <c r="Q751" s="141"/>
    </row>
    <row r="752" spans="1:17" ht="13.5" customHeight="1" x14ac:dyDescent="0.15">
      <c r="A752" s="141"/>
      <c r="B752" s="154"/>
      <c r="C752" s="141"/>
      <c r="D752" s="153" t="s">
        <v>367</v>
      </c>
      <c r="E752" s="141"/>
      <c r="F752" s="141"/>
      <c r="G752" s="141"/>
      <c r="H752" s="141"/>
      <c r="I752" s="141"/>
      <c r="J752" s="141"/>
      <c r="K752" s="141"/>
      <c r="L752" s="141"/>
      <c r="M752" s="141"/>
      <c r="N752" s="141"/>
      <c r="O752" s="141"/>
      <c r="P752" s="141"/>
      <c r="Q752" s="141"/>
    </row>
    <row r="753" spans="1:17" ht="13.5" customHeight="1" x14ac:dyDescent="0.15">
      <c r="A753" s="141"/>
      <c r="B753" s="154"/>
      <c r="C753" s="141"/>
      <c r="D753" s="153" t="s">
        <v>367</v>
      </c>
      <c r="E753" s="141"/>
      <c r="F753" s="141"/>
      <c r="G753" s="141"/>
      <c r="H753" s="141"/>
      <c r="I753" s="141"/>
      <c r="J753" s="141"/>
      <c r="K753" s="141"/>
      <c r="L753" s="141"/>
      <c r="M753" s="141"/>
      <c r="N753" s="141"/>
      <c r="O753" s="141"/>
      <c r="P753" s="141"/>
      <c r="Q753" s="141"/>
    </row>
    <row r="754" spans="1:17" ht="13.5" customHeight="1" x14ac:dyDescent="0.15">
      <c r="A754" s="141"/>
      <c r="B754" s="154"/>
      <c r="C754" s="141"/>
      <c r="D754" s="153" t="s">
        <v>367</v>
      </c>
      <c r="E754" s="141"/>
      <c r="F754" s="141"/>
      <c r="G754" s="141"/>
      <c r="H754" s="141"/>
      <c r="I754" s="141"/>
      <c r="J754" s="141"/>
      <c r="K754" s="141"/>
      <c r="L754" s="141"/>
      <c r="M754" s="141"/>
      <c r="N754" s="141"/>
      <c r="O754" s="141"/>
      <c r="P754" s="141"/>
      <c r="Q754" s="141"/>
    </row>
    <row r="755" spans="1:17" ht="13.5" customHeight="1" x14ac:dyDescent="0.15">
      <c r="A755" s="141"/>
      <c r="B755" s="154"/>
      <c r="C755" s="141"/>
      <c r="D755" s="153" t="s">
        <v>367</v>
      </c>
      <c r="E755" s="141"/>
      <c r="F755" s="141"/>
      <c r="G755" s="141"/>
      <c r="H755" s="141"/>
      <c r="I755" s="141"/>
      <c r="J755" s="141"/>
      <c r="K755" s="141"/>
      <c r="L755" s="141"/>
      <c r="M755" s="141"/>
      <c r="N755" s="141"/>
      <c r="O755" s="141"/>
      <c r="P755" s="141"/>
      <c r="Q755" s="141"/>
    </row>
    <row r="756" spans="1:17" ht="13.5" customHeight="1" x14ac:dyDescent="0.15">
      <c r="A756" s="141"/>
      <c r="B756" s="154"/>
      <c r="C756" s="141"/>
      <c r="D756" s="153" t="s">
        <v>367</v>
      </c>
      <c r="E756" s="141"/>
      <c r="F756" s="141"/>
      <c r="G756" s="141"/>
      <c r="H756" s="141"/>
      <c r="I756" s="141"/>
      <c r="J756" s="141"/>
      <c r="K756" s="141"/>
      <c r="L756" s="141"/>
      <c r="M756" s="141"/>
      <c r="N756" s="141"/>
      <c r="O756" s="141"/>
      <c r="P756" s="141"/>
      <c r="Q756" s="141"/>
    </row>
    <row r="757" spans="1:17" ht="13.5" customHeight="1" x14ac:dyDescent="0.15">
      <c r="A757" s="141"/>
      <c r="B757" s="154"/>
      <c r="C757" s="141"/>
      <c r="D757" s="153" t="s">
        <v>367</v>
      </c>
      <c r="E757" s="141"/>
      <c r="F757" s="141"/>
      <c r="G757" s="141"/>
      <c r="H757" s="141"/>
      <c r="I757" s="141"/>
      <c r="J757" s="141"/>
      <c r="K757" s="141"/>
      <c r="L757" s="141"/>
      <c r="M757" s="141"/>
      <c r="N757" s="141"/>
      <c r="O757" s="141"/>
      <c r="P757" s="141"/>
      <c r="Q757" s="141"/>
    </row>
    <row r="758" spans="1:17" ht="13.5" customHeight="1" x14ac:dyDescent="0.15">
      <c r="A758" s="141"/>
      <c r="B758" s="154"/>
      <c r="C758" s="141"/>
      <c r="D758" s="153" t="s">
        <v>367</v>
      </c>
      <c r="E758" s="141"/>
      <c r="F758" s="141"/>
      <c r="G758" s="141"/>
      <c r="H758" s="141"/>
      <c r="I758" s="141"/>
      <c r="J758" s="141"/>
      <c r="K758" s="141"/>
      <c r="L758" s="141"/>
      <c r="M758" s="141"/>
      <c r="N758" s="141"/>
      <c r="O758" s="141"/>
      <c r="P758" s="141"/>
      <c r="Q758" s="141"/>
    </row>
    <row r="759" spans="1:17" ht="13.5" customHeight="1" x14ac:dyDescent="0.15">
      <c r="A759" s="141"/>
      <c r="B759" s="154"/>
      <c r="C759" s="141"/>
      <c r="D759" s="153" t="s">
        <v>367</v>
      </c>
      <c r="E759" s="141"/>
      <c r="F759" s="141"/>
      <c r="G759" s="141"/>
      <c r="H759" s="141"/>
      <c r="I759" s="141"/>
      <c r="J759" s="141"/>
      <c r="K759" s="141"/>
      <c r="L759" s="141"/>
      <c r="M759" s="141"/>
      <c r="N759" s="141"/>
      <c r="O759" s="141"/>
      <c r="P759" s="141"/>
      <c r="Q759" s="141"/>
    </row>
    <row r="760" spans="1:17" ht="13.5" customHeight="1" x14ac:dyDescent="0.15">
      <c r="A760" s="141"/>
      <c r="B760" s="154"/>
      <c r="C760" s="141"/>
      <c r="D760" s="153" t="s">
        <v>367</v>
      </c>
      <c r="E760" s="141"/>
      <c r="F760" s="141"/>
      <c r="G760" s="141"/>
      <c r="H760" s="141"/>
      <c r="I760" s="141"/>
      <c r="J760" s="141"/>
      <c r="K760" s="141"/>
      <c r="L760" s="141"/>
      <c r="M760" s="141"/>
      <c r="N760" s="141"/>
      <c r="O760" s="141"/>
      <c r="P760" s="141"/>
      <c r="Q760" s="141"/>
    </row>
    <row r="761" spans="1:17" ht="13.5" customHeight="1" x14ac:dyDescent="0.15">
      <c r="A761" s="141"/>
      <c r="B761" s="154"/>
      <c r="C761" s="141"/>
      <c r="D761" s="153" t="s">
        <v>367</v>
      </c>
      <c r="E761" s="141"/>
      <c r="F761" s="141"/>
      <c r="G761" s="141"/>
      <c r="H761" s="141"/>
      <c r="I761" s="141"/>
      <c r="J761" s="141"/>
      <c r="K761" s="141"/>
      <c r="L761" s="141"/>
      <c r="M761" s="141"/>
      <c r="N761" s="141"/>
      <c r="O761" s="141"/>
      <c r="P761" s="141"/>
      <c r="Q761" s="141"/>
    </row>
    <row r="762" spans="1:17" ht="13.5" customHeight="1" x14ac:dyDescent="0.15">
      <c r="A762" s="141"/>
      <c r="B762" s="154"/>
      <c r="C762" s="141"/>
      <c r="D762" s="153" t="s">
        <v>367</v>
      </c>
      <c r="E762" s="141"/>
      <c r="F762" s="141"/>
      <c r="G762" s="141"/>
      <c r="H762" s="141"/>
      <c r="I762" s="141"/>
      <c r="J762" s="141"/>
      <c r="K762" s="141"/>
      <c r="L762" s="141"/>
      <c r="M762" s="141"/>
      <c r="N762" s="141"/>
      <c r="O762" s="141"/>
      <c r="P762" s="141"/>
      <c r="Q762" s="141"/>
    </row>
    <row r="763" spans="1:17" ht="13.5" customHeight="1" x14ac:dyDescent="0.15">
      <c r="A763" s="141"/>
      <c r="B763" s="154"/>
      <c r="C763" s="141"/>
      <c r="D763" s="153" t="s">
        <v>367</v>
      </c>
      <c r="E763" s="141"/>
      <c r="F763" s="141"/>
      <c r="G763" s="141"/>
      <c r="H763" s="141"/>
      <c r="I763" s="141"/>
      <c r="J763" s="141"/>
      <c r="K763" s="141"/>
      <c r="L763" s="141"/>
      <c r="M763" s="141"/>
      <c r="N763" s="141"/>
      <c r="O763" s="141"/>
      <c r="P763" s="141"/>
      <c r="Q763" s="141"/>
    </row>
    <row r="764" spans="1:17" ht="13.5" customHeight="1" x14ac:dyDescent="0.15">
      <c r="A764" s="141"/>
      <c r="B764" s="154"/>
      <c r="C764" s="141"/>
      <c r="D764" s="153" t="s">
        <v>367</v>
      </c>
      <c r="E764" s="141"/>
      <c r="F764" s="141"/>
      <c r="G764" s="141"/>
      <c r="H764" s="141"/>
      <c r="I764" s="141"/>
      <c r="J764" s="141"/>
      <c r="K764" s="141"/>
      <c r="L764" s="141"/>
      <c r="M764" s="141"/>
      <c r="N764" s="141"/>
      <c r="O764" s="141"/>
      <c r="P764" s="141"/>
      <c r="Q764" s="141"/>
    </row>
    <row r="765" spans="1:17" ht="13.5" customHeight="1" x14ac:dyDescent="0.15">
      <c r="A765" s="141"/>
      <c r="B765" s="154"/>
      <c r="C765" s="141"/>
      <c r="D765" s="153" t="s">
        <v>367</v>
      </c>
      <c r="E765" s="141"/>
      <c r="F765" s="141"/>
      <c r="G765" s="141"/>
      <c r="H765" s="141"/>
      <c r="I765" s="141"/>
      <c r="J765" s="141"/>
      <c r="K765" s="141"/>
      <c r="L765" s="141"/>
      <c r="M765" s="141"/>
      <c r="N765" s="141"/>
      <c r="O765" s="141"/>
      <c r="P765" s="141"/>
      <c r="Q765" s="141"/>
    </row>
    <row r="766" spans="1:17" ht="13.5" customHeight="1" x14ac:dyDescent="0.15">
      <c r="A766" s="141"/>
      <c r="B766" s="154"/>
      <c r="C766" s="141"/>
      <c r="D766" s="153" t="s">
        <v>367</v>
      </c>
      <c r="E766" s="141"/>
      <c r="F766" s="141"/>
      <c r="G766" s="141"/>
      <c r="H766" s="141"/>
      <c r="I766" s="141"/>
      <c r="J766" s="141"/>
      <c r="K766" s="141"/>
      <c r="L766" s="141"/>
      <c r="M766" s="141"/>
      <c r="N766" s="141"/>
      <c r="O766" s="141"/>
      <c r="P766" s="141"/>
      <c r="Q766" s="141"/>
    </row>
    <row r="767" spans="1:17" ht="13.5" customHeight="1" x14ac:dyDescent="0.15">
      <c r="A767" s="141"/>
      <c r="B767" s="154"/>
      <c r="C767" s="141"/>
      <c r="D767" s="153" t="s">
        <v>367</v>
      </c>
      <c r="E767" s="141"/>
      <c r="F767" s="141"/>
      <c r="G767" s="141"/>
      <c r="H767" s="141"/>
      <c r="I767" s="141"/>
      <c r="J767" s="141"/>
      <c r="K767" s="141"/>
      <c r="L767" s="141"/>
      <c r="M767" s="141"/>
      <c r="N767" s="141"/>
      <c r="O767" s="141"/>
      <c r="P767" s="141"/>
      <c r="Q767" s="141"/>
    </row>
    <row r="768" spans="1:17" ht="13.5" customHeight="1" x14ac:dyDescent="0.15">
      <c r="A768" s="141"/>
      <c r="B768" s="154"/>
      <c r="C768" s="141"/>
      <c r="D768" s="153" t="s">
        <v>367</v>
      </c>
      <c r="E768" s="141"/>
      <c r="F768" s="141"/>
      <c r="G768" s="141"/>
      <c r="H768" s="141"/>
      <c r="I768" s="141"/>
      <c r="J768" s="141"/>
      <c r="K768" s="141"/>
      <c r="L768" s="141"/>
      <c r="M768" s="141"/>
      <c r="N768" s="141"/>
      <c r="O768" s="141"/>
      <c r="P768" s="141"/>
      <c r="Q768" s="141"/>
    </row>
    <row r="769" spans="1:17" ht="13.5" customHeight="1" x14ac:dyDescent="0.15">
      <c r="A769" s="141"/>
      <c r="B769" s="154"/>
      <c r="C769" s="141"/>
      <c r="D769" s="153" t="s">
        <v>367</v>
      </c>
      <c r="E769" s="141"/>
      <c r="F769" s="141"/>
      <c r="G769" s="141"/>
      <c r="H769" s="141"/>
      <c r="I769" s="141"/>
      <c r="J769" s="141"/>
      <c r="K769" s="141"/>
      <c r="L769" s="141"/>
      <c r="M769" s="141"/>
      <c r="N769" s="141"/>
      <c r="O769" s="141"/>
      <c r="P769" s="141"/>
      <c r="Q769" s="141"/>
    </row>
    <row r="770" spans="1:17" ht="13.5" customHeight="1" x14ac:dyDescent="0.15">
      <c r="A770" s="141"/>
      <c r="B770" s="154"/>
      <c r="C770" s="141"/>
      <c r="D770" s="153" t="s">
        <v>367</v>
      </c>
      <c r="E770" s="141"/>
      <c r="F770" s="141"/>
      <c r="G770" s="141"/>
      <c r="H770" s="141"/>
      <c r="I770" s="141"/>
      <c r="J770" s="141"/>
      <c r="K770" s="141"/>
      <c r="L770" s="141"/>
      <c r="M770" s="141"/>
      <c r="N770" s="141"/>
      <c r="O770" s="141"/>
      <c r="P770" s="141"/>
      <c r="Q770" s="141"/>
    </row>
    <row r="771" spans="1:17" ht="13.5" customHeight="1" x14ac:dyDescent="0.15">
      <c r="A771" s="141"/>
      <c r="B771" s="154"/>
      <c r="C771" s="141"/>
      <c r="D771" s="153" t="s">
        <v>367</v>
      </c>
      <c r="E771" s="141"/>
      <c r="F771" s="141"/>
      <c r="G771" s="141"/>
      <c r="H771" s="141"/>
      <c r="I771" s="141"/>
      <c r="J771" s="141"/>
      <c r="K771" s="141"/>
      <c r="L771" s="141"/>
      <c r="M771" s="141"/>
      <c r="N771" s="141"/>
      <c r="O771" s="141"/>
      <c r="P771" s="141"/>
      <c r="Q771" s="141"/>
    </row>
    <row r="772" spans="1:17" ht="13.5" customHeight="1" x14ac:dyDescent="0.15">
      <c r="A772" s="141"/>
      <c r="B772" s="154"/>
      <c r="C772" s="141"/>
      <c r="D772" s="153" t="s">
        <v>367</v>
      </c>
      <c r="E772" s="141"/>
      <c r="F772" s="141"/>
      <c r="G772" s="141"/>
      <c r="H772" s="141"/>
      <c r="I772" s="141"/>
      <c r="J772" s="141"/>
      <c r="K772" s="141"/>
      <c r="L772" s="141"/>
      <c r="M772" s="141"/>
      <c r="N772" s="141"/>
      <c r="O772" s="141"/>
      <c r="P772" s="141"/>
      <c r="Q772" s="141"/>
    </row>
    <row r="773" spans="1:17" ht="13.5" customHeight="1" x14ac:dyDescent="0.15">
      <c r="A773" s="141"/>
      <c r="B773" s="154"/>
      <c r="C773" s="141"/>
      <c r="D773" s="153" t="s">
        <v>367</v>
      </c>
      <c r="E773" s="141"/>
      <c r="F773" s="141"/>
      <c r="G773" s="141"/>
      <c r="H773" s="141"/>
      <c r="I773" s="141"/>
      <c r="J773" s="141"/>
      <c r="K773" s="141"/>
      <c r="L773" s="141"/>
      <c r="M773" s="141"/>
      <c r="N773" s="141"/>
      <c r="O773" s="141"/>
      <c r="P773" s="141"/>
      <c r="Q773" s="141"/>
    </row>
    <row r="774" spans="1:17" ht="13.5" customHeight="1" x14ac:dyDescent="0.15">
      <c r="A774" s="141"/>
      <c r="B774" s="154"/>
      <c r="C774" s="141"/>
      <c r="D774" s="153" t="s">
        <v>367</v>
      </c>
      <c r="E774" s="141"/>
      <c r="F774" s="141"/>
      <c r="G774" s="141"/>
      <c r="H774" s="141"/>
      <c r="I774" s="141"/>
      <c r="J774" s="141"/>
      <c r="K774" s="141"/>
      <c r="L774" s="141"/>
      <c r="M774" s="141"/>
      <c r="N774" s="141"/>
      <c r="O774" s="141"/>
      <c r="P774" s="141"/>
      <c r="Q774" s="141"/>
    </row>
    <row r="775" spans="1:17" ht="13.5" customHeight="1" x14ac:dyDescent="0.15">
      <c r="A775" s="141"/>
      <c r="B775" s="154"/>
      <c r="C775" s="141"/>
      <c r="D775" s="153" t="s">
        <v>367</v>
      </c>
      <c r="E775" s="141"/>
      <c r="F775" s="141"/>
      <c r="G775" s="141"/>
      <c r="H775" s="141"/>
      <c r="I775" s="141"/>
      <c r="J775" s="141"/>
      <c r="K775" s="141"/>
      <c r="L775" s="141"/>
      <c r="M775" s="141"/>
      <c r="N775" s="141"/>
      <c r="O775" s="141"/>
      <c r="P775" s="141"/>
      <c r="Q775" s="141"/>
    </row>
    <row r="776" spans="1:17" ht="13.5" customHeight="1" x14ac:dyDescent="0.15">
      <c r="A776" s="141"/>
      <c r="B776" s="154"/>
      <c r="C776" s="141"/>
      <c r="D776" s="153" t="s">
        <v>367</v>
      </c>
      <c r="E776" s="141"/>
      <c r="F776" s="141"/>
      <c r="G776" s="141"/>
      <c r="H776" s="141"/>
      <c r="I776" s="141"/>
      <c r="J776" s="141"/>
      <c r="K776" s="141"/>
      <c r="L776" s="141"/>
      <c r="M776" s="141"/>
      <c r="N776" s="141"/>
      <c r="O776" s="141"/>
      <c r="P776" s="141"/>
      <c r="Q776" s="141"/>
    </row>
    <row r="777" spans="1:17" ht="13.5" customHeight="1" x14ac:dyDescent="0.15">
      <c r="A777" s="141"/>
      <c r="B777" s="154"/>
      <c r="C777" s="141"/>
      <c r="D777" s="153" t="s">
        <v>367</v>
      </c>
      <c r="E777" s="141"/>
      <c r="F777" s="141"/>
      <c r="G777" s="141"/>
      <c r="H777" s="141"/>
      <c r="I777" s="141"/>
      <c r="J777" s="141"/>
      <c r="K777" s="141"/>
      <c r="L777" s="141"/>
      <c r="M777" s="141"/>
      <c r="N777" s="141"/>
      <c r="O777" s="141"/>
      <c r="P777" s="141"/>
      <c r="Q777" s="141"/>
    </row>
    <row r="778" spans="1:17" ht="13.5" customHeight="1" x14ac:dyDescent="0.15">
      <c r="A778" s="141"/>
      <c r="B778" s="154"/>
      <c r="C778" s="141"/>
      <c r="D778" s="153" t="s">
        <v>367</v>
      </c>
      <c r="E778" s="141"/>
      <c r="F778" s="141"/>
      <c r="G778" s="141"/>
      <c r="H778" s="141"/>
      <c r="I778" s="141"/>
      <c r="J778" s="141"/>
      <c r="K778" s="141"/>
      <c r="L778" s="141"/>
      <c r="M778" s="141"/>
      <c r="N778" s="141"/>
      <c r="O778" s="141"/>
      <c r="P778" s="141"/>
      <c r="Q778" s="141"/>
    </row>
    <row r="779" spans="1:17" ht="13.5" customHeight="1" x14ac:dyDescent="0.15">
      <c r="A779" s="141"/>
      <c r="B779" s="154"/>
      <c r="C779" s="141"/>
      <c r="D779" s="153" t="s">
        <v>367</v>
      </c>
      <c r="E779" s="141"/>
      <c r="F779" s="141"/>
      <c r="G779" s="141"/>
      <c r="H779" s="141"/>
      <c r="I779" s="141"/>
      <c r="J779" s="141"/>
      <c r="K779" s="141"/>
      <c r="L779" s="141"/>
      <c r="M779" s="141"/>
      <c r="N779" s="141"/>
      <c r="O779" s="141"/>
      <c r="P779" s="141"/>
      <c r="Q779" s="141"/>
    </row>
    <row r="780" spans="1:17" ht="13.5" customHeight="1" x14ac:dyDescent="0.15">
      <c r="A780" s="141"/>
      <c r="B780" s="154"/>
      <c r="C780" s="141"/>
      <c r="D780" s="153" t="s">
        <v>367</v>
      </c>
      <c r="E780" s="141"/>
      <c r="F780" s="141"/>
      <c r="G780" s="141"/>
      <c r="H780" s="141"/>
      <c r="I780" s="141"/>
      <c r="J780" s="141"/>
      <c r="K780" s="141"/>
      <c r="L780" s="141"/>
      <c r="M780" s="141"/>
      <c r="N780" s="141"/>
      <c r="O780" s="141"/>
      <c r="P780" s="141"/>
      <c r="Q780" s="141"/>
    </row>
    <row r="781" spans="1:17" ht="13.5" customHeight="1" x14ac:dyDescent="0.15">
      <c r="A781" s="141"/>
      <c r="B781" s="154"/>
      <c r="C781" s="141"/>
      <c r="D781" s="153" t="s">
        <v>367</v>
      </c>
      <c r="E781" s="141"/>
      <c r="F781" s="141"/>
      <c r="G781" s="141"/>
      <c r="H781" s="141"/>
      <c r="I781" s="141"/>
      <c r="J781" s="141"/>
      <c r="K781" s="141"/>
      <c r="L781" s="141"/>
      <c r="M781" s="141"/>
      <c r="N781" s="141"/>
      <c r="O781" s="141"/>
      <c r="P781" s="141"/>
      <c r="Q781" s="141"/>
    </row>
    <row r="782" spans="1:17" ht="13.5" customHeight="1" x14ac:dyDescent="0.15">
      <c r="A782" s="141"/>
      <c r="B782" s="154"/>
      <c r="C782" s="141"/>
      <c r="D782" s="153" t="s">
        <v>367</v>
      </c>
      <c r="E782" s="141"/>
      <c r="F782" s="141"/>
      <c r="G782" s="141"/>
      <c r="H782" s="141"/>
      <c r="I782" s="141"/>
      <c r="J782" s="141"/>
      <c r="K782" s="141"/>
      <c r="L782" s="141"/>
      <c r="M782" s="141"/>
      <c r="N782" s="141"/>
      <c r="O782" s="141"/>
      <c r="P782" s="141"/>
      <c r="Q782" s="141"/>
    </row>
    <row r="783" spans="1:17" ht="13.5" customHeight="1" x14ac:dyDescent="0.15">
      <c r="A783" s="141"/>
      <c r="B783" s="154"/>
      <c r="C783" s="141"/>
      <c r="D783" s="153" t="s">
        <v>367</v>
      </c>
      <c r="E783" s="141"/>
      <c r="F783" s="141"/>
      <c r="G783" s="141"/>
      <c r="H783" s="141"/>
      <c r="I783" s="141"/>
      <c r="J783" s="141"/>
      <c r="K783" s="141"/>
      <c r="L783" s="141"/>
      <c r="M783" s="141"/>
      <c r="N783" s="141"/>
      <c r="O783" s="141"/>
      <c r="P783" s="141"/>
      <c r="Q783" s="141"/>
    </row>
    <row r="784" spans="1:17" ht="13.5" customHeight="1" x14ac:dyDescent="0.15">
      <c r="A784" s="141"/>
      <c r="B784" s="154"/>
      <c r="C784" s="141"/>
      <c r="D784" s="153" t="s">
        <v>367</v>
      </c>
      <c r="E784" s="141"/>
      <c r="F784" s="141"/>
      <c r="G784" s="141"/>
      <c r="H784" s="141"/>
      <c r="I784" s="141"/>
      <c r="J784" s="141"/>
      <c r="K784" s="141"/>
      <c r="L784" s="141"/>
      <c r="M784" s="141"/>
      <c r="N784" s="141"/>
      <c r="O784" s="141"/>
      <c r="P784" s="141"/>
      <c r="Q784" s="141"/>
    </row>
    <row r="785" spans="1:17" ht="13.5" customHeight="1" x14ac:dyDescent="0.15">
      <c r="A785" s="141"/>
      <c r="B785" s="154"/>
      <c r="C785" s="141"/>
      <c r="D785" s="153" t="s">
        <v>367</v>
      </c>
      <c r="E785" s="141"/>
      <c r="F785" s="141"/>
      <c r="G785" s="141"/>
      <c r="H785" s="141"/>
      <c r="I785" s="141"/>
      <c r="J785" s="141"/>
      <c r="K785" s="141"/>
      <c r="L785" s="141"/>
      <c r="M785" s="141"/>
      <c r="N785" s="141"/>
      <c r="O785" s="141"/>
      <c r="P785" s="141"/>
      <c r="Q785" s="141"/>
    </row>
    <row r="786" spans="1:17" ht="13.5" customHeight="1" x14ac:dyDescent="0.15">
      <c r="A786" s="141"/>
      <c r="B786" s="154"/>
      <c r="C786" s="141"/>
      <c r="D786" s="153" t="s">
        <v>367</v>
      </c>
      <c r="E786" s="141"/>
      <c r="F786" s="141"/>
      <c r="G786" s="141"/>
      <c r="H786" s="141"/>
      <c r="I786" s="141"/>
      <c r="J786" s="141"/>
      <c r="K786" s="141"/>
      <c r="L786" s="141"/>
      <c r="M786" s="141"/>
      <c r="N786" s="141"/>
      <c r="O786" s="141"/>
      <c r="P786" s="141"/>
      <c r="Q786" s="141"/>
    </row>
    <row r="787" spans="1:17" ht="13.5" customHeight="1" x14ac:dyDescent="0.15">
      <c r="A787" s="141"/>
      <c r="B787" s="154"/>
      <c r="C787" s="141"/>
      <c r="D787" s="153" t="s">
        <v>367</v>
      </c>
      <c r="E787" s="141"/>
      <c r="F787" s="141"/>
      <c r="G787" s="141"/>
      <c r="H787" s="141"/>
      <c r="I787" s="141"/>
      <c r="J787" s="141"/>
      <c r="K787" s="141"/>
      <c r="L787" s="141"/>
      <c r="M787" s="141"/>
      <c r="N787" s="141"/>
      <c r="O787" s="141"/>
      <c r="P787" s="141"/>
      <c r="Q787" s="141"/>
    </row>
    <row r="788" spans="1:17" ht="13.5" customHeight="1" x14ac:dyDescent="0.15">
      <c r="A788" s="141"/>
      <c r="B788" s="154"/>
      <c r="C788" s="141"/>
      <c r="D788" s="153" t="s">
        <v>367</v>
      </c>
      <c r="E788" s="141"/>
      <c r="F788" s="141"/>
      <c r="G788" s="141"/>
      <c r="H788" s="141"/>
      <c r="I788" s="141"/>
      <c r="J788" s="141"/>
      <c r="K788" s="141"/>
      <c r="L788" s="141"/>
      <c r="M788" s="141"/>
      <c r="N788" s="141"/>
      <c r="O788" s="141"/>
      <c r="P788" s="141"/>
      <c r="Q788" s="141"/>
    </row>
    <row r="789" spans="1:17" ht="13.5" customHeight="1" x14ac:dyDescent="0.15">
      <c r="A789" s="141"/>
      <c r="B789" s="154"/>
      <c r="C789" s="141"/>
      <c r="D789" s="153" t="s">
        <v>367</v>
      </c>
      <c r="E789" s="141"/>
      <c r="F789" s="141"/>
      <c r="G789" s="141"/>
      <c r="H789" s="141"/>
      <c r="I789" s="141"/>
      <c r="J789" s="141"/>
      <c r="K789" s="141"/>
      <c r="L789" s="141"/>
      <c r="M789" s="141"/>
      <c r="N789" s="141"/>
      <c r="O789" s="141"/>
      <c r="P789" s="141"/>
      <c r="Q789" s="141"/>
    </row>
    <row r="790" spans="1:17" ht="13.5" customHeight="1" x14ac:dyDescent="0.15">
      <c r="A790" s="141"/>
      <c r="B790" s="154"/>
      <c r="C790" s="141"/>
      <c r="D790" s="153" t="s">
        <v>367</v>
      </c>
      <c r="E790" s="141"/>
      <c r="F790" s="141"/>
      <c r="G790" s="141"/>
      <c r="H790" s="141"/>
      <c r="I790" s="141"/>
      <c r="J790" s="141"/>
      <c r="K790" s="141"/>
      <c r="L790" s="141"/>
      <c r="M790" s="141"/>
      <c r="N790" s="141"/>
      <c r="O790" s="141"/>
      <c r="P790" s="141"/>
      <c r="Q790" s="141"/>
    </row>
    <row r="791" spans="1:17" ht="13.5" customHeight="1" x14ac:dyDescent="0.15">
      <c r="A791" s="141"/>
      <c r="B791" s="154"/>
      <c r="C791" s="141"/>
      <c r="D791" s="153" t="s">
        <v>367</v>
      </c>
      <c r="E791" s="141"/>
      <c r="F791" s="141"/>
      <c r="G791" s="141"/>
      <c r="H791" s="141"/>
      <c r="I791" s="141"/>
      <c r="J791" s="141"/>
      <c r="K791" s="141"/>
      <c r="L791" s="141"/>
      <c r="M791" s="141"/>
      <c r="N791" s="141"/>
      <c r="O791" s="141"/>
      <c r="P791" s="141"/>
      <c r="Q791" s="141"/>
    </row>
    <row r="792" spans="1:17" ht="13.5" customHeight="1" x14ac:dyDescent="0.15">
      <c r="A792" s="141"/>
      <c r="B792" s="154"/>
      <c r="C792" s="141"/>
      <c r="D792" s="153" t="s">
        <v>367</v>
      </c>
      <c r="E792" s="141"/>
      <c r="F792" s="141"/>
      <c r="G792" s="141"/>
      <c r="H792" s="141"/>
      <c r="I792" s="141"/>
      <c r="J792" s="141"/>
      <c r="K792" s="141"/>
      <c r="L792" s="141"/>
      <c r="M792" s="141"/>
      <c r="N792" s="141"/>
      <c r="O792" s="141"/>
      <c r="P792" s="141"/>
      <c r="Q792" s="141"/>
    </row>
    <row r="793" spans="1:17" ht="13.5" customHeight="1" x14ac:dyDescent="0.15">
      <c r="A793" s="141"/>
      <c r="B793" s="154"/>
      <c r="C793" s="141"/>
      <c r="D793" s="153" t="s">
        <v>367</v>
      </c>
      <c r="E793" s="141"/>
      <c r="F793" s="141"/>
      <c r="G793" s="141"/>
      <c r="H793" s="141"/>
      <c r="I793" s="141"/>
      <c r="J793" s="141"/>
      <c r="K793" s="141"/>
      <c r="L793" s="141"/>
      <c r="M793" s="141"/>
      <c r="N793" s="141"/>
      <c r="O793" s="141"/>
      <c r="P793" s="141"/>
      <c r="Q793" s="141"/>
    </row>
    <row r="794" spans="1:17" ht="13.5" customHeight="1" x14ac:dyDescent="0.15">
      <c r="A794" s="141"/>
      <c r="B794" s="154"/>
      <c r="C794" s="141"/>
      <c r="D794" s="153" t="s">
        <v>367</v>
      </c>
      <c r="E794" s="141"/>
      <c r="F794" s="141"/>
      <c r="G794" s="141"/>
      <c r="H794" s="141"/>
      <c r="I794" s="141"/>
      <c r="J794" s="141"/>
      <c r="K794" s="141"/>
      <c r="L794" s="141"/>
      <c r="M794" s="141"/>
      <c r="N794" s="141"/>
      <c r="O794" s="141"/>
      <c r="P794" s="141"/>
      <c r="Q794" s="141"/>
    </row>
    <row r="795" spans="1:17" ht="13.5" customHeight="1" x14ac:dyDescent="0.15">
      <c r="A795" s="141"/>
      <c r="B795" s="154"/>
      <c r="C795" s="141"/>
      <c r="D795" s="153" t="s">
        <v>367</v>
      </c>
      <c r="E795" s="141"/>
      <c r="F795" s="141"/>
      <c r="G795" s="141"/>
      <c r="H795" s="141"/>
      <c r="I795" s="141"/>
      <c r="J795" s="141"/>
      <c r="K795" s="141"/>
      <c r="L795" s="141"/>
      <c r="M795" s="141"/>
      <c r="N795" s="141"/>
      <c r="O795" s="141"/>
      <c r="P795" s="141"/>
      <c r="Q795" s="141"/>
    </row>
    <row r="796" spans="1:17" ht="13.5" customHeight="1" x14ac:dyDescent="0.15">
      <c r="A796" s="141"/>
      <c r="B796" s="154"/>
      <c r="C796" s="141"/>
      <c r="D796" s="153" t="s">
        <v>367</v>
      </c>
      <c r="E796" s="141"/>
      <c r="F796" s="141"/>
      <c r="G796" s="141"/>
      <c r="H796" s="141"/>
      <c r="I796" s="141"/>
      <c r="J796" s="141"/>
      <c r="K796" s="141"/>
      <c r="L796" s="141"/>
      <c r="M796" s="141"/>
      <c r="N796" s="141"/>
      <c r="O796" s="141"/>
      <c r="P796" s="141"/>
      <c r="Q796" s="141"/>
    </row>
    <row r="797" spans="1:17" ht="13.5" customHeight="1" x14ac:dyDescent="0.15">
      <c r="A797" s="141"/>
      <c r="B797" s="154"/>
      <c r="C797" s="141"/>
      <c r="D797" s="153" t="s">
        <v>367</v>
      </c>
      <c r="E797" s="141"/>
      <c r="F797" s="141"/>
      <c r="G797" s="141"/>
      <c r="H797" s="141"/>
      <c r="I797" s="141"/>
      <c r="J797" s="141"/>
      <c r="K797" s="141"/>
      <c r="L797" s="141"/>
      <c r="M797" s="141"/>
      <c r="N797" s="141"/>
      <c r="O797" s="141"/>
      <c r="P797" s="141"/>
      <c r="Q797" s="141"/>
    </row>
    <row r="798" spans="1:17" ht="13.5" customHeight="1" x14ac:dyDescent="0.15">
      <c r="A798" s="141"/>
      <c r="B798" s="154"/>
      <c r="C798" s="141"/>
      <c r="D798" s="153" t="s">
        <v>367</v>
      </c>
      <c r="E798" s="141"/>
      <c r="F798" s="141"/>
      <c r="G798" s="141"/>
      <c r="H798" s="141"/>
      <c r="I798" s="141"/>
      <c r="J798" s="141"/>
      <c r="K798" s="141"/>
      <c r="L798" s="141"/>
      <c r="M798" s="141"/>
      <c r="N798" s="141"/>
      <c r="O798" s="141"/>
      <c r="P798" s="141"/>
      <c r="Q798" s="141"/>
    </row>
    <row r="799" spans="1:17" ht="13.5" customHeight="1" x14ac:dyDescent="0.15">
      <c r="A799" s="141"/>
      <c r="B799" s="154"/>
      <c r="C799" s="141"/>
      <c r="D799" s="153" t="s">
        <v>367</v>
      </c>
      <c r="E799" s="141"/>
      <c r="F799" s="141"/>
      <c r="G799" s="141"/>
      <c r="H799" s="141"/>
      <c r="I799" s="141"/>
      <c r="J799" s="141"/>
      <c r="K799" s="141"/>
      <c r="L799" s="141"/>
      <c r="M799" s="141"/>
      <c r="N799" s="141"/>
      <c r="O799" s="141"/>
      <c r="P799" s="141"/>
      <c r="Q799" s="141"/>
    </row>
    <row r="800" spans="1:17" ht="13.5" customHeight="1" x14ac:dyDescent="0.15">
      <c r="A800" s="141"/>
      <c r="B800" s="154"/>
      <c r="C800" s="141"/>
      <c r="D800" s="153" t="s">
        <v>367</v>
      </c>
      <c r="E800" s="141"/>
      <c r="F800" s="141"/>
      <c r="G800" s="141"/>
      <c r="H800" s="141"/>
      <c r="I800" s="141"/>
      <c r="J800" s="141"/>
      <c r="K800" s="141"/>
      <c r="L800" s="141"/>
      <c r="M800" s="141"/>
      <c r="N800" s="141"/>
      <c r="O800" s="141"/>
      <c r="P800" s="141"/>
      <c r="Q800" s="141"/>
    </row>
    <row r="801" spans="1:17" ht="13.5" customHeight="1" x14ac:dyDescent="0.15">
      <c r="A801" s="141"/>
      <c r="B801" s="154"/>
      <c r="C801" s="141"/>
      <c r="D801" s="153" t="s">
        <v>367</v>
      </c>
      <c r="E801" s="141"/>
      <c r="F801" s="141"/>
      <c r="G801" s="141"/>
      <c r="H801" s="141"/>
      <c r="I801" s="141"/>
      <c r="J801" s="141"/>
      <c r="K801" s="141"/>
      <c r="L801" s="141"/>
      <c r="M801" s="141"/>
      <c r="N801" s="141"/>
      <c r="O801" s="141"/>
      <c r="P801" s="141"/>
      <c r="Q801" s="141"/>
    </row>
    <row r="802" spans="1:17" ht="13.5" customHeight="1" x14ac:dyDescent="0.15">
      <c r="A802" s="141"/>
      <c r="B802" s="154"/>
      <c r="C802" s="141"/>
      <c r="D802" s="153" t="s">
        <v>367</v>
      </c>
      <c r="E802" s="141"/>
      <c r="F802" s="141"/>
      <c r="G802" s="141"/>
      <c r="H802" s="141"/>
      <c r="I802" s="141"/>
      <c r="J802" s="141"/>
      <c r="K802" s="141"/>
      <c r="L802" s="141"/>
      <c r="M802" s="141"/>
      <c r="N802" s="141"/>
      <c r="O802" s="141"/>
      <c r="P802" s="141"/>
      <c r="Q802" s="141"/>
    </row>
    <row r="803" spans="1:17" ht="13.5" customHeight="1" x14ac:dyDescent="0.15">
      <c r="A803" s="141"/>
      <c r="B803" s="154"/>
      <c r="C803" s="141"/>
      <c r="D803" s="153" t="s">
        <v>367</v>
      </c>
      <c r="E803" s="141"/>
      <c r="F803" s="141"/>
      <c r="G803" s="141"/>
      <c r="H803" s="141"/>
      <c r="I803" s="141"/>
      <c r="J803" s="141"/>
      <c r="K803" s="141"/>
      <c r="L803" s="141"/>
      <c r="M803" s="141"/>
      <c r="N803" s="141"/>
      <c r="O803" s="141"/>
      <c r="P803" s="141"/>
      <c r="Q803" s="141"/>
    </row>
    <row r="804" spans="1:17" ht="13.5" customHeight="1" x14ac:dyDescent="0.15">
      <c r="A804" s="141"/>
      <c r="B804" s="154"/>
      <c r="C804" s="141"/>
      <c r="D804" s="153" t="s">
        <v>367</v>
      </c>
      <c r="E804" s="141"/>
      <c r="F804" s="141"/>
      <c r="G804" s="141"/>
      <c r="H804" s="141"/>
      <c r="I804" s="141"/>
      <c r="J804" s="141"/>
      <c r="K804" s="141"/>
      <c r="L804" s="141"/>
      <c r="M804" s="141"/>
      <c r="N804" s="141"/>
      <c r="O804" s="141"/>
      <c r="P804" s="141"/>
      <c r="Q804" s="141"/>
    </row>
    <row r="805" spans="1:17" ht="13.5" customHeight="1" x14ac:dyDescent="0.15">
      <c r="A805" s="141"/>
      <c r="B805" s="154"/>
      <c r="C805" s="141"/>
      <c r="D805" s="153" t="s">
        <v>367</v>
      </c>
      <c r="E805" s="141"/>
      <c r="F805" s="141"/>
      <c r="G805" s="141"/>
      <c r="H805" s="141"/>
      <c r="I805" s="141"/>
      <c r="J805" s="141"/>
      <c r="K805" s="141"/>
      <c r="L805" s="141"/>
      <c r="M805" s="141"/>
      <c r="N805" s="141"/>
      <c r="O805" s="141"/>
      <c r="P805" s="141"/>
      <c r="Q805" s="141"/>
    </row>
    <row r="806" spans="1:17" ht="13.5" customHeight="1" x14ac:dyDescent="0.15">
      <c r="A806" s="141"/>
      <c r="B806" s="154"/>
      <c r="C806" s="141"/>
      <c r="D806" s="153" t="s">
        <v>367</v>
      </c>
      <c r="E806" s="141"/>
      <c r="F806" s="141"/>
      <c r="G806" s="141"/>
      <c r="H806" s="141"/>
      <c r="I806" s="141"/>
      <c r="J806" s="141"/>
      <c r="K806" s="141"/>
      <c r="L806" s="141"/>
      <c r="M806" s="141"/>
      <c r="N806" s="141"/>
      <c r="O806" s="141"/>
      <c r="P806" s="141"/>
      <c r="Q806" s="141"/>
    </row>
    <row r="807" spans="1:17" ht="13.5" customHeight="1" x14ac:dyDescent="0.15">
      <c r="A807" s="141"/>
      <c r="B807" s="154"/>
      <c r="C807" s="141"/>
      <c r="D807" s="153" t="s">
        <v>367</v>
      </c>
      <c r="E807" s="141"/>
      <c r="F807" s="141"/>
      <c r="G807" s="141"/>
      <c r="H807" s="141"/>
      <c r="I807" s="141"/>
      <c r="J807" s="141"/>
      <c r="K807" s="141"/>
      <c r="L807" s="141"/>
      <c r="M807" s="141"/>
      <c r="N807" s="141"/>
      <c r="O807" s="141"/>
      <c r="P807" s="141"/>
      <c r="Q807" s="141"/>
    </row>
    <row r="808" spans="1:17" ht="13.5" customHeight="1" x14ac:dyDescent="0.15">
      <c r="A808" s="141"/>
      <c r="B808" s="154"/>
      <c r="C808" s="141"/>
      <c r="D808" s="153" t="s">
        <v>367</v>
      </c>
      <c r="E808" s="141"/>
      <c r="F808" s="141"/>
      <c r="G808" s="141"/>
      <c r="H808" s="141"/>
      <c r="I808" s="141"/>
      <c r="J808" s="141"/>
      <c r="K808" s="141"/>
      <c r="L808" s="141"/>
      <c r="M808" s="141"/>
      <c r="N808" s="141"/>
      <c r="O808" s="141"/>
      <c r="P808" s="141"/>
      <c r="Q808" s="141"/>
    </row>
    <row r="809" spans="1:17" ht="13.5" customHeight="1" x14ac:dyDescent="0.15">
      <c r="A809" s="141"/>
      <c r="B809" s="154"/>
      <c r="C809" s="141"/>
      <c r="D809" s="153" t="s">
        <v>367</v>
      </c>
      <c r="E809" s="141"/>
      <c r="F809" s="141"/>
      <c r="G809" s="141"/>
      <c r="H809" s="141"/>
      <c r="I809" s="141"/>
      <c r="J809" s="141"/>
      <c r="K809" s="141"/>
      <c r="L809" s="141"/>
      <c r="M809" s="141"/>
      <c r="N809" s="141"/>
      <c r="O809" s="141"/>
      <c r="P809" s="141"/>
      <c r="Q809" s="141"/>
    </row>
    <row r="810" spans="1:17" ht="13.5" customHeight="1" x14ac:dyDescent="0.15">
      <c r="A810" s="141"/>
      <c r="B810" s="154"/>
      <c r="C810" s="141"/>
      <c r="D810" s="153" t="s">
        <v>367</v>
      </c>
      <c r="E810" s="141"/>
      <c r="F810" s="141"/>
      <c r="G810" s="141"/>
      <c r="H810" s="141"/>
      <c r="I810" s="141"/>
      <c r="J810" s="141"/>
      <c r="K810" s="141"/>
      <c r="L810" s="141"/>
      <c r="M810" s="141"/>
      <c r="N810" s="141"/>
      <c r="O810" s="141"/>
      <c r="P810" s="141"/>
      <c r="Q810" s="141"/>
    </row>
    <row r="811" spans="1:17" ht="13.5" customHeight="1" x14ac:dyDescent="0.15">
      <c r="A811" s="141"/>
      <c r="B811" s="154"/>
      <c r="C811" s="141"/>
      <c r="D811" s="153" t="s">
        <v>367</v>
      </c>
      <c r="E811" s="141"/>
      <c r="F811" s="141"/>
      <c r="G811" s="141"/>
      <c r="H811" s="141"/>
      <c r="I811" s="141"/>
      <c r="J811" s="141"/>
      <c r="K811" s="141"/>
      <c r="L811" s="141"/>
      <c r="M811" s="141"/>
      <c r="N811" s="141"/>
      <c r="O811" s="141"/>
      <c r="P811" s="141"/>
      <c r="Q811" s="141"/>
    </row>
    <row r="812" spans="1:17" ht="13.5" customHeight="1" x14ac:dyDescent="0.15">
      <c r="A812" s="141"/>
      <c r="B812" s="154"/>
      <c r="C812" s="141"/>
      <c r="D812" s="153" t="s">
        <v>367</v>
      </c>
      <c r="E812" s="141"/>
      <c r="F812" s="141"/>
      <c r="G812" s="141"/>
      <c r="H812" s="141"/>
      <c r="I812" s="141"/>
      <c r="J812" s="141"/>
      <c r="K812" s="141"/>
      <c r="L812" s="141"/>
      <c r="M812" s="141"/>
      <c r="N812" s="141"/>
      <c r="O812" s="141"/>
      <c r="P812" s="141"/>
      <c r="Q812" s="141"/>
    </row>
    <row r="813" spans="1:17" ht="13.5" customHeight="1" x14ac:dyDescent="0.15">
      <c r="A813" s="141"/>
      <c r="B813" s="154"/>
      <c r="C813" s="141"/>
      <c r="D813" s="153" t="s">
        <v>367</v>
      </c>
      <c r="E813" s="141"/>
      <c r="F813" s="141"/>
      <c r="G813" s="141"/>
      <c r="H813" s="141"/>
      <c r="I813" s="141"/>
      <c r="J813" s="141"/>
      <c r="K813" s="141"/>
      <c r="L813" s="141"/>
      <c r="M813" s="141"/>
      <c r="N813" s="141"/>
      <c r="O813" s="141"/>
      <c r="P813" s="141"/>
      <c r="Q813" s="141"/>
    </row>
    <row r="814" spans="1:17" ht="13.5" customHeight="1" x14ac:dyDescent="0.15">
      <c r="A814" s="141"/>
      <c r="B814" s="154"/>
      <c r="C814" s="141"/>
      <c r="D814" s="153" t="s">
        <v>367</v>
      </c>
      <c r="E814" s="141"/>
      <c r="F814" s="141"/>
      <c r="G814" s="141"/>
      <c r="H814" s="141"/>
      <c r="I814" s="141"/>
      <c r="J814" s="141"/>
      <c r="K814" s="141"/>
      <c r="L814" s="141"/>
      <c r="M814" s="141"/>
      <c r="N814" s="141"/>
      <c r="O814" s="141"/>
      <c r="P814" s="141"/>
      <c r="Q814" s="141"/>
    </row>
    <row r="815" spans="1:17" ht="13.5" customHeight="1" x14ac:dyDescent="0.15">
      <c r="A815" s="141"/>
      <c r="B815" s="154"/>
      <c r="C815" s="141"/>
      <c r="D815" s="153" t="s">
        <v>367</v>
      </c>
      <c r="E815" s="141"/>
      <c r="F815" s="141"/>
      <c r="G815" s="141"/>
      <c r="H815" s="141"/>
      <c r="I815" s="141"/>
      <c r="J815" s="141"/>
      <c r="K815" s="141"/>
      <c r="L815" s="141"/>
      <c r="M815" s="141"/>
      <c r="N815" s="141"/>
      <c r="O815" s="141"/>
      <c r="P815" s="141"/>
      <c r="Q815" s="141"/>
    </row>
    <row r="816" spans="1:17" ht="13.5" customHeight="1" x14ac:dyDescent="0.15">
      <c r="A816" s="141"/>
      <c r="B816" s="154"/>
      <c r="C816" s="141"/>
      <c r="D816" s="153" t="s">
        <v>367</v>
      </c>
      <c r="E816" s="141"/>
      <c r="F816" s="141"/>
      <c r="G816" s="141"/>
      <c r="H816" s="141"/>
      <c r="I816" s="141"/>
      <c r="J816" s="141"/>
      <c r="K816" s="141"/>
      <c r="L816" s="141"/>
      <c r="M816" s="141"/>
      <c r="N816" s="141"/>
      <c r="O816" s="141"/>
      <c r="P816" s="141"/>
      <c r="Q816" s="141"/>
    </row>
    <row r="817" spans="1:17" ht="13.5" customHeight="1" x14ac:dyDescent="0.15">
      <c r="A817" s="141"/>
      <c r="B817" s="154"/>
      <c r="C817" s="141"/>
      <c r="D817" s="153" t="s">
        <v>367</v>
      </c>
      <c r="E817" s="141"/>
      <c r="F817" s="141"/>
      <c r="G817" s="141"/>
      <c r="H817" s="141"/>
      <c r="I817" s="141"/>
      <c r="J817" s="141"/>
      <c r="K817" s="141"/>
      <c r="L817" s="141"/>
      <c r="M817" s="141"/>
      <c r="N817" s="141"/>
      <c r="O817" s="141"/>
      <c r="P817" s="141"/>
      <c r="Q817" s="141"/>
    </row>
    <row r="818" spans="1:17" ht="13.5" customHeight="1" x14ac:dyDescent="0.15">
      <c r="A818" s="141"/>
      <c r="B818" s="154"/>
      <c r="C818" s="141"/>
      <c r="D818" s="153" t="s">
        <v>367</v>
      </c>
      <c r="E818" s="141"/>
      <c r="F818" s="141"/>
      <c r="G818" s="141"/>
      <c r="H818" s="141"/>
      <c r="I818" s="141"/>
      <c r="J818" s="141"/>
      <c r="K818" s="141"/>
      <c r="L818" s="141"/>
      <c r="M818" s="141"/>
      <c r="N818" s="141"/>
      <c r="O818" s="141"/>
      <c r="P818" s="141"/>
      <c r="Q818" s="141"/>
    </row>
    <row r="819" spans="1:17" ht="13.5" customHeight="1" x14ac:dyDescent="0.15">
      <c r="A819" s="141"/>
      <c r="B819" s="154"/>
      <c r="C819" s="141"/>
      <c r="D819" s="153" t="s">
        <v>367</v>
      </c>
      <c r="E819" s="141"/>
      <c r="F819" s="141"/>
      <c r="G819" s="141"/>
      <c r="H819" s="141"/>
      <c r="I819" s="141"/>
      <c r="J819" s="141"/>
      <c r="K819" s="141"/>
      <c r="L819" s="141"/>
      <c r="M819" s="141"/>
      <c r="N819" s="141"/>
      <c r="O819" s="141"/>
      <c r="P819" s="141"/>
      <c r="Q819" s="141"/>
    </row>
    <row r="820" spans="1:17" ht="13.5" customHeight="1" x14ac:dyDescent="0.15">
      <c r="A820" s="141"/>
      <c r="B820" s="154"/>
      <c r="C820" s="141"/>
      <c r="D820" s="153" t="s">
        <v>367</v>
      </c>
      <c r="E820" s="141"/>
      <c r="F820" s="141"/>
      <c r="G820" s="141"/>
      <c r="H820" s="141"/>
      <c r="I820" s="141"/>
      <c r="J820" s="141"/>
      <c r="K820" s="141"/>
      <c r="L820" s="141"/>
      <c r="M820" s="141"/>
      <c r="N820" s="141"/>
      <c r="O820" s="141"/>
      <c r="P820" s="141"/>
      <c r="Q820" s="141"/>
    </row>
    <row r="821" spans="1:17" ht="13.5" customHeight="1" x14ac:dyDescent="0.15">
      <c r="A821" s="141"/>
      <c r="B821" s="154"/>
      <c r="C821" s="141"/>
      <c r="D821" s="153" t="s">
        <v>367</v>
      </c>
      <c r="E821" s="141"/>
      <c r="F821" s="141"/>
      <c r="G821" s="141"/>
      <c r="H821" s="141"/>
      <c r="I821" s="141"/>
      <c r="J821" s="141"/>
      <c r="K821" s="141"/>
      <c r="L821" s="141"/>
      <c r="M821" s="141"/>
      <c r="N821" s="141"/>
      <c r="O821" s="141"/>
      <c r="P821" s="141"/>
      <c r="Q821" s="141"/>
    </row>
    <row r="822" spans="1:17" ht="13.5" customHeight="1" x14ac:dyDescent="0.15">
      <c r="A822" s="141"/>
      <c r="B822" s="154"/>
      <c r="C822" s="141"/>
      <c r="D822" s="153" t="s">
        <v>367</v>
      </c>
      <c r="E822" s="141"/>
      <c r="F822" s="141"/>
      <c r="G822" s="141"/>
      <c r="H822" s="141"/>
      <c r="I822" s="141"/>
      <c r="J822" s="141"/>
      <c r="K822" s="141"/>
      <c r="L822" s="141"/>
      <c r="M822" s="141"/>
      <c r="N822" s="141"/>
      <c r="O822" s="141"/>
      <c r="P822" s="141"/>
      <c r="Q822" s="141"/>
    </row>
    <row r="823" spans="1:17" ht="13.5" customHeight="1" x14ac:dyDescent="0.15">
      <c r="A823" s="141"/>
      <c r="B823" s="154"/>
      <c r="C823" s="141"/>
      <c r="D823" s="153" t="s">
        <v>367</v>
      </c>
      <c r="E823" s="141"/>
      <c r="F823" s="141"/>
      <c r="G823" s="141"/>
      <c r="H823" s="141"/>
      <c r="I823" s="141"/>
      <c r="J823" s="141"/>
      <c r="K823" s="141"/>
      <c r="L823" s="141"/>
      <c r="M823" s="141"/>
      <c r="N823" s="141"/>
      <c r="O823" s="141"/>
      <c r="P823" s="141"/>
      <c r="Q823" s="141"/>
    </row>
    <row r="824" spans="1:17" ht="13.5" customHeight="1" x14ac:dyDescent="0.15">
      <c r="A824" s="141"/>
      <c r="B824" s="154"/>
      <c r="C824" s="141"/>
      <c r="D824" s="153" t="s">
        <v>367</v>
      </c>
      <c r="E824" s="141"/>
      <c r="F824" s="141"/>
      <c r="G824" s="141"/>
      <c r="H824" s="141"/>
      <c r="I824" s="141"/>
      <c r="J824" s="141"/>
      <c r="K824" s="141"/>
      <c r="L824" s="141"/>
      <c r="M824" s="141"/>
      <c r="N824" s="141"/>
      <c r="O824" s="141"/>
      <c r="P824" s="141"/>
      <c r="Q824" s="141"/>
    </row>
    <row r="825" spans="1:17" ht="13.5" customHeight="1" x14ac:dyDescent="0.15">
      <c r="A825" s="141"/>
      <c r="B825" s="154"/>
      <c r="C825" s="141"/>
      <c r="D825" s="153" t="s">
        <v>367</v>
      </c>
      <c r="E825" s="141"/>
      <c r="F825" s="141"/>
      <c r="G825" s="141"/>
      <c r="H825" s="141"/>
      <c r="I825" s="141"/>
      <c r="J825" s="141"/>
      <c r="K825" s="141"/>
      <c r="L825" s="141"/>
      <c r="M825" s="141"/>
      <c r="N825" s="141"/>
      <c r="O825" s="141"/>
      <c r="P825" s="141"/>
      <c r="Q825" s="141"/>
    </row>
    <row r="826" spans="1:17" ht="13.5" customHeight="1" x14ac:dyDescent="0.15">
      <c r="A826" s="141"/>
      <c r="B826" s="154"/>
      <c r="C826" s="141"/>
      <c r="D826" s="153" t="s">
        <v>367</v>
      </c>
      <c r="E826" s="141"/>
      <c r="F826" s="141"/>
      <c r="G826" s="141"/>
      <c r="H826" s="141"/>
      <c r="I826" s="141"/>
      <c r="J826" s="141"/>
      <c r="K826" s="141"/>
      <c r="L826" s="141"/>
      <c r="M826" s="141"/>
      <c r="N826" s="141"/>
      <c r="O826" s="141"/>
      <c r="P826" s="141"/>
      <c r="Q826" s="141"/>
    </row>
    <row r="827" spans="1:17" ht="13.5" customHeight="1" x14ac:dyDescent="0.15">
      <c r="A827" s="141"/>
      <c r="B827" s="154"/>
      <c r="C827" s="141"/>
      <c r="D827" s="153" t="s">
        <v>367</v>
      </c>
      <c r="E827" s="141"/>
      <c r="F827" s="141"/>
      <c r="G827" s="141"/>
      <c r="H827" s="141"/>
      <c r="I827" s="141"/>
      <c r="J827" s="141"/>
      <c r="K827" s="141"/>
      <c r="L827" s="141"/>
      <c r="M827" s="141"/>
      <c r="N827" s="141"/>
      <c r="O827" s="141"/>
      <c r="P827" s="141"/>
      <c r="Q827" s="141"/>
    </row>
    <row r="828" spans="1:17" ht="13.5" customHeight="1" x14ac:dyDescent="0.15">
      <c r="A828" s="141"/>
      <c r="B828" s="154"/>
      <c r="C828" s="141"/>
      <c r="D828" s="153" t="s">
        <v>367</v>
      </c>
      <c r="E828" s="141"/>
      <c r="F828" s="141"/>
      <c r="G828" s="141"/>
      <c r="H828" s="141"/>
      <c r="I828" s="141"/>
      <c r="J828" s="141"/>
      <c r="K828" s="141"/>
      <c r="L828" s="141"/>
      <c r="M828" s="141"/>
      <c r="N828" s="141"/>
      <c r="O828" s="141"/>
      <c r="P828" s="141"/>
      <c r="Q828" s="141"/>
    </row>
    <row r="829" spans="1:17" ht="13.5" customHeight="1" x14ac:dyDescent="0.15">
      <c r="A829" s="141"/>
      <c r="B829" s="154"/>
      <c r="C829" s="141"/>
      <c r="D829" s="153" t="s">
        <v>367</v>
      </c>
      <c r="E829" s="141"/>
      <c r="F829" s="141"/>
      <c r="G829" s="141"/>
      <c r="H829" s="141"/>
      <c r="I829" s="141"/>
      <c r="J829" s="141"/>
      <c r="K829" s="141"/>
      <c r="L829" s="141"/>
      <c r="M829" s="141"/>
      <c r="N829" s="141"/>
      <c r="O829" s="141"/>
      <c r="P829" s="141"/>
      <c r="Q829" s="141"/>
    </row>
    <row r="830" spans="1:17" ht="13.5" customHeight="1" x14ac:dyDescent="0.15">
      <c r="A830" s="141"/>
      <c r="B830" s="154"/>
      <c r="C830" s="141"/>
      <c r="D830" s="153" t="s">
        <v>367</v>
      </c>
      <c r="E830" s="141"/>
      <c r="F830" s="141"/>
      <c r="G830" s="141"/>
      <c r="H830" s="141"/>
      <c r="I830" s="141"/>
      <c r="J830" s="141"/>
      <c r="K830" s="141"/>
      <c r="L830" s="141"/>
      <c r="M830" s="141"/>
      <c r="N830" s="141"/>
      <c r="O830" s="141"/>
      <c r="P830" s="141"/>
      <c r="Q830" s="141"/>
    </row>
    <row r="831" spans="1:17" ht="13.5" customHeight="1" x14ac:dyDescent="0.15">
      <c r="A831" s="141"/>
      <c r="B831" s="154"/>
      <c r="C831" s="141"/>
      <c r="D831" s="153" t="s">
        <v>367</v>
      </c>
      <c r="E831" s="141"/>
      <c r="F831" s="141"/>
      <c r="G831" s="141"/>
      <c r="H831" s="141"/>
      <c r="I831" s="141"/>
      <c r="J831" s="141"/>
      <c r="K831" s="141"/>
      <c r="L831" s="141"/>
      <c r="M831" s="141"/>
      <c r="N831" s="141"/>
      <c r="O831" s="141"/>
      <c r="P831" s="141"/>
      <c r="Q831" s="141"/>
    </row>
    <row r="832" spans="1:17" ht="13.5" customHeight="1" x14ac:dyDescent="0.15">
      <c r="A832" s="141"/>
      <c r="B832" s="154"/>
      <c r="C832" s="141"/>
      <c r="D832" s="153" t="s">
        <v>367</v>
      </c>
      <c r="E832" s="141"/>
      <c r="F832" s="141"/>
      <c r="G832" s="141"/>
      <c r="H832" s="141"/>
      <c r="I832" s="141"/>
      <c r="J832" s="141"/>
      <c r="K832" s="141"/>
      <c r="L832" s="141"/>
      <c r="M832" s="141"/>
      <c r="N832" s="141"/>
      <c r="O832" s="141"/>
      <c r="P832" s="141"/>
      <c r="Q832" s="141"/>
    </row>
    <row r="833" spans="1:17" ht="13.5" customHeight="1" x14ac:dyDescent="0.15">
      <c r="A833" s="141"/>
      <c r="B833" s="154"/>
      <c r="C833" s="141"/>
      <c r="D833" s="153" t="s">
        <v>367</v>
      </c>
      <c r="E833" s="141"/>
      <c r="F833" s="141"/>
      <c r="G833" s="141"/>
      <c r="H833" s="141"/>
      <c r="I833" s="141"/>
      <c r="J833" s="141"/>
      <c r="K833" s="141"/>
      <c r="L833" s="141"/>
      <c r="M833" s="141"/>
      <c r="N833" s="141"/>
      <c r="O833" s="141"/>
      <c r="P833" s="141"/>
      <c r="Q833" s="141"/>
    </row>
    <row r="834" spans="1:17" ht="13.5" customHeight="1" x14ac:dyDescent="0.15">
      <c r="A834" s="141"/>
      <c r="B834" s="154"/>
      <c r="C834" s="141"/>
      <c r="D834" s="153" t="s">
        <v>367</v>
      </c>
      <c r="E834" s="141"/>
      <c r="F834" s="141"/>
      <c r="G834" s="141"/>
      <c r="H834" s="141"/>
      <c r="I834" s="141"/>
      <c r="J834" s="141"/>
      <c r="K834" s="141"/>
      <c r="L834" s="141"/>
      <c r="M834" s="141"/>
      <c r="N834" s="141"/>
      <c r="O834" s="141"/>
      <c r="P834" s="141"/>
      <c r="Q834" s="141"/>
    </row>
    <row r="835" spans="1:17" ht="13.5" customHeight="1" x14ac:dyDescent="0.15">
      <c r="A835" s="141"/>
      <c r="B835" s="154"/>
      <c r="C835" s="141"/>
      <c r="D835" s="153" t="s">
        <v>367</v>
      </c>
      <c r="E835" s="141"/>
      <c r="F835" s="141"/>
      <c r="G835" s="141"/>
      <c r="H835" s="141"/>
      <c r="I835" s="141"/>
      <c r="J835" s="141"/>
      <c r="K835" s="141"/>
      <c r="L835" s="141"/>
      <c r="M835" s="141"/>
      <c r="N835" s="141"/>
      <c r="O835" s="141"/>
      <c r="P835" s="141"/>
      <c r="Q835" s="141"/>
    </row>
    <row r="836" spans="1:17" ht="13.5" customHeight="1" x14ac:dyDescent="0.15">
      <c r="A836" s="141"/>
      <c r="B836" s="154"/>
      <c r="C836" s="141"/>
      <c r="D836" s="153" t="s">
        <v>367</v>
      </c>
      <c r="E836" s="141"/>
      <c r="F836" s="141"/>
      <c r="G836" s="141"/>
      <c r="H836" s="141"/>
      <c r="I836" s="141"/>
      <c r="J836" s="141"/>
      <c r="K836" s="141"/>
      <c r="L836" s="141"/>
      <c r="M836" s="141"/>
      <c r="N836" s="141"/>
      <c r="O836" s="141"/>
      <c r="P836" s="141"/>
      <c r="Q836" s="141"/>
    </row>
    <row r="837" spans="1:17" ht="13.5" customHeight="1" x14ac:dyDescent="0.15">
      <c r="A837" s="141"/>
      <c r="B837" s="154"/>
      <c r="C837" s="141"/>
      <c r="D837" s="153" t="s">
        <v>367</v>
      </c>
      <c r="E837" s="141"/>
      <c r="F837" s="141"/>
      <c r="G837" s="141"/>
      <c r="H837" s="141"/>
      <c r="I837" s="141"/>
      <c r="J837" s="141"/>
      <c r="K837" s="141"/>
      <c r="L837" s="141"/>
      <c r="M837" s="141"/>
      <c r="N837" s="141"/>
      <c r="O837" s="141"/>
      <c r="P837" s="141"/>
      <c r="Q837" s="141"/>
    </row>
    <row r="838" spans="1:17" ht="13.5" customHeight="1" x14ac:dyDescent="0.15">
      <c r="A838" s="141"/>
      <c r="B838" s="154"/>
      <c r="C838" s="141"/>
      <c r="D838" s="153" t="s">
        <v>367</v>
      </c>
      <c r="E838" s="141"/>
      <c r="F838" s="141"/>
      <c r="G838" s="141"/>
      <c r="H838" s="141"/>
      <c r="I838" s="141"/>
      <c r="J838" s="141"/>
      <c r="K838" s="141"/>
      <c r="L838" s="141"/>
      <c r="M838" s="141"/>
      <c r="N838" s="141"/>
      <c r="O838" s="141"/>
      <c r="P838" s="141"/>
      <c r="Q838" s="141"/>
    </row>
    <row r="839" spans="1:17" ht="13.5" customHeight="1" x14ac:dyDescent="0.15">
      <c r="A839" s="141"/>
      <c r="B839" s="154"/>
      <c r="C839" s="141"/>
      <c r="D839" s="153" t="s">
        <v>367</v>
      </c>
      <c r="E839" s="141"/>
      <c r="F839" s="141"/>
      <c r="G839" s="141"/>
      <c r="H839" s="141"/>
      <c r="I839" s="141"/>
      <c r="J839" s="141"/>
      <c r="K839" s="141"/>
      <c r="L839" s="141"/>
      <c r="M839" s="141"/>
      <c r="N839" s="141"/>
      <c r="O839" s="141"/>
      <c r="P839" s="141"/>
      <c r="Q839" s="141"/>
    </row>
    <row r="840" spans="1:17" ht="13.5" customHeight="1" x14ac:dyDescent="0.15">
      <c r="A840" s="141"/>
      <c r="B840" s="154"/>
      <c r="C840" s="141"/>
      <c r="D840" s="153" t="s">
        <v>367</v>
      </c>
      <c r="E840" s="141"/>
      <c r="F840" s="141"/>
      <c r="G840" s="141"/>
      <c r="H840" s="141"/>
      <c r="I840" s="141"/>
      <c r="J840" s="141"/>
      <c r="K840" s="141"/>
      <c r="L840" s="141"/>
      <c r="M840" s="141"/>
      <c r="N840" s="141"/>
      <c r="O840" s="141"/>
      <c r="P840" s="141"/>
      <c r="Q840" s="141"/>
    </row>
    <row r="841" spans="1:17" ht="13.5" customHeight="1" x14ac:dyDescent="0.15">
      <c r="A841" s="141"/>
      <c r="B841" s="154"/>
      <c r="C841" s="141"/>
      <c r="D841" s="153" t="s">
        <v>367</v>
      </c>
      <c r="E841" s="141"/>
      <c r="F841" s="141"/>
      <c r="G841" s="141"/>
      <c r="H841" s="141"/>
      <c r="I841" s="141"/>
      <c r="J841" s="141"/>
      <c r="K841" s="141"/>
      <c r="L841" s="141"/>
      <c r="M841" s="141"/>
      <c r="N841" s="141"/>
      <c r="O841" s="141"/>
      <c r="P841" s="141"/>
      <c r="Q841" s="141"/>
    </row>
    <row r="842" spans="1:17" ht="13.5" customHeight="1" x14ac:dyDescent="0.15">
      <c r="A842" s="141"/>
      <c r="B842" s="154"/>
      <c r="C842" s="141"/>
      <c r="D842" s="153" t="s">
        <v>367</v>
      </c>
      <c r="E842" s="141"/>
      <c r="F842" s="141"/>
      <c r="G842" s="141"/>
      <c r="H842" s="141"/>
      <c r="I842" s="141"/>
      <c r="J842" s="141"/>
      <c r="K842" s="141"/>
      <c r="L842" s="141"/>
      <c r="M842" s="141"/>
      <c r="N842" s="141"/>
      <c r="O842" s="141"/>
      <c r="P842" s="141"/>
      <c r="Q842" s="141"/>
    </row>
    <row r="843" spans="1:17" ht="13.5" customHeight="1" x14ac:dyDescent="0.15">
      <c r="A843" s="141"/>
      <c r="B843" s="154"/>
      <c r="C843" s="141"/>
      <c r="D843" s="153" t="s">
        <v>367</v>
      </c>
      <c r="E843" s="141"/>
      <c r="F843" s="141"/>
      <c r="G843" s="141"/>
      <c r="H843" s="141"/>
      <c r="I843" s="141"/>
      <c r="J843" s="141"/>
      <c r="K843" s="141"/>
      <c r="L843" s="141"/>
      <c r="M843" s="141"/>
      <c r="N843" s="141"/>
      <c r="O843" s="141"/>
      <c r="P843" s="141"/>
      <c r="Q843" s="141"/>
    </row>
    <row r="844" spans="1:17" ht="13.5" customHeight="1" x14ac:dyDescent="0.15">
      <c r="A844" s="141"/>
      <c r="B844" s="154"/>
      <c r="C844" s="141"/>
      <c r="D844" s="153" t="s">
        <v>367</v>
      </c>
      <c r="E844" s="141"/>
      <c r="F844" s="141"/>
      <c r="G844" s="141"/>
      <c r="H844" s="141"/>
      <c r="I844" s="141"/>
      <c r="J844" s="141"/>
      <c r="K844" s="141"/>
      <c r="L844" s="141"/>
      <c r="M844" s="141"/>
      <c r="N844" s="141"/>
      <c r="O844" s="141"/>
      <c r="P844" s="141"/>
      <c r="Q844" s="141"/>
    </row>
    <row r="845" spans="1:17" ht="13.5" customHeight="1" x14ac:dyDescent="0.15">
      <c r="A845" s="141"/>
      <c r="B845" s="154"/>
      <c r="C845" s="141"/>
      <c r="D845" s="153" t="s">
        <v>367</v>
      </c>
      <c r="E845" s="141"/>
      <c r="F845" s="141"/>
      <c r="G845" s="141"/>
      <c r="H845" s="141"/>
      <c r="I845" s="141"/>
      <c r="J845" s="141"/>
      <c r="K845" s="141"/>
      <c r="L845" s="141"/>
      <c r="M845" s="141"/>
      <c r="N845" s="141"/>
      <c r="O845" s="141"/>
      <c r="P845" s="141"/>
      <c r="Q845" s="141"/>
    </row>
    <row r="846" spans="1:17" ht="13.5" customHeight="1" x14ac:dyDescent="0.15">
      <c r="A846" s="141"/>
      <c r="B846" s="154"/>
      <c r="C846" s="141"/>
      <c r="D846" s="153" t="s">
        <v>367</v>
      </c>
      <c r="E846" s="141"/>
      <c r="F846" s="141"/>
      <c r="G846" s="141"/>
      <c r="H846" s="141"/>
      <c r="I846" s="141"/>
      <c r="J846" s="141"/>
      <c r="K846" s="141"/>
      <c r="L846" s="141"/>
      <c r="M846" s="141"/>
      <c r="N846" s="141"/>
      <c r="O846" s="141"/>
      <c r="P846" s="141"/>
      <c r="Q846" s="141"/>
    </row>
    <row r="847" spans="1:17" ht="13.5" customHeight="1" x14ac:dyDescent="0.15">
      <c r="A847" s="141"/>
      <c r="B847" s="154"/>
      <c r="C847" s="141"/>
      <c r="D847" s="153" t="s">
        <v>367</v>
      </c>
      <c r="E847" s="141"/>
      <c r="F847" s="141"/>
      <c r="G847" s="141"/>
      <c r="H847" s="141"/>
      <c r="I847" s="141"/>
      <c r="J847" s="141"/>
      <c r="K847" s="141"/>
      <c r="L847" s="141"/>
      <c r="M847" s="141"/>
      <c r="N847" s="141"/>
      <c r="O847" s="141"/>
      <c r="P847" s="141"/>
      <c r="Q847" s="141"/>
    </row>
    <row r="848" spans="1:17" ht="13.5" customHeight="1" x14ac:dyDescent="0.15">
      <c r="A848" s="141"/>
      <c r="B848" s="154"/>
      <c r="C848" s="141"/>
      <c r="D848" s="153" t="s">
        <v>367</v>
      </c>
      <c r="E848" s="141"/>
      <c r="F848" s="141"/>
      <c r="G848" s="141"/>
      <c r="H848" s="141"/>
      <c r="I848" s="141"/>
      <c r="J848" s="141"/>
      <c r="K848" s="141"/>
      <c r="L848" s="141"/>
      <c r="M848" s="141"/>
      <c r="N848" s="141"/>
      <c r="O848" s="141"/>
      <c r="P848" s="141"/>
      <c r="Q848" s="141"/>
    </row>
    <row r="849" spans="1:17" ht="13.5" customHeight="1" x14ac:dyDescent="0.15">
      <c r="A849" s="141"/>
      <c r="B849" s="154"/>
      <c r="C849" s="141"/>
      <c r="D849" s="153" t="s">
        <v>367</v>
      </c>
      <c r="E849" s="141"/>
      <c r="F849" s="141"/>
      <c r="G849" s="141"/>
      <c r="H849" s="141"/>
      <c r="I849" s="141"/>
      <c r="J849" s="141"/>
      <c r="K849" s="141"/>
      <c r="L849" s="141"/>
      <c r="M849" s="141"/>
      <c r="N849" s="141"/>
      <c r="O849" s="141"/>
      <c r="P849" s="141"/>
      <c r="Q849" s="141"/>
    </row>
    <row r="850" spans="1:17" ht="13.5" customHeight="1" x14ac:dyDescent="0.15">
      <c r="A850" s="141"/>
      <c r="B850" s="154"/>
      <c r="C850" s="141"/>
      <c r="D850" s="153" t="s">
        <v>367</v>
      </c>
      <c r="E850" s="141"/>
      <c r="F850" s="141"/>
      <c r="G850" s="141"/>
      <c r="H850" s="141"/>
      <c r="I850" s="141"/>
      <c r="J850" s="141"/>
      <c r="K850" s="141"/>
      <c r="L850" s="141"/>
      <c r="M850" s="141"/>
      <c r="N850" s="141"/>
      <c r="O850" s="141"/>
      <c r="P850" s="141"/>
      <c r="Q850" s="141"/>
    </row>
    <row r="851" spans="1:17" ht="13.5" customHeight="1" x14ac:dyDescent="0.15">
      <c r="A851" s="141"/>
      <c r="B851" s="154"/>
      <c r="C851" s="141"/>
      <c r="D851" s="153" t="s">
        <v>367</v>
      </c>
      <c r="E851" s="141"/>
      <c r="F851" s="141"/>
      <c r="G851" s="141"/>
      <c r="H851" s="141"/>
      <c r="I851" s="141"/>
      <c r="J851" s="141"/>
      <c r="K851" s="141"/>
      <c r="L851" s="141"/>
      <c r="M851" s="141"/>
      <c r="N851" s="141"/>
      <c r="O851" s="141"/>
      <c r="P851" s="141"/>
      <c r="Q851" s="141"/>
    </row>
    <row r="852" spans="1:17" ht="13.5" customHeight="1" x14ac:dyDescent="0.15">
      <c r="A852" s="141"/>
      <c r="B852" s="154"/>
      <c r="C852" s="141"/>
      <c r="D852" s="153" t="s">
        <v>367</v>
      </c>
      <c r="E852" s="141"/>
      <c r="F852" s="141"/>
      <c r="G852" s="141"/>
      <c r="H852" s="141"/>
      <c r="I852" s="141"/>
      <c r="J852" s="141"/>
      <c r="K852" s="141"/>
      <c r="L852" s="141"/>
      <c r="M852" s="141"/>
      <c r="N852" s="141"/>
      <c r="O852" s="141"/>
      <c r="P852" s="141"/>
      <c r="Q852" s="141"/>
    </row>
    <row r="853" spans="1:17" ht="13.5" customHeight="1" x14ac:dyDescent="0.15">
      <c r="A853" s="141"/>
      <c r="B853" s="154"/>
      <c r="C853" s="141"/>
      <c r="D853" s="153" t="s">
        <v>367</v>
      </c>
      <c r="E853" s="141"/>
      <c r="F853" s="141"/>
      <c r="G853" s="141"/>
      <c r="H853" s="141"/>
      <c r="I853" s="141"/>
      <c r="J853" s="141"/>
      <c r="K853" s="141"/>
      <c r="L853" s="141"/>
      <c r="M853" s="141"/>
      <c r="N853" s="141"/>
      <c r="O853" s="141"/>
      <c r="P853" s="141"/>
      <c r="Q853" s="141"/>
    </row>
    <row r="854" spans="1:17" ht="13.5" customHeight="1" x14ac:dyDescent="0.15">
      <c r="A854" s="141"/>
      <c r="B854" s="154"/>
      <c r="C854" s="141"/>
      <c r="D854" s="153" t="s">
        <v>367</v>
      </c>
      <c r="E854" s="141"/>
      <c r="F854" s="141"/>
      <c r="G854" s="141"/>
      <c r="H854" s="141"/>
      <c r="I854" s="141"/>
      <c r="J854" s="141"/>
      <c r="K854" s="141"/>
      <c r="L854" s="141"/>
      <c r="M854" s="141"/>
      <c r="N854" s="141"/>
      <c r="O854" s="141"/>
      <c r="P854" s="141"/>
      <c r="Q854" s="141"/>
    </row>
    <row r="855" spans="1:17" ht="13.5" customHeight="1" x14ac:dyDescent="0.15">
      <c r="A855" s="141"/>
      <c r="B855" s="154"/>
      <c r="C855" s="141"/>
      <c r="D855" s="153" t="s">
        <v>367</v>
      </c>
      <c r="E855" s="141"/>
      <c r="F855" s="141"/>
      <c r="G855" s="141"/>
      <c r="H855" s="141"/>
      <c r="I855" s="141"/>
      <c r="J855" s="141"/>
      <c r="K855" s="141"/>
      <c r="L855" s="141"/>
      <c r="M855" s="141"/>
      <c r="N855" s="141"/>
      <c r="O855" s="141"/>
      <c r="P855" s="141"/>
      <c r="Q855" s="141"/>
    </row>
    <row r="856" spans="1:17" ht="13.5" customHeight="1" x14ac:dyDescent="0.15">
      <c r="A856" s="141"/>
      <c r="B856" s="154"/>
      <c r="C856" s="141"/>
      <c r="D856" s="153" t="s">
        <v>367</v>
      </c>
      <c r="E856" s="141"/>
      <c r="F856" s="141"/>
      <c r="G856" s="141"/>
      <c r="H856" s="141"/>
      <c r="I856" s="141"/>
      <c r="J856" s="141"/>
      <c r="K856" s="141"/>
      <c r="L856" s="141"/>
      <c r="M856" s="141"/>
      <c r="N856" s="141"/>
      <c r="O856" s="141"/>
      <c r="P856" s="141"/>
      <c r="Q856" s="141"/>
    </row>
    <row r="857" spans="1:17" ht="13.5" customHeight="1" x14ac:dyDescent="0.15">
      <c r="A857" s="141"/>
      <c r="B857" s="154"/>
      <c r="C857" s="141"/>
      <c r="D857" s="153" t="s">
        <v>367</v>
      </c>
      <c r="E857" s="141"/>
      <c r="F857" s="141"/>
      <c r="G857" s="141"/>
      <c r="H857" s="141"/>
      <c r="I857" s="141"/>
      <c r="J857" s="141"/>
      <c r="K857" s="141"/>
      <c r="L857" s="141"/>
      <c r="M857" s="141"/>
      <c r="N857" s="141"/>
      <c r="O857" s="141"/>
      <c r="P857" s="141"/>
      <c r="Q857" s="141"/>
    </row>
    <row r="858" spans="1:17" ht="13.5" customHeight="1" x14ac:dyDescent="0.15">
      <c r="A858" s="141"/>
      <c r="B858" s="154"/>
      <c r="C858" s="141"/>
      <c r="D858" s="153" t="s">
        <v>367</v>
      </c>
      <c r="E858" s="141"/>
      <c r="F858" s="141"/>
      <c r="G858" s="141"/>
      <c r="H858" s="141"/>
      <c r="I858" s="141"/>
      <c r="J858" s="141"/>
      <c r="K858" s="141"/>
      <c r="L858" s="141"/>
      <c r="M858" s="141"/>
      <c r="N858" s="141"/>
      <c r="O858" s="141"/>
      <c r="P858" s="141"/>
      <c r="Q858" s="141"/>
    </row>
    <row r="859" spans="1:17" ht="13.5" customHeight="1" x14ac:dyDescent="0.15">
      <c r="A859" s="141"/>
      <c r="B859" s="154"/>
      <c r="C859" s="141"/>
      <c r="D859" s="153" t="s">
        <v>367</v>
      </c>
      <c r="E859" s="141"/>
      <c r="F859" s="141"/>
      <c r="G859" s="141"/>
      <c r="H859" s="141"/>
      <c r="I859" s="141"/>
      <c r="J859" s="141"/>
      <c r="K859" s="141"/>
      <c r="L859" s="141"/>
      <c r="M859" s="141"/>
      <c r="N859" s="141"/>
      <c r="O859" s="141"/>
      <c r="P859" s="141"/>
      <c r="Q859" s="141"/>
    </row>
    <row r="860" spans="1:17" ht="13.5" customHeight="1" x14ac:dyDescent="0.15">
      <c r="A860" s="141"/>
      <c r="B860" s="154"/>
      <c r="C860" s="141"/>
      <c r="D860" s="153" t="s">
        <v>367</v>
      </c>
      <c r="E860" s="141"/>
      <c r="F860" s="141"/>
      <c r="G860" s="141"/>
      <c r="H860" s="141"/>
      <c r="I860" s="141"/>
      <c r="J860" s="141"/>
      <c r="K860" s="141"/>
      <c r="L860" s="141"/>
      <c r="M860" s="141"/>
      <c r="N860" s="141"/>
      <c r="O860" s="141"/>
      <c r="P860" s="141"/>
      <c r="Q860" s="141"/>
    </row>
    <row r="861" spans="1:17" ht="13.5" customHeight="1" x14ac:dyDescent="0.15">
      <c r="A861" s="141"/>
      <c r="B861" s="154"/>
      <c r="C861" s="141"/>
      <c r="D861" s="153" t="s">
        <v>367</v>
      </c>
      <c r="E861" s="141"/>
      <c r="F861" s="141"/>
      <c r="G861" s="141"/>
      <c r="H861" s="141"/>
      <c r="I861" s="141"/>
      <c r="J861" s="141"/>
      <c r="K861" s="141"/>
      <c r="L861" s="141"/>
      <c r="M861" s="141"/>
      <c r="N861" s="141"/>
      <c r="O861" s="141"/>
      <c r="P861" s="141"/>
      <c r="Q861" s="141"/>
    </row>
    <row r="862" spans="1:17" ht="13.5" customHeight="1" x14ac:dyDescent="0.15">
      <c r="A862" s="141"/>
      <c r="B862" s="154"/>
      <c r="C862" s="141"/>
      <c r="D862" s="153" t="s">
        <v>367</v>
      </c>
      <c r="E862" s="141"/>
      <c r="F862" s="141"/>
      <c r="G862" s="141"/>
      <c r="H862" s="141"/>
      <c r="I862" s="141"/>
      <c r="J862" s="141"/>
      <c r="K862" s="141"/>
      <c r="L862" s="141"/>
      <c r="M862" s="141"/>
      <c r="N862" s="141"/>
      <c r="O862" s="141"/>
      <c r="P862" s="141"/>
      <c r="Q862" s="141"/>
    </row>
    <row r="863" spans="1:17" ht="13.5" customHeight="1" x14ac:dyDescent="0.15">
      <c r="A863" s="141"/>
      <c r="B863" s="154"/>
      <c r="C863" s="141"/>
      <c r="D863" s="153" t="s">
        <v>367</v>
      </c>
      <c r="E863" s="141"/>
      <c r="F863" s="141"/>
      <c r="G863" s="141"/>
      <c r="H863" s="141"/>
      <c r="I863" s="141"/>
      <c r="J863" s="141"/>
      <c r="K863" s="141"/>
      <c r="L863" s="141"/>
      <c r="M863" s="141"/>
      <c r="N863" s="141"/>
      <c r="O863" s="141"/>
      <c r="P863" s="141"/>
      <c r="Q863" s="141"/>
    </row>
    <row r="864" spans="1:17" ht="13.5" customHeight="1" x14ac:dyDescent="0.15">
      <c r="A864" s="141"/>
      <c r="B864" s="154"/>
      <c r="C864" s="141"/>
      <c r="D864" s="153" t="s">
        <v>367</v>
      </c>
      <c r="E864" s="141"/>
      <c r="F864" s="141"/>
      <c r="G864" s="141"/>
      <c r="H864" s="141"/>
      <c r="I864" s="141"/>
      <c r="J864" s="141"/>
      <c r="K864" s="141"/>
      <c r="L864" s="141"/>
      <c r="M864" s="141"/>
      <c r="N864" s="141"/>
      <c r="O864" s="141"/>
      <c r="P864" s="141"/>
      <c r="Q864" s="141"/>
    </row>
    <row r="865" spans="1:17" ht="13.5" customHeight="1" x14ac:dyDescent="0.15">
      <c r="A865" s="141"/>
      <c r="B865" s="154"/>
      <c r="C865" s="141"/>
      <c r="D865" s="153" t="s">
        <v>367</v>
      </c>
      <c r="E865" s="141"/>
      <c r="F865" s="141"/>
      <c r="G865" s="141"/>
      <c r="H865" s="141"/>
      <c r="I865" s="141"/>
      <c r="J865" s="141"/>
      <c r="K865" s="141"/>
      <c r="L865" s="141"/>
      <c r="M865" s="141"/>
      <c r="N865" s="141"/>
      <c r="O865" s="141"/>
      <c r="P865" s="141"/>
      <c r="Q865" s="141"/>
    </row>
    <row r="866" spans="1:17" ht="13.5" customHeight="1" x14ac:dyDescent="0.15">
      <c r="A866" s="141"/>
      <c r="B866" s="154"/>
      <c r="C866" s="141"/>
      <c r="D866" s="153" t="s">
        <v>367</v>
      </c>
      <c r="E866" s="141"/>
      <c r="F866" s="141"/>
      <c r="G866" s="141"/>
      <c r="H866" s="141"/>
      <c r="I866" s="141"/>
      <c r="J866" s="141"/>
      <c r="K866" s="141"/>
      <c r="L866" s="141"/>
      <c r="M866" s="141"/>
      <c r="N866" s="141"/>
      <c r="O866" s="141"/>
      <c r="P866" s="141"/>
      <c r="Q866" s="141"/>
    </row>
    <row r="867" spans="1:17" ht="13.5" customHeight="1" x14ac:dyDescent="0.15">
      <c r="A867" s="141"/>
      <c r="B867" s="154"/>
      <c r="C867" s="141"/>
      <c r="D867" s="153" t="s">
        <v>367</v>
      </c>
      <c r="E867" s="141"/>
      <c r="F867" s="141"/>
      <c r="G867" s="141"/>
      <c r="H867" s="141"/>
      <c r="I867" s="141"/>
      <c r="J867" s="141"/>
      <c r="K867" s="141"/>
      <c r="L867" s="141"/>
      <c r="M867" s="141"/>
      <c r="N867" s="141"/>
      <c r="O867" s="141"/>
      <c r="P867" s="141"/>
      <c r="Q867" s="141"/>
    </row>
    <row r="868" spans="1:17" ht="13.5" customHeight="1" x14ac:dyDescent="0.15">
      <c r="A868" s="141"/>
      <c r="B868" s="154"/>
      <c r="C868" s="141"/>
      <c r="D868" s="153" t="s">
        <v>367</v>
      </c>
      <c r="E868" s="141"/>
      <c r="F868" s="141"/>
      <c r="G868" s="141"/>
      <c r="H868" s="141"/>
      <c r="I868" s="141"/>
      <c r="J868" s="141"/>
      <c r="K868" s="141"/>
      <c r="L868" s="141"/>
      <c r="M868" s="141"/>
      <c r="N868" s="141"/>
      <c r="O868" s="141"/>
      <c r="P868" s="141"/>
      <c r="Q868" s="141"/>
    </row>
    <row r="869" spans="1:17" ht="13.5" customHeight="1" x14ac:dyDescent="0.15">
      <c r="A869" s="141"/>
      <c r="B869" s="154"/>
      <c r="C869" s="141"/>
      <c r="D869" s="153" t="s">
        <v>367</v>
      </c>
      <c r="E869" s="141"/>
      <c r="F869" s="141"/>
      <c r="G869" s="141"/>
      <c r="H869" s="141"/>
      <c r="I869" s="141"/>
      <c r="J869" s="141"/>
      <c r="K869" s="141"/>
      <c r="L869" s="141"/>
      <c r="M869" s="141"/>
      <c r="N869" s="141"/>
      <c r="O869" s="141"/>
      <c r="P869" s="141"/>
      <c r="Q869" s="141"/>
    </row>
    <row r="870" spans="1:17" ht="13.5" customHeight="1" x14ac:dyDescent="0.15">
      <c r="A870" s="141"/>
      <c r="B870" s="154"/>
      <c r="C870" s="141"/>
      <c r="D870" s="153" t="s">
        <v>367</v>
      </c>
      <c r="E870" s="141"/>
      <c r="F870" s="141"/>
      <c r="G870" s="141"/>
      <c r="H870" s="141"/>
      <c r="I870" s="141"/>
      <c r="J870" s="141"/>
      <c r="K870" s="141"/>
      <c r="L870" s="141"/>
      <c r="M870" s="141"/>
      <c r="N870" s="141"/>
      <c r="O870" s="141"/>
      <c r="P870" s="141"/>
      <c r="Q870" s="141"/>
    </row>
    <row r="871" spans="1:17" ht="13.5" customHeight="1" x14ac:dyDescent="0.15">
      <c r="A871" s="141"/>
      <c r="B871" s="154"/>
      <c r="C871" s="141"/>
      <c r="D871" s="153" t="s">
        <v>367</v>
      </c>
      <c r="E871" s="141"/>
      <c r="F871" s="141"/>
      <c r="G871" s="141"/>
      <c r="H871" s="141"/>
      <c r="I871" s="141"/>
      <c r="J871" s="141"/>
      <c r="K871" s="141"/>
      <c r="L871" s="141"/>
      <c r="M871" s="141"/>
      <c r="N871" s="141"/>
      <c r="O871" s="141"/>
      <c r="P871" s="141"/>
      <c r="Q871" s="141"/>
    </row>
    <row r="872" spans="1:17" ht="13.5" customHeight="1" x14ac:dyDescent="0.15">
      <c r="A872" s="141"/>
      <c r="B872" s="154"/>
      <c r="C872" s="141"/>
      <c r="D872" s="153" t="s">
        <v>367</v>
      </c>
      <c r="E872" s="141"/>
      <c r="F872" s="141"/>
      <c r="G872" s="141"/>
      <c r="H872" s="141"/>
      <c r="I872" s="141"/>
      <c r="J872" s="141"/>
      <c r="K872" s="141"/>
      <c r="L872" s="141"/>
      <c r="M872" s="141"/>
      <c r="N872" s="141"/>
      <c r="O872" s="141"/>
      <c r="P872" s="141"/>
      <c r="Q872" s="141"/>
    </row>
    <row r="873" spans="1:17" ht="13.5" customHeight="1" x14ac:dyDescent="0.15">
      <c r="A873" s="141"/>
      <c r="B873" s="154"/>
      <c r="C873" s="141"/>
      <c r="D873" s="153" t="s">
        <v>367</v>
      </c>
      <c r="E873" s="141"/>
      <c r="F873" s="141"/>
      <c r="G873" s="141"/>
      <c r="H873" s="141"/>
      <c r="I873" s="141"/>
      <c r="J873" s="141"/>
      <c r="K873" s="141"/>
      <c r="L873" s="141"/>
      <c r="M873" s="141"/>
      <c r="N873" s="141"/>
      <c r="O873" s="141"/>
      <c r="P873" s="141"/>
      <c r="Q873" s="141"/>
    </row>
    <row r="874" spans="1:17" ht="13.5" customHeight="1" x14ac:dyDescent="0.15">
      <c r="A874" s="141"/>
      <c r="B874" s="154"/>
      <c r="C874" s="141"/>
      <c r="D874" s="153" t="s">
        <v>367</v>
      </c>
      <c r="E874" s="141"/>
      <c r="F874" s="141"/>
      <c r="G874" s="141"/>
      <c r="H874" s="141"/>
      <c r="I874" s="141"/>
      <c r="J874" s="141"/>
      <c r="K874" s="141"/>
      <c r="L874" s="141"/>
      <c r="M874" s="141"/>
      <c r="N874" s="141"/>
      <c r="O874" s="141"/>
      <c r="P874" s="141"/>
      <c r="Q874" s="141"/>
    </row>
    <row r="875" spans="1:17" ht="13.5" customHeight="1" x14ac:dyDescent="0.15">
      <c r="A875" s="141"/>
      <c r="B875" s="154"/>
      <c r="C875" s="141"/>
      <c r="D875" s="153" t="s">
        <v>367</v>
      </c>
      <c r="E875" s="141"/>
      <c r="F875" s="141"/>
      <c r="G875" s="141"/>
      <c r="H875" s="141"/>
      <c r="I875" s="141"/>
      <c r="J875" s="141"/>
      <c r="K875" s="141"/>
      <c r="L875" s="141"/>
      <c r="M875" s="141"/>
      <c r="N875" s="141"/>
      <c r="O875" s="141"/>
      <c r="P875" s="141"/>
      <c r="Q875" s="141"/>
    </row>
    <row r="876" spans="1:17" ht="13.5" customHeight="1" x14ac:dyDescent="0.15">
      <c r="A876" s="141"/>
      <c r="B876" s="154"/>
      <c r="C876" s="141"/>
      <c r="D876" s="153" t="s">
        <v>367</v>
      </c>
      <c r="E876" s="141"/>
      <c r="F876" s="141"/>
      <c r="G876" s="141"/>
      <c r="H876" s="141"/>
      <c r="I876" s="141"/>
      <c r="J876" s="141"/>
      <c r="K876" s="141"/>
      <c r="L876" s="141"/>
      <c r="M876" s="141"/>
      <c r="N876" s="141"/>
      <c r="O876" s="141"/>
      <c r="P876" s="141"/>
      <c r="Q876" s="141"/>
    </row>
    <row r="877" spans="1:17" ht="13.5" customHeight="1" x14ac:dyDescent="0.15">
      <c r="A877" s="141"/>
      <c r="B877" s="154"/>
      <c r="C877" s="141"/>
      <c r="D877" s="153" t="s">
        <v>367</v>
      </c>
      <c r="E877" s="141"/>
      <c r="F877" s="141"/>
      <c r="G877" s="141"/>
      <c r="H877" s="141"/>
      <c r="I877" s="141"/>
      <c r="J877" s="141"/>
      <c r="K877" s="141"/>
      <c r="L877" s="141"/>
      <c r="M877" s="141"/>
      <c r="N877" s="141"/>
      <c r="O877" s="141"/>
      <c r="P877" s="141"/>
      <c r="Q877" s="141"/>
    </row>
    <row r="878" spans="1:17" ht="13.5" customHeight="1" x14ac:dyDescent="0.15">
      <c r="A878" s="141"/>
      <c r="B878" s="154"/>
      <c r="C878" s="141"/>
      <c r="D878" s="153" t="s">
        <v>367</v>
      </c>
      <c r="E878" s="141"/>
      <c r="F878" s="141"/>
      <c r="G878" s="141"/>
      <c r="H878" s="141"/>
      <c r="I878" s="141"/>
      <c r="J878" s="141"/>
      <c r="K878" s="141"/>
      <c r="L878" s="141"/>
      <c r="M878" s="141"/>
      <c r="N878" s="141"/>
      <c r="O878" s="141"/>
      <c r="P878" s="141"/>
      <c r="Q878" s="141"/>
    </row>
    <row r="879" spans="1:17" ht="13.5" customHeight="1" x14ac:dyDescent="0.15">
      <c r="A879" s="141"/>
      <c r="B879" s="154"/>
      <c r="C879" s="141"/>
      <c r="D879" s="153" t="s">
        <v>367</v>
      </c>
      <c r="E879" s="141"/>
      <c r="F879" s="141"/>
      <c r="G879" s="141"/>
      <c r="H879" s="141"/>
      <c r="I879" s="141"/>
      <c r="J879" s="141"/>
      <c r="K879" s="141"/>
      <c r="L879" s="141"/>
      <c r="M879" s="141"/>
      <c r="N879" s="141"/>
      <c r="O879" s="141"/>
      <c r="P879" s="141"/>
      <c r="Q879" s="141"/>
    </row>
    <row r="880" spans="1:17" ht="13.5" customHeight="1" x14ac:dyDescent="0.15">
      <c r="A880" s="141"/>
      <c r="B880" s="154"/>
      <c r="C880" s="141"/>
      <c r="D880" s="153" t="s">
        <v>367</v>
      </c>
      <c r="E880" s="141"/>
      <c r="F880" s="141"/>
      <c r="G880" s="141"/>
      <c r="H880" s="141"/>
      <c r="I880" s="141"/>
      <c r="J880" s="141"/>
      <c r="K880" s="141"/>
      <c r="L880" s="141"/>
      <c r="M880" s="141"/>
      <c r="N880" s="141"/>
      <c r="O880" s="141"/>
      <c r="P880" s="141"/>
      <c r="Q880" s="141"/>
    </row>
    <row r="881" spans="1:17" ht="13.5" customHeight="1" x14ac:dyDescent="0.15">
      <c r="A881" s="141"/>
      <c r="B881" s="154"/>
      <c r="C881" s="141"/>
      <c r="D881" s="153" t="s">
        <v>367</v>
      </c>
      <c r="E881" s="141"/>
      <c r="F881" s="141"/>
      <c r="G881" s="141"/>
      <c r="H881" s="141"/>
      <c r="I881" s="141"/>
      <c r="J881" s="141"/>
      <c r="K881" s="141"/>
      <c r="L881" s="141"/>
      <c r="M881" s="141"/>
      <c r="N881" s="141"/>
      <c r="O881" s="141"/>
      <c r="P881" s="141"/>
      <c r="Q881" s="141"/>
    </row>
    <row r="882" spans="1:17" ht="13.5" customHeight="1" x14ac:dyDescent="0.15">
      <c r="A882" s="141"/>
      <c r="B882" s="154"/>
      <c r="C882" s="141"/>
      <c r="D882" s="153" t="s">
        <v>367</v>
      </c>
      <c r="E882" s="141"/>
      <c r="F882" s="141"/>
      <c r="G882" s="141"/>
      <c r="H882" s="141"/>
      <c r="I882" s="141"/>
      <c r="J882" s="141"/>
      <c r="K882" s="141"/>
      <c r="L882" s="141"/>
      <c r="M882" s="141"/>
      <c r="N882" s="141"/>
      <c r="O882" s="141"/>
      <c r="P882" s="141"/>
      <c r="Q882" s="141"/>
    </row>
    <row r="883" spans="1:17" ht="13.5" customHeight="1" x14ac:dyDescent="0.15">
      <c r="A883" s="141"/>
      <c r="B883" s="154"/>
      <c r="C883" s="141"/>
      <c r="D883" s="153" t="s">
        <v>367</v>
      </c>
      <c r="E883" s="141"/>
      <c r="F883" s="141"/>
      <c r="G883" s="141"/>
      <c r="H883" s="141"/>
      <c r="I883" s="141"/>
      <c r="J883" s="141"/>
      <c r="K883" s="141"/>
      <c r="L883" s="141"/>
      <c r="M883" s="141"/>
      <c r="N883" s="141"/>
      <c r="O883" s="141"/>
      <c r="P883" s="141"/>
      <c r="Q883" s="141"/>
    </row>
    <row r="884" spans="1:17" ht="13.5" customHeight="1" x14ac:dyDescent="0.15">
      <c r="A884" s="141"/>
      <c r="B884" s="154"/>
      <c r="C884" s="141"/>
      <c r="D884" s="153" t="s">
        <v>367</v>
      </c>
      <c r="E884" s="141"/>
      <c r="F884" s="141"/>
      <c r="G884" s="141"/>
      <c r="H884" s="141"/>
      <c r="I884" s="141"/>
      <c r="J884" s="141"/>
      <c r="K884" s="141"/>
      <c r="L884" s="141"/>
      <c r="M884" s="141"/>
      <c r="N884" s="141"/>
      <c r="O884" s="141"/>
      <c r="P884" s="141"/>
      <c r="Q884" s="141"/>
    </row>
    <row r="885" spans="1:17" ht="13.5" customHeight="1" x14ac:dyDescent="0.15">
      <c r="A885" s="141"/>
      <c r="B885" s="154"/>
      <c r="C885" s="141"/>
      <c r="D885" s="153" t="s">
        <v>367</v>
      </c>
      <c r="E885" s="141"/>
      <c r="F885" s="141"/>
      <c r="G885" s="141"/>
      <c r="H885" s="141"/>
      <c r="I885" s="141"/>
      <c r="J885" s="141"/>
      <c r="K885" s="141"/>
      <c r="L885" s="141"/>
      <c r="M885" s="141"/>
      <c r="N885" s="141"/>
      <c r="O885" s="141"/>
      <c r="P885" s="141"/>
      <c r="Q885" s="141"/>
    </row>
    <row r="886" spans="1:17" ht="13.5" customHeight="1" x14ac:dyDescent="0.15">
      <c r="A886" s="141"/>
      <c r="B886" s="154"/>
      <c r="C886" s="141"/>
      <c r="D886" s="153" t="s">
        <v>367</v>
      </c>
      <c r="E886" s="141"/>
      <c r="F886" s="141"/>
      <c r="G886" s="141"/>
      <c r="H886" s="141"/>
      <c r="I886" s="141"/>
      <c r="J886" s="141"/>
      <c r="K886" s="141"/>
      <c r="L886" s="141"/>
      <c r="M886" s="141"/>
      <c r="N886" s="141"/>
      <c r="O886" s="141"/>
      <c r="P886" s="141"/>
      <c r="Q886" s="141"/>
    </row>
    <row r="887" spans="1:17" ht="13.5" customHeight="1" x14ac:dyDescent="0.15">
      <c r="A887" s="141"/>
      <c r="B887" s="154"/>
      <c r="C887" s="141"/>
      <c r="D887" s="153" t="s">
        <v>367</v>
      </c>
      <c r="E887" s="141"/>
      <c r="F887" s="141"/>
      <c r="G887" s="141"/>
      <c r="H887" s="141"/>
      <c r="I887" s="141"/>
      <c r="J887" s="141"/>
      <c r="K887" s="141"/>
      <c r="L887" s="141"/>
      <c r="M887" s="141"/>
      <c r="N887" s="141"/>
      <c r="O887" s="141"/>
      <c r="P887" s="141"/>
      <c r="Q887" s="141"/>
    </row>
    <row r="888" spans="1:17" ht="13.5" customHeight="1" x14ac:dyDescent="0.15">
      <c r="A888" s="141"/>
      <c r="B888" s="154"/>
      <c r="C888" s="141"/>
      <c r="D888" s="153" t="s">
        <v>367</v>
      </c>
      <c r="E888" s="141"/>
      <c r="F888" s="141"/>
      <c r="G888" s="141"/>
      <c r="H888" s="141"/>
      <c r="I888" s="141"/>
      <c r="J888" s="141"/>
      <c r="K888" s="141"/>
      <c r="L888" s="141"/>
      <c r="M888" s="141"/>
      <c r="N888" s="141"/>
      <c r="O888" s="141"/>
      <c r="P888" s="141"/>
      <c r="Q888" s="141"/>
    </row>
    <row r="889" spans="1:17" ht="13.5" customHeight="1" x14ac:dyDescent="0.15">
      <c r="A889" s="141"/>
      <c r="B889" s="154"/>
      <c r="C889" s="141"/>
      <c r="D889" s="153" t="s">
        <v>367</v>
      </c>
      <c r="E889" s="141"/>
      <c r="F889" s="141"/>
      <c r="G889" s="141"/>
      <c r="H889" s="141"/>
      <c r="I889" s="141"/>
      <c r="J889" s="141"/>
      <c r="K889" s="141"/>
      <c r="L889" s="141"/>
      <c r="M889" s="141"/>
      <c r="N889" s="141"/>
      <c r="O889" s="141"/>
      <c r="P889" s="141"/>
      <c r="Q889" s="141"/>
    </row>
    <row r="890" spans="1:17" ht="13.5" customHeight="1" x14ac:dyDescent="0.15">
      <c r="A890" s="141"/>
      <c r="B890" s="154"/>
      <c r="C890" s="141"/>
      <c r="D890" s="153" t="s">
        <v>367</v>
      </c>
      <c r="E890" s="141"/>
      <c r="F890" s="141"/>
      <c r="G890" s="141"/>
      <c r="H890" s="141"/>
      <c r="I890" s="141"/>
      <c r="J890" s="141"/>
      <c r="K890" s="141"/>
      <c r="L890" s="141"/>
      <c r="M890" s="141"/>
      <c r="N890" s="141"/>
      <c r="O890" s="141"/>
      <c r="P890" s="141"/>
      <c r="Q890" s="141"/>
    </row>
    <row r="891" spans="1:17" ht="13.5" customHeight="1" x14ac:dyDescent="0.15">
      <c r="A891" s="141"/>
      <c r="B891" s="154"/>
      <c r="C891" s="141"/>
      <c r="D891" s="153" t="s">
        <v>367</v>
      </c>
      <c r="E891" s="141"/>
      <c r="F891" s="141"/>
      <c r="G891" s="141"/>
      <c r="H891" s="141"/>
      <c r="I891" s="141"/>
      <c r="J891" s="141"/>
      <c r="K891" s="141"/>
      <c r="L891" s="141"/>
      <c r="M891" s="141"/>
      <c r="N891" s="141"/>
      <c r="O891" s="141"/>
      <c r="P891" s="141"/>
      <c r="Q891" s="141"/>
    </row>
    <row r="892" spans="1:17" ht="13.5" customHeight="1" x14ac:dyDescent="0.15">
      <c r="A892" s="141"/>
      <c r="B892" s="154"/>
      <c r="C892" s="141"/>
      <c r="D892" s="153" t="s">
        <v>367</v>
      </c>
      <c r="E892" s="141"/>
      <c r="F892" s="141"/>
      <c r="G892" s="141"/>
      <c r="H892" s="141"/>
      <c r="I892" s="141"/>
      <c r="J892" s="141"/>
      <c r="K892" s="141"/>
      <c r="L892" s="141"/>
      <c r="M892" s="141"/>
      <c r="N892" s="141"/>
      <c r="O892" s="141"/>
      <c r="P892" s="141"/>
      <c r="Q892" s="141"/>
    </row>
    <row r="893" spans="1:17" ht="13.5" customHeight="1" x14ac:dyDescent="0.15">
      <c r="A893" s="141"/>
      <c r="B893" s="154"/>
      <c r="C893" s="141"/>
      <c r="D893" s="153" t="s">
        <v>367</v>
      </c>
      <c r="E893" s="141"/>
      <c r="F893" s="141"/>
      <c r="G893" s="141"/>
      <c r="H893" s="141"/>
      <c r="I893" s="141"/>
      <c r="J893" s="141"/>
      <c r="K893" s="141"/>
      <c r="L893" s="141"/>
      <c r="M893" s="141"/>
      <c r="N893" s="141"/>
      <c r="O893" s="141"/>
      <c r="P893" s="141"/>
      <c r="Q893" s="141"/>
    </row>
    <row r="894" spans="1:17" ht="13.5" customHeight="1" x14ac:dyDescent="0.15">
      <c r="A894" s="141"/>
      <c r="B894" s="154"/>
      <c r="C894" s="141"/>
      <c r="D894" s="153" t="s">
        <v>367</v>
      </c>
      <c r="E894" s="141"/>
      <c r="F894" s="141"/>
      <c r="G894" s="141"/>
      <c r="H894" s="141"/>
      <c r="I894" s="141"/>
      <c r="J894" s="141"/>
      <c r="K894" s="141"/>
      <c r="L894" s="141"/>
      <c r="M894" s="141"/>
      <c r="N894" s="141"/>
      <c r="O894" s="141"/>
      <c r="P894" s="141"/>
      <c r="Q894" s="141"/>
    </row>
    <row r="895" spans="1:17" ht="13.5" customHeight="1" x14ac:dyDescent="0.15">
      <c r="A895" s="141"/>
      <c r="B895" s="154"/>
      <c r="C895" s="141"/>
      <c r="D895" s="153" t="s">
        <v>367</v>
      </c>
      <c r="E895" s="141"/>
      <c r="F895" s="141"/>
      <c r="G895" s="141"/>
      <c r="H895" s="141"/>
      <c r="I895" s="141"/>
      <c r="J895" s="141"/>
      <c r="K895" s="141"/>
      <c r="L895" s="141"/>
      <c r="M895" s="141"/>
      <c r="N895" s="141"/>
      <c r="O895" s="141"/>
      <c r="P895" s="141"/>
      <c r="Q895" s="141"/>
    </row>
    <row r="896" spans="1:17" ht="13.5" customHeight="1" x14ac:dyDescent="0.15">
      <c r="A896" s="141"/>
      <c r="B896" s="154"/>
      <c r="C896" s="141"/>
      <c r="D896" s="153" t="s">
        <v>367</v>
      </c>
      <c r="E896" s="141"/>
      <c r="F896" s="141"/>
      <c r="G896" s="141"/>
      <c r="H896" s="141"/>
      <c r="I896" s="141"/>
      <c r="J896" s="141"/>
      <c r="K896" s="141"/>
      <c r="L896" s="141"/>
      <c r="M896" s="141"/>
      <c r="N896" s="141"/>
      <c r="O896" s="141"/>
      <c r="P896" s="141"/>
      <c r="Q896" s="141"/>
    </row>
    <row r="897" spans="1:17" ht="13.5" customHeight="1" x14ac:dyDescent="0.15">
      <c r="A897" s="141"/>
      <c r="B897" s="154"/>
      <c r="C897" s="141"/>
      <c r="D897" s="153" t="s">
        <v>367</v>
      </c>
      <c r="E897" s="141"/>
      <c r="F897" s="141"/>
      <c r="G897" s="141"/>
      <c r="H897" s="141"/>
      <c r="I897" s="141"/>
      <c r="J897" s="141"/>
      <c r="K897" s="141"/>
      <c r="L897" s="141"/>
      <c r="M897" s="141"/>
      <c r="N897" s="141"/>
      <c r="O897" s="141"/>
      <c r="P897" s="141"/>
      <c r="Q897" s="141"/>
    </row>
    <row r="898" spans="1:17" ht="13.5" customHeight="1" x14ac:dyDescent="0.15">
      <c r="A898" s="141"/>
      <c r="B898" s="154"/>
      <c r="C898" s="141"/>
      <c r="D898" s="153" t="s">
        <v>367</v>
      </c>
      <c r="E898" s="141"/>
      <c r="F898" s="141"/>
      <c r="G898" s="141"/>
      <c r="H898" s="141"/>
      <c r="I898" s="141"/>
      <c r="J898" s="141"/>
      <c r="K898" s="141"/>
      <c r="L898" s="141"/>
      <c r="M898" s="141"/>
      <c r="N898" s="141"/>
      <c r="O898" s="141"/>
      <c r="P898" s="141"/>
      <c r="Q898" s="141"/>
    </row>
    <row r="899" spans="1:17" ht="13.5" customHeight="1" x14ac:dyDescent="0.15">
      <c r="A899" s="141"/>
      <c r="B899" s="154"/>
      <c r="C899" s="141"/>
      <c r="D899" s="153" t="s">
        <v>367</v>
      </c>
      <c r="E899" s="141"/>
      <c r="F899" s="141"/>
      <c r="G899" s="141"/>
      <c r="H899" s="141"/>
      <c r="I899" s="141"/>
      <c r="J899" s="141"/>
      <c r="K899" s="141"/>
      <c r="L899" s="141"/>
      <c r="M899" s="141"/>
      <c r="N899" s="141"/>
      <c r="O899" s="141"/>
      <c r="P899" s="141"/>
      <c r="Q899" s="141"/>
    </row>
    <row r="900" spans="1:17" ht="13.5" customHeight="1" x14ac:dyDescent="0.15">
      <c r="A900" s="141"/>
      <c r="B900" s="154"/>
      <c r="C900" s="141"/>
      <c r="D900" s="153" t="s">
        <v>367</v>
      </c>
      <c r="E900" s="141"/>
      <c r="F900" s="141"/>
      <c r="G900" s="141"/>
      <c r="H900" s="141"/>
      <c r="I900" s="141"/>
      <c r="J900" s="141"/>
      <c r="K900" s="141"/>
      <c r="L900" s="141"/>
      <c r="M900" s="141"/>
      <c r="N900" s="141"/>
      <c r="O900" s="141"/>
      <c r="P900" s="141"/>
      <c r="Q900" s="141"/>
    </row>
    <row r="901" spans="1:17" ht="13.5" customHeight="1" x14ac:dyDescent="0.15">
      <c r="A901" s="141"/>
      <c r="B901" s="154"/>
      <c r="C901" s="141"/>
      <c r="D901" s="153" t="s">
        <v>367</v>
      </c>
      <c r="E901" s="141"/>
      <c r="F901" s="141"/>
      <c r="G901" s="141"/>
      <c r="H901" s="141"/>
      <c r="I901" s="141"/>
      <c r="J901" s="141"/>
      <c r="K901" s="141"/>
      <c r="L901" s="141"/>
      <c r="M901" s="141"/>
      <c r="N901" s="141"/>
      <c r="O901" s="141"/>
      <c r="P901" s="141"/>
      <c r="Q901" s="141"/>
    </row>
    <row r="902" spans="1:17" ht="13.5" customHeight="1" x14ac:dyDescent="0.15">
      <c r="A902" s="141"/>
      <c r="B902" s="154"/>
      <c r="C902" s="141"/>
      <c r="D902" s="153" t="s">
        <v>367</v>
      </c>
      <c r="E902" s="141"/>
      <c r="F902" s="141"/>
      <c r="G902" s="141"/>
      <c r="H902" s="141"/>
      <c r="I902" s="141"/>
      <c r="J902" s="141"/>
      <c r="K902" s="141"/>
      <c r="L902" s="141"/>
      <c r="M902" s="141"/>
      <c r="N902" s="141"/>
      <c r="O902" s="141"/>
      <c r="P902" s="141"/>
      <c r="Q902" s="141"/>
    </row>
    <row r="903" spans="1:17" ht="13.5" customHeight="1" x14ac:dyDescent="0.15">
      <c r="A903" s="141"/>
      <c r="B903" s="154"/>
      <c r="C903" s="141"/>
      <c r="D903" s="153" t="s">
        <v>367</v>
      </c>
      <c r="E903" s="141"/>
      <c r="F903" s="141"/>
      <c r="G903" s="141"/>
      <c r="H903" s="141"/>
      <c r="I903" s="141"/>
      <c r="J903" s="141"/>
      <c r="K903" s="141"/>
      <c r="L903" s="141"/>
      <c r="M903" s="141"/>
      <c r="N903" s="141"/>
      <c r="O903" s="141"/>
      <c r="P903" s="141"/>
      <c r="Q903" s="141"/>
    </row>
    <row r="904" spans="1:17" ht="13.5" customHeight="1" x14ac:dyDescent="0.15">
      <c r="A904" s="141"/>
      <c r="B904" s="154"/>
      <c r="C904" s="141"/>
      <c r="D904" s="153" t="s">
        <v>367</v>
      </c>
      <c r="E904" s="141"/>
      <c r="F904" s="141"/>
      <c r="G904" s="141"/>
      <c r="H904" s="141"/>
      <c r="I904" s="141"/>
      <c r="J904" s="141"/>
      <c r="K904" s="141"/>
      <c r="L904" s="141"/>
      <c r="M904" s="141"/>
      <c r="N904" s="141"/>
      <c r="O904" s="141"/>
      <c r="P904" s="141"/>
      <c r="Q904" s="141"/>
    </row>
    <row r="905" spans="1:17" ht="13.5" customHeight="1" x14ac:dyDescent="0.15">
      <c r="A905" s="141"/>
      <c r="B905" s="154"/>
      <c r="C905" s="141"/>
      <c r="D905" s="153" t="s">
        <v>367</v>
      </c>
      <c r="E905" s="141"/>
      <c r="F905" s="141"/>
      <c r="G905" s="141"/>
      <c r="H905" s="141"/>
      <c r="I905" s="141"/>
      <c r="J905" s="141"/>
      <c r="K905" s="141"/>
      <c r="L905" s="141"/>
      <c r="M905" s="141"/>
      <c r="N905" s="141"/>
      <c r="O905" s="141"/>
      <c r="P905" s="141"/>
      <c r="Q905" s="141"/>
    </row>
    <row r="906" spans="1:17" ht="13.5" customHeight="1" x14ac:dyDescent="0.15">
      <c r="A906" s="141"/>
      <c r="B906" s="154"/>
      <c r="C906" s="141"/>
      <c r="D906" s="153" t="s">
        <v>367</v>
      </c>
      <c r="E906" s="141"/>
      <c r="F906" s="141"/>
      <c r="G906" s="141"/>
      <c r="H906" s="141"/>
      <c r="I906" s="141"/>
      <c r="J906" s="141"/>
      <c r="K906" s="141"/>
      <c r="L906" s="141"/>
      <c r="M906" s="141"/>
      <c r="N906" s="141"/>
      <c r="O906" s="141"/>
      <c r="P906" s="141"/>
      <c r="Q906" s="141"/>
    </row>
    <row r="907" spans="1:17" ht="13.5" customHeight="1" x14ac:dyDescent="0.15">
      <c r="A907" s="141"/>
      <c r="B907" s="154"/>
      <c r="C907" s="141"/>
      <c r="D907" s="153" t="s">
        <v>367</v>
      </c>
      <c r="E907" s="141"/>
      <c r="F907" s="141"/>
      <c r="G907" s="141"/>
      <c r="H907" s="141"/>
      <c r="I907" s="141"/>
      <c r="J907" s="141"/>
      <c r="K907" s="141"/>
      <c r="L907" s="141"/>
      <c r="M907" s="141"/>
      <c r="N907" s="141"/>
      <c r="O907" s="141"/>
      <c r="P907" s="141"/>
      <c r="Q907" s="141"/>
    </row>
    <row r="908" spans="1:17" ht="13.5" customHeight="1" x14ac:dyDescent="0.15">
      <c r="A908" s="141"/>
      <c r="B908" s="154"/>
      <c r="C908" s="141"/>
      <c r="D908" s="153" t="s">
        <v>367</v>
      </c>
      <c r="E908" s="141"/>
      <c r="F908" s="141"/>
      <c r="G908" s="141"/>
      <c r="H908" s="141"/>
      <c r="I908" s="141"/>
      <c r="J908" s="141"/>
      <c r="K908" s="141"/>
      <c r="L908" s="141"/>
      <c r="M908" s="141"/>
      <c r="N908" s="141"/>
      <c r="O908" s="141"/>
      <c r="P908" s="141"/>
      <c r="Q908" s="141"/>
    </row>
    <row r="909" spans="1:17" ht="13.5" customHeight="1" x14ac:dyDescent="0.15">
      <c r="A909" s="141"/>
      <c r="B909" s="154"/>
      <c r="C909" s="141"/>
      <c r="D909" s="153" t="s">
        <v>367</v>
      </c>
      <c r="E909" s="141"/>
      <c r="F909" s="141"/>
      <c r="G909" s="141"/>
      <c r="H909" s="141"/>
      <c r="I909" s="141"/>
      <c r="J909" s="141"/>
      <c r="K909" s="141"/>
      <c r="L909" s="141"/>
      <c r="M909" s="141"/>
      <c r="N909" s="141"/>
      <c r="O909" s="141"/>
      <c r="P909" s="141"/>
      <c r="Q909" s="141"/>
    </row>
    <row r="910" spans="1:17" ht="13.5" customHeight="1" x14ac:dyDescent="0.15">
      <c r="A910" s="141"/>
      <c r="B910" s="154"/>
      <c r="C910" s="141"/>
      <c r="D910" s="153" t="s">
        <v>367</v>
      </c>
      <c r="E910" s="141"/>
      <c r="F910" s="141"/>
      <c r="G910" s="141"/>
      <c r="H910" s="141"/>
      <c r="I910" s="141"/>
      <c r="J910" s="141"/>
      <c r="K910" s="141"/>
      <c r="L910" s="141"/>
      <c r="M910" s="141"/>
      <c r="N910" s="141"/>
      <c r="O910" s="141"/>
      <c r="P910" s="141"/>
      <c r="Q910" s="141"/>
    </row>
    <row r="911" spans="1:17" ht="13.5" customHeight="1" x14ac:dyDescent="0.15">
      <c r="A911" s="141"/>
      <c r="B911" s="154"/>
      <c r="C911" s="141"/>
      <c r="D911" s="153" t="s">
        <v>367</v>
      </c>
      <c r="E911" s="141"/>
      <c r="F911" s="141"/>
      <c r="G911" s="141"/>
      <c r="H911" s="141"/>
      <c r="I911" s="141"/>
      <c r="J911" s="141"/>
      <c r="K911" s="141"/>
      <c r="L911" s="141"/>
      <c r="M911" s="141"/>
      <c r="N911" s="141"/>
      <c r="O911" s="141"/>
      <c r="P911" s="141"/>
      <c r="Q911" s="141"/>
    </row>
    <row r="912" spans="1:17" ht="13.5" customHeight="1" x14ac:dyDescent="0.15">
      <c r="A912" s="141"/>
      <c r="B912" s="154"/>
      <c r="C912" s="141"/>
      <c r="D912" s="153" t="s">
        <v>367</v>
      </c>
      <c r="E912" s="141"/>
      <c r="F912" s="141"/>
      <c r="G912" s="141"/>
      <c r="H912" s="141"/>
      <c r="I912" s="141"/>
      <c r="J912" s="141"/>
      <c r="K912" s="141"/>
      <c r="L912" s="141"/>
      <c r="M912" s="141"/>
      <c r="N912" s="141"/>
      <c r="O912" s="141"/>
      <c r="P912" s="141"/>
      <c r="Q912" s="141"/>
    </row>
    <row r="913" spans="1:17" ht="13.5" customHeight="1" x14ac:dyDescent="0.15">
      <c r="A913" s="141"/>
      <c r="B913" s="154"/>
      <c r="C913" s="141"/>
      <c r="D913" s="153" t="s">
        <v>367</v>
      </c>
      <c r="E913" s="141"/>
      <c r="F913" s="141"/>
      <c r="G913" s="141"/>
      <c r="H913" s="141"/>
      <c r="I913" s="141"/>
      <c r="J913" s="141"/>
      <c r="K913" s="141"/>
      <c r="L913" s="141"/>
      <c r="M913" s="141"/>
      <c r="N913" s="141"/>
      <c r="O913" s="141"/>
      <c r="P913" s="141"/>
      <c r="Q913" s="141"/>
    </row>
    <row r="914" spans="1:17" ht="13.5" customHeight="1" x14ac:dyDescent="0.15">
      <c r="A914" s="141"/>
      <c r="B914" s="154"/>
      <c r="C914" s="141"/>
      <c r="D914" s="153" t="s">
        <v>367</v>
      </c>
      <c r="E914" s="141"/>
      <c r="F914" s="141"/>
      <c r="G914" s="141"/>
      <c r="H914" s="141"/>
      <c r="I914" s="141"/>
      <c r="J914" s="141"/>
      <c r="K914" s="141"/>
      <c r="L914" s="141"/>
      <c r="M914" s="141"/>
      <c r="N914" s="141"/>
      <c r="O914" s="141"/>
      <c r="P914" s="141"/>
      <c r="Q914" s="141"/>
    </row>
    <row r="915" spans="1:17" ht="13.5" customHeight="1" x14ac:dyDescent="0.15">
      <c r="A915" s="141"/>
      <c r="B915" s="154"/>
      <c r="C915" s="141"/>
      <c r="D915" s="153" t="s">
        <v>367</v>
      </c>
      <c r="E915" s="141"/>
      <c r="F915" s="141"/>
      <c r="G915" s="141"/>
      <c r="H915" s="141"/>
      <c r="I915" s="141"/>
      <c r="J915" s="141"/>
      <c r="K915" s="141"/>
      <c r="L915" s="141"/>
      <c r="M915" s="141"/>
      <c r="N915" s="141"/>
      <c r="O915" s="141"/>
      <c r="P915" s="141"/>
      <c r="Q915" s="141"/>
    </row>
    <row r="916" spans="1:17" ht="13.5" customHeight="1" x14ac:dyDescent="0.15">
      <c r="A916" s="141"/>
      <c r="B916" s="154"/>
      <c r="C916" s="141"/>
      <c r="D916" s="153" t="s">
        <v>367</v>
      </c>
      <c r="E916" s="141"/>
      <c r="F916" s="141"/>
      <c r="G916" s="141"/>
      <c r="H916" s="141"/>
      <c r="I916" s="141"/>
      <c r="J916" s="141"/>
      <c r="K916" s="141"/>
      <c r="L916" s="141"/>
      <c r="M916" s="141"/>
      <c r="N916" s="141"/>
      <c r="O916" s="141"/>
      <c r="P916" s="141"/>
      <c r="Q916" s="141"/>
    </row>
    <row r="917" spans="1:17" ht="13.5" customHeight="1" x14ac:dyDescent="0.15">
      <c r="A917" s="141"/>
      <c r="B917" s="154"/>
      <c r="C917" s="141"/>
      <c r="D917" s="153" t="s">
        <v>367</v>
      </c>
      <c r="E917" s="141"/>
      <c r="F917" s="141"/>
      <c r="G917" s="141"/>
      <c r="H917" s="141"/>
      <c r="I917" s="141"/>
      <c r="J917" s="141"/>
      <c r="K917" s="141"/>
      <c r="L917" s="141"/>
      <c r="M917" s="141"/>
      <c r="N917" s="141"/>
      <c r="O917" s="141"/>
      <c r="P917" s="141"/>
      <c r="Q917" s="141"/>
    </row>
    <row r="918" spans="1:17" ht="13.5" customHeight="1" x14ac:dyDescent="0.15">
      <c r="A918" s="141"/>
      <c r="B918" s="154"/>
      <c r="C918" s="141"/>
      <c r="D918" s="153" t="s">
        <v>367</v>
      </c>
      <c r="E918" s="141"/>
      <c r="F918" s="141"/>
      <c r="G918" s="141"/>
      <c r="H918" s="141"/>
      <c r="I918" s="141"/>
      <c r="J918" s="141"/>
      <c r="K918" s="141"/>
      <c r="L918" s="141"/>
      <c r="M918" s="141"/>
      <c r="N918" s="141"/>
      <c r="O918" s="141"/>
      <c r="P918" s="141"/>
      <c r="Q918" s="141"/>
    </row>
    <row r="919" spans="1:17" ht="13.5" customHeight="1" x14ac:dyDescent="0.15">
      <c r="A919" s="141"/>
      <c r="B919" s="154"/>
      <c r="C919" s="141"/>
      <c r="D919" s="153" t="s">
        <v>367</v>
      </c>
      <c r="E919" s="141"/>
      <c r="F919" s="141"/>
      <c r="G919" s="141"/>
      <c r="H919" s="141"/>
      <c r="I919" s="141"/>
      <c r="J919" s="141"/>
      <c r="K919" s="141"/>
      <c r="L919" s="141"/>
      <c r="M919" s="141"/>
      <c r="N919" s="141"/>
      <c r="O919" s="141"/>
      <c r="P919" s="141"/>
      <c r="Q919" s="141"/>
    </row>
    <row r="920" spans="1:17" ht="13.5" customHeight="1" x14ac:dyDescent="0.15">
      <c r="A920" s="141"/>
      <c r="B920" s="154"/>
      <c r="C920" s="141"/>
      <c r="D920" s="153" t="s">
        <v>367</v>
      </c>
      <c r="E920" s="141"/>
      <c r="F920" s="141"/>
      <c r="G920" s="141"/>
      <c r="H920" s="141"/>
      <c r="I920" s="141"/>
      <c r="J920" s="141"/>
      <c r="K920" s="141"/>
      <c r="L920" s="141"/>
      <c r="M920" s="141"/>
      <c r="N920" s="141"/>
      <c r="O920" s="141"/>
      <c r="P920" s="141"/>
      <c r="Q920" s="141"/>
    </row>
    <row r="921" spans="1:17" ht="13.5" customHeight="1" x14ac:dyDescent="0.15">
      <c r="A921" s="141"/>
      <c r="B921" s="154"/>
      <c r="C921" s="141"/>
      <c r="D921" s="153" t="s">
        <v>367</v>
      </c>
      <c r="E921" s="141"/>
      <c r="F921" s="141"/>
      <c r="G921" s="141"/>
      <c r="H921" s="141"/>
      <c r="I921" s="141"/>
      <c r="J921" s="141"/>
      <c r="K921" s="141"/>
      <c r="L921" s="141"/>
      <c r="M921" s="141"/>
      <c r="N921" s="141"/>
      <c r="O921" s="141"/>
      <c r="P921" s="141"/>
      <c r="Q921" s="141"/>
    </row>
    <row r="922" spans="1:17" ht="13.5" customHeight="1" x14ac:dyDescent="0.15">
      <c r="A922" s="141"/>
      <c r="B922" s="154"/>
      <c r="C922" s="141"/>
      <c r="D922" s="153" t="s">
        <v>367</v>
      </c>
      <c r="E922" s="141"/>
      <c r="F922" s="141"/>
      <c r="G922" s="141"/>
      <c r="H922" s="141"/>
      <c r="I922" s="141"/>
      <c r="J922" s="141"/>
      <c r="K922" s="141"/>
      <c r="L922" s="141"/>
      <c r="M922" s="141"/>
      <c r="N922" s="141"/>
      <c r="O922" s="141"/>
      <c r="P922" s="141"/>
      <c r="Q922" s="141"/>
    </row>
    <row r="923" spans="1:17" ht="13.5" customHeight="1" x14ac:dyDescent="0.15">
      <c r="A923" s="141"/>
      <c r="B923" s="154"/>
      <c r="C923" s="141"/>
      <c r="D923" s="153" t="s">
        <v>367</v>
      </c>
      <c r="E923" s="141"/>
      <c r="F923" s="141"/>
      <c r="G923" s="141"/>
      <c r="H923" s="141"/>
      <c r="I923" s="141"/>
      <c r="J923" s="141"/>
      <c r="K923" s="141"/>
      <c r="L923" s="141"/>
      <c r="M923" s="141"/>
      <c r="N923" s="141"/>
      <c r="O923" s="141"/>
      <c r="P923" s="141"/>
      <c r="Q923" s="141"/>
    </row>
    <row r="924" spans="1:17" ht="13.5" customHeight="1" x14ac:dyDescent="0.15">
      <c r="A924" s="141"/>
      <c r="B924" s="154"/>
      <c r="C924" s="141"/>
      <c r="D924" s="153" t="s">
        <v>367</v>
      </c>
      <c r="E924" s="141"/>
      <c r="F924" s="141"/>
      <c r="G924" s="141"/>
      <c r="H924" s="141"/>
      <c r="I924" s="141"/>
      <c r="J924" s="141"/>
      <c r="K924" s="141"/>
      <c r="L924" s="141"/>
      <c r="M924" s="141"/>
      <c r="N924" s="141"/>
      <c r="O924" s="141"/>
      <c r="P924" s="141"/>
      <c r="Q924" s="141"/>
    </row>
    <row r="925" spans="1:17" ht="13.5" customHeight="1" x14ac:dyDescent="0.15">
      <c r="A925" s="141"/>
      <c r="B925" s="154"/>
      <c r="C925" s="141"/>
      <c r="D925" s="153" t="s">
        <v>367</v>
      </c>
      <c r="E925" s="141"/>
      <c r="F925" s="141"/>
      <c r="G925" s="141"/>
      <c r="H925" s="141"/>
      <c r="I925" s="141"/>
      <c r="J925" s="141"/>
      <c r="K925" s="141"/>
      <c r="L925" s="141"/>
      <c r="M925" s="141"/>
      <c r="N925" s="141"/>
      <c r="O925" s="141"/>
      <c r="P925" s="141"/>
      <c r="Q925" s="141"/>
    </row>
    <row r="926" spans="1:17" ht="13.5" customHeight="1" x14ac:dyDescent="0.15">
      <c r="A926" s="141"/>
      <c r="B926" s="154"/>
      <c r="C926" s="141"/>
      <c r="D926" s="153" t="s">
        <v>367</v>
      </c>
      <c r="E926" s="141"/>
      <c r="F926" s="141"/>
      <c r="G926" s="141"/>
      <c r="H926" s="141"/>
      <c r="I926" s="141"/>
      <c r="J926" s="141"/>
      <c r="K926" s="141"/>
      <c r="L926" s="141"/>
      <c r="M926" s="141"/>
      <c r="N926" s="141"/>
      <c r="O926" s="141"/>
      <c r="P926" s="141"/>
      <c r="Q926" s="141"/>
    </row>
    <row r="927" spans="1:17" ht="13.5" customHeight="1" x14ac:dyDescent="0.15">
      <c r="A927" s="141"/>
      <c r="B927" s="154"/>
      <c r="C927" s="141"/>
      <c r="D927" s="153" t="s">
        <v>367</v>
      </c>
      <c r="E927" s="141"/>
      <c r="F927" s="141"/>
      <c r="G927" s="141"/>
      <c r="H927" s="141"/>
      <c r="I927" s="141"/>
      <c r="J927" s="141"/>
      <c r="K927" s="141"/>
      <c r="L927" s="141"/>
      <c r="M927" s="141"/>
      <c r="N927" s="141"/>
      <c r="O927" s="141"/>
      <c r="P927" s="141"/>
      <c r="Q927" s="141"/>
    </row>
    <row r="928" spans="1:17" ht="13.5" customHeight="1" x14ac:dyDescent="0.15">
      <c r="A928" s="141"/>
      <c r="B928" s="154"/>
      <c r="C928" s="141"/>
      <c r="D928" s="153" t="s">
        <v>367</v>
      </c>
      <c r="E928" s="141"/>
      <c r="F928" s="141"/>
      <c r="G928" s="141"/>
      <c r="H928" s="141"/>
      <c r="I928" s="141"/>
      <c r="J928" s="141"/>
      <c r="K928" s="141"/>
      <c r="L928" s="141"/>
      <c r="M928" s="141"/>
      <c r="N928" s="141"/>
      <c r="O928" s="141"/>
      <c r="P928" s="141"/>
      <c r="Q928" s="141"/>
    </row>
    <row r="929" spans="1:17" ht="13.5" customHeight="1" x14ac:dyDescent="0.15">
      <c r="A929" s="141"/>
      <c r="B929" s="154"/>
      <c r="C929" s="141"/>
      <c r="D929" s="153" t="s">
        <v>367</v>
      </c>
      <c r="E929" s="141"/>
      <c r="F929" s="141"/>
      <c r="G929" s="141"/>
      <c r="H929" s="141"/>
      <c r="I929" s="141"/>
      <c r="J929" s="141"/>
      <c r="K929" s="141"/>
      <c r="L929" s="141"/>
      <c r="M929" s="141"/>
      <c r="N929" s="141"/>
      <c r="O929" s="141"/>
      <c r="P929" s="141"/>
      <c r="Q929" s="141"/>
    </row>
    <row r="930" spans="1:17" ht="13.5" customHeight="1" x14ac:dyDescent="0.15">
      <c r="A930" s="141"/>
      <c r="B930" s="154"/>
      <c r="C930" s="141"/>
      <c r="D930" s="153" t="s">
        <v>367</v>
      </c>
      <c r="E930" s="141"/>
      <c r="F930" s="141"/>
      <c r="G930" s="141"/>
      <c r="H930" s="141"/>
      <c r="I930" s="141"/>
      <c r="J930" s="141"/>
      <c r="K930" s="141"/>
      <c r="L930" s="141"/>
      <c r="M930" s="141"/>
      <c r="N930" s="141"/>
      <c r="O930" s="141"/>
      <c r="P930" s="141"/>
      <c r="Q930" s="141"/>
    </row>
    <row r="931" spans="1:17" ht="13.5" customHeight="1" x14ac:dyDescent="0.15">
      <c r="A931" s="141"/>
      <c r="B931" s="154"/>
      <c r="C931" s="141"/>
      <c r="D931" s="153" t="s">
        <v>367</v>
      </c>
      <c r="E931" s="141"/>
      <c r="F931" s="141"/>
      <c r="G931" s="141"/>
      <c r="H931" s="141"/>
      <c r="I931" s="141"/>
      <c r="J931" s="141"/>
      <c r="K931" s="141"/>
      <c r="L931" s="141"/>
      <c r="M931" s="141"/>
      <c r="N931" s="141"/>
      <c r="O931" s="141"/>
      <c r="P931" s="141"/>
      <c r="Q931" s="141"/>
    </row>
    <row r="932" spans="1:17" ht="13.5" customHeight="1" x14ac:dyDescent="0.15">
      <c r="A932" s="141"/>
      <c r="B932" s="154"/>
      <c r="C932" s="141"/>
      <c r="D932" s="153" t="s">
        <v>367</v>
      </c>
      <c r="E932" s="141"/>
      <c r="F932" s="141"/>
      <c r="G932" s="141"/>
      <c r="H932" s="141"/>
      <c r="I932" s="141"/>
      <c r="J932" s="141"/>
      <c r="K932" s="141"/>
      <c r="L932" s="141"/>
      <c r="M932" s="141"/>
      <c r="N932" s="141"/>
      <c r="O932" s="141"/>
      <c r="P932" s="141"/>
      <c r="Q932" s="141"/>
    </row>
    <row r="933" spans="1:17" ht="13.5" customHeight="1" x14ac:dyDescent="0.15">
      <c r="A933" s="141"/>
      <c r="B933" s="154"/>
      <c r="C933" s="141"/>
      <c r="D933" s="153" t="s">
        <v>367</v>
      </c>
      <c r="E933" s="141"/>
      <c r="F933" s="141"/>
      <c r="G933" s="141"/>
      <c r="H933" s="141"/>
      <c r="I933" s="141"/>
      <c r="J933" s="141"/>
      <c r="K933" s="141"/>
      <c r="L933" s="141"/>
      <c r="M933" s="141"/>
      <c r="N933" s="141"/>
      <c r="O933" s="141"/>
      <c r="P933" s="141"/>
      <c r="Q933" s="141"/>
    </row>
    <row r="934" spans="1:17" ht="13.5" customHeight="1" x14ac:dyDescent="0.15">
      <c r="A934" s="141"/>
      <c r="B934" s="154"/>
      <c r="C934" s="141"/>
      <c r="D934" s="153" t="s">
        <v>367</v>
      </c>
      <c r="E934" s="141"/>
      <c r="F934" s="141"/>
      <c r="G934" s="141"/>
      <c r="H934" s="141"/>
      <c r="I934" s="141"/>
      <c r="J934" s="141"/>
      <c r="K934" s="141"/>
      <c r="L934" s="141"/>
      <c r="M934" s="141"/>
      <c r="N934" s="141"/>
      <c r="O934" s="141"/>
      <c r="P934" s="141"/>
      <c r="Q934" s="141"/>
    </row>
    <row r="935" spans="1:17" ht="13.5" customHeight="1" x14ac:dyDescent="0.15">
      <c r="A935" s="141"/>
      <c r="B935" s="154"/>
      <c r="C935" s="141"/>
      <c r="D935" s="153" t="s">
        <v>367</v>
      </c>
      <c r="E935" s="141"/>
      <c r="F935" s="141"/>
      <c r="G935" s="141"/>
      <c r="H935" s="141"/>
      <c r="I935" s="141"/>
      <c r="J935" s="141"/>
      <c r="K935" s="141"/>
      <c r="L935" s="141"/>
      <c r="M935" s="141"/>
      <c r="N935" s="141"/>
      <c r="O935" s="141"/>
      <c r="P935" s="141"/>
      <c r="Q935" s="141"/>
    </row>
    <row r="936" spans="1:17" ht="13.5" customHeight="1" x14ac:dyDescent="0.15">
      <c r="A936" s="141"/>
      <c r="B936" s="154"/>
      <c r="C936" s="141"/>
      <c r="D936" s="153" t="s">
        <v>367</v>
      </c>
      <c r="E936" s="141"/>
      <c r="F936" s="141"/>
      <c r="G936" s="141"/>
      <c r="H936" s="141"/>
      <c r="I936" s="141"/>
      <c r="J936" s="141"/>
      <c r="K936" s="141"/>
      <c r="L936" s="141"/>
      <c r="M936" s="141"/>
      <c r="N936" s="141"/>
      <c r="O936" s="141"/>
      <c r="P936" s="141"/>
      <c r="Q936" s="141"/>
    </row>
    <row r="937" spans="1:17" ht="13.5" customHeight="1" x14ac:dyDescent="0.15">
      <c r="A937" s="141"/>
      <c r="B937" s="154"/>
      <c r="C937" s="141"/>
      <c r="D937" s="153" t="s">
        <v>367</v>
      </c>
      <c r="E937" s="141"/>
      <c r="F937" s="141"/>
      <c r="G937" s="141"/>
      <c r="H937" s="141"/>
      <c r="I937" s="141"/>
      <c r="J937" s="141"/>
      <c r="K937" s="141"/>
      <c r="L937" s="141"/>
      <c r="M937" s="141"/>
      <c r="N937" s="141"/>
      <c r="O937" s="141"/>
      <c r="P937" s="141"/>
      <c r="Q937" s="141"/>
    </row>
    <row r="938" spans="1:17" ht="13.5" customHeight="1" x14ac:dyDescent="0.15">
      <c r="A938" s="141"/>
      <c r="B938" s="154"/>
      <c r="C938" s="141"/>
      <c r="D938" s="153" t="s">
        <v>367</v>
      </c>
      <c r="E938" s="141"/>
      <c r="F938" s="141"/>
      <c r="G938" s="141"/>
      <c r="H938" s="141"/>
      <c r="I938" s="141"/>
      <c r="J938" s="141"/>
      <c r="K938" s="141"/>
      <c r="L938" s="141"/>
      <c r="M938" s="141"/>
      <c r="N938" s="141"/>
      <c r="O938" s="141"/>
      <c r="P938" s="141"/>
      <c r="Q938" s="141"/>
    </row>
    <row r="939" spans="1:17" ht="13.5" customHeight="1" x14ac:dyDescent="0.15">
      <c r="A939" s="141"/>
      <c r="B939" s="154"/>
      <c r="C939" s="141"/>
      <c r="D939" s="153" t="s">
        <v>367</v>
      </c>
      <c r="E939" s="141"/>
      <c r="F939" s="141"/>
      <c r="G939" s="141"/>
      <c r="H939" s="141"/>
      <c r="I939" s="141"/>
      <c r="J939" s="141"/>
      <c r="K939" s="141"/>
      <c r="L939" s="141"/>
      <c r="M939" s="141"/>
      <c r="N939" s="141"/>
      <c r="O939" s="141"/>
      <c r="P939" s="141"/>
      <c r="Q939" s="141"/>
    </row>
    <row r="940" spans="1:17" ht="13.5" customHeight="1" x14ac:dyDescent="0.15">
      <c r="A940" s="141"/>
      <c r="B940" s="154"/>
      <c r="C940" s="141"/>
      <c r="D940" s="153" t="s">
        <v>367</v>
      </c>
      <c r="E940" s="141"/>
      <c r="F940" s="141"/>
      <c r="G940" s="141"/>
      <c r="H940" s="141"/>
      <c r="I940" s="141"/>
      <c r="J940" s="141"/>
      <c r="K940" s="141"/>
      <c r="L940" s="141"/>
      <c r="M940" s="141"/>
      <c r="N940" s="141"/>
      <c r="O940" s="141"/>
      <c r="P940" s="141"/>
      <c r="Q940" s="141"/>
    </row>
    <row r="941" spans="1:17" ht="13.5" customHeight="1" x14ac:dyDescent="0.15">
      <c r="A941" s="141"/>
      <c r="B941" s="154"/>
      <c r="C941" s="141"/>
      <c r="D941" s="153" t="s">
        <v>367</v>
      </c>
      <c r="E941" s="141"/>
      <c r="F941" s="141"/>
      <c r="G941" s="141"/>
      <c r="H941" s="141"/>
      <c r="I941" s="141"/>
      <c r="J941" s="141"/>
      <c r="K941" s="141"/>
      <c r="L941" s="141"/>
      <c r="M941" s="141"/>
      <c r="N941" s="141"/>
      <c r="O941" s="141"/>
      <c r="P941" s="141"/>
      <c r="Q941" s="141"/>
    </row>
    <row r="942" spans="1:17" ht="13.5" customHeight="1" x14ac:dyDescent="0.15">
      <c r="A942" s="141"/>
      <c r="B942" s="154"/>
      <c r="C942" s="141"/>
      <c r="D942" s="153" t="s">
        <v>367</v>
      </c>
      <c r="E942" s="141"/>
      <c r="F942" s="141"/>
      <c r="G942" s="141"/>
      <c r="H942" s="141"/>
      <c r="I942" s="141"/>
      <c r="J942" s="141"/>
      <c r="K942" s="141"/>
      <c r="L942" s="141"/>
      <c r="M942" s="141"/>
      <c r="N942" s="141"/>
      <c r="O942" s="141"/>
      <c r="P942" s="141"/>
      <c r="Q942" s="141"/>
    </row>
    <row r="943" spans="1:17" ht="13.5" customHeight="1" x14ac:dyDescent="0.15">
      <c r="A943" s="141"/>
      <c r="B943" s="154"/>
      <c r="C943" s="141"/>
      <c r="D943" s="153" t="s">
        <v>367</v>
      </c>
      <c r="E943" s="141"/>
      <c r="F943" s="141"/>
      <c r="G943" s="141"/>
      <c r="H943" s="141"/>
      <c r="I943" s="141"/>
      <c r="J943" s="141"/>
      <c r="K943" s="141"/>
      <c r="L943" s="141"/>
      <c r="M943" s="141"/>
      <c r="N943" s="141"/>
      <c r="O943" s="141"/>
      <c r="P943" s="141"/>
      <c r="Q943" s="141"/>
    </row>
    <row r="944" spans="1:17" ht="13.5" customHeight="1" x14ac:dyDescent="0.15">
      <c r="A944" s="141"/>
      <c r="B944" s="154"/>
      <c r="C944" s="141"/>
      <c r="D944" s="153" t="s">
        <v>367</v>
      </c>
      <c r="E944" s="141"/>
      <c r="F944" s="141"/>
      <c r="G944" s="141"/>
      <c r="H944" s="141"/>
      <c r="I944" s="141"/>
      <c r="J944" s="141"/>
      <c r="K944" s="141"/>
      <c r="L944" s="141"/>
      <c r="M944" s="141"/>
      <c r="N944" s="141"/>
      <c r="O944" s="141"/>
      <c r="P944" s="141"/>
      <c r="Q944" s="141"/>
    </row>
    <row r="945" spans="1:17" ht="13.5" customHeight="1" x14ac:dyDescent="0.15">
      <c r="A945" s="141"/>
      <c r="B945" s="154"/>
      <c r="C945" s="141"/>
      <c r="D945" s="153" t="s">
        <v>367</v>
      </c>
      <c r="E945" s="141"/>
      <c r="F945" s="141"/>
      <c r="G945" s="141"/>
      <c r="H945" s="141"/>
      <c r="I945" s="141"/>
      <c r="J945" s="141"/>
      <c r="K945" s="141"/>
      <c r="L945" s="141"/>
      <c r="M945" s="141"/>
      <c r="N945" s="141"/>
      <c r="O945" s="141"/>
      <c r="P945" s="141"/>
      <c r="Q945" s="141"/>
    </row>
    <row r="946" spans="1:17" ht="13.5" customHeight="1" x14ac:dyDescent="0.15">
      <c r="A946" s="141"/>
      <c r="B946" s="154"/>
      <c r="C946" s="141"/>
      <c r="D946" s="153" t="s">
        <v>367</v>
      </c>
      <c r="E946" s="141"/>
      <c r="F946" s="141"/>
      <c r="G946" s="141"/>
      <c r="H946" s="141"/>
      <c r="I946" s="141"/>
      <c r="J946" s="141"/>
      <c r="K946" s="141"/>
      <c r="L946" s="141"/>
      <c r="M946" s="141"/>
      <c r="N946" s="141"/>
      <c r="O946" s="141"/>
      <c r="P946" s="141"/>
      <c r="Q946" s="141"/>
    </row>
    <row r="947" spans="1:17" ht="13.5" customHeight="1" x14ac:dyDescent="0.15">
      <c r="A947" s="141"/>
      <c r="B947" s="154"/>
      <c r="C947" s="141"/>
      <c r="D947" s="153" t="s">
        <v>367</v>
      </c>
      <c r="E947" s="141"/>
      <c r="F947" s="141"/>
      <c r="G947" s="141"/>
      <c r="H947" s="141"/>
      <c r="I947" s="141"/>
      <c r="J947" s="141"/>
      <c r="K947" s="141"/>
      <c r="L947" s="141"/>
      <c r="M947" s="141"/>
      <c r="N947" s="141"/>
      <c r="O947" s="141"/>
      <c r="P947" s="141"/>
      <c r="Q947" s="141"/>
    </row>
    <row r="948" spans="1:17" ht="13.5" customHeight="1" x14ac:dyDescent="0.15">
      <c r="A948" s="141"/>
      <c r="B948" s="154"/>
      <c r="C948" s="141"/>
      <c r="D948" s="153" t="s">
        <v>367</v>
      </c>
      <c r="E948" s="141"/>
      <c r="F948" s="141"/>
      <c r="G948" s="141"/>
      <c r="H948" s="141"/>
      <c r="I948" s="141"/>
      <c r="J948" s="141"/>
      <c r="K948" s="141"/>
      <c r="L948" s="141"/>
      <c r="M948" s="141"/>
      <c r="N948" s="141"/>
      <c r="O948" s="141"/>
      <c r="P948" s="141"/>
      <c r="Q948" s="141"/>
    </row>
    <row r="949" spans="1:17" ht="13.5" customHeight="1" x14ac:dyDescent="0.15">
      <c r="A949" s="141"/>
      <c r="B949" s="154"/>
      <c r="C949" s="141"/>
      <c r="D949" s="153" t="s">
        <v>367</v>
      </c>
      <c r="E949" s="141"/>
      <c r="F949" s="141"/>
      <c r="G949" s="141"/>
      <c r="H949" s="141"/>
      <c r="I949" s="141"/>
      <c r="J949" s="141"/>
      <c r="K949" s="141"/>
      <c r="L949" s="141"/>
      <c r="M949" s="141"/>
      <c r="N949" s="141"/>
      <c r="O949" s="141"/>
      <c r="P949" s="141"/>
      <c r="Q949" s="141"/>
    </row>
    <row r="950" spans="1:17" ht="13.5" customHeight="1" x14ac:dyDescent="0.15">
      <c r="A950" s="141"/>
      <c r="B950" s="154"/>
      <c r="C950" s="141"/>
      <c r="D950" s="153" t="s">
        <v>367</v>
      </c>
      <c r="E950" s="141"/>
      <c r="F950" s="141"/>
      <c r="G950" s="141"/>
      <c r="H950" s="141"/>
      <c r="I950" s="141"/>
      <c r="J950" s="141"/>
      <c r="K950" s="141"/>
      <c r="L950" s="141"/>
      <c r="M950" s="141"/>
      <c r="N950" s="141"/>
      <c r="O950" s="141"/>
      <c r="P950" s="141"/>
      <c r="Q950" s="141"/>
    </row>
    <row r="951" spans="1:17" ht="13.5" customHeight="1" x14ac:dyDescent="0.15">
      <c r="A951" s="141"/>
      <c r="B951" s="154"/>
      <c r="C951" s="141"/>
      <c r="D951" s="153" t="s">
        <v>367</v>
      </c>
      <c r="E951" s="141"/>
      <c r="F951" s="141"/>
      <c r="G951" s="141"/>
      <c r="H951" s="141"/>
      <c r="I951" s="141"/>
      <c r="J951" s="141"/>
      <c r="K951" s="141"/>
      <c r="L951" s="141"/>
      <c r="M951" s="141"/>
      <c r="N951" s="141"/>
      <c r="O951" s="141"/>
      <c r="P951" s="141"/>
      <c r="Q951" s="141"/>
    </row>
    <row r="952" spans="1:17" ht="13.5" customHeight="1" x14ac:dyDescent="0.15">
      <c r="A952" s="141"/>
      <c r="B952" s="154"/>
      <c r="C952" s="141"/>
      <c r="D952" s="153" t="s">
        <v>367</v>
      </c>
      <c r="E952" s="141"/>
      <c r="F952" s="141"/>
      <c r="G952" s="141"/>
      <c r="H952" s="141"/>
      <c r="I952" s="141"/>
      <c r="J952" s="141"/>
      <c r="K952" s="141"/>
      <c r="L952" s="141"/>
      <c r="M952" s="141"/>
      <c r="N952" s="141"/>
      <c r="O952" s="141"/>
      <c r="P952" s="141"/>
      <c r="Q952" s="141"/>
    </row>
    <row r="953" spans="1:17" ht="13.5" customHeight="1" x14ac:dyDescent="0.15">
      <c r="A953" s="141"/>
      <c r="B953" s="154"/>
      <c r="C953" s="141"/>
      <c r="D953" s="153" t="s">
        <v>367</v>
      </c>
      <c r="E953" s="141"/>
      <c r="F953" s="141"/>
      <c r="G953" s="141"/>
      <c r="H953" s="141"/>
      <c r="I953" s="141"/>
      <c r="J953" s="141"/>
      <c r="K953" s="141"/>
      <c r="L953" s="141"/>
      <c r="M953" s="141"/>
      <c r="N953" s="141"/>
      <c r="O953" s="141"/>
      <c r="P953" s="141"/>
      <c r="Q953" s="141"/>
    </row>
    <row r="954" spans="1:17" ht="13.5" customHeight="1" x14ac:dyDescent="0.15">
      <c r="A954" s="141"/>
      <c r="B954" s="154"/>
      <c r="C954" s="141"/>
      <c r="D954" s="153" t="s">
        <v>367</v>
      </c>
      <c r="E954" s="141"/>
      <c r="F954" s="141"/>
      <c r="G954" s="141"/>
      <c r="H954" s="141"/>
      <c r="I954" s="141"/>
      <c r="J954" s="141"/>
      <c r="K954" s="141"/>
      <c r="L954" s="141"/>
      <c r="M954" s="141"/>
      <c r="N954" s="141"/>
      <c r="O954" s="141"/>
      <c r="P954" s="141"/>
      <c r="Q954" s="141"/>
    </row>
    <row r="955" spans="1:17" ht="13.5" customHeight="1" x14ac:dyDescent="0.15">
      <c r="A955" s="141"/>
      <c r="B955" s="154"/>
      <c r="C955" s="141"/>
      <c r="D955" s="153" t="s">
        <v>367</v>
      </c>
      <c r="E955" s="141"/>
      <c r="F955" s="141"/>
      <c r="G955" s="141"/>
      <c r="H955" s="141"/>
      <c r="I955" s="141"/>
      <c r="J955" s="141"/>
      <c r="K955" s="141"/>
      <c r="L955" s="141"/>
      <c r="M955" s="141"/>
      <c r="N955" s="141"/>
      <c r="O955" s="141"/>
      <c r="P955" s="141"/>
      <c r="Q955" s="141"/>
    </row>
    <row r="956" spans="1:17" ht="13.5" customHeight="1" x14ac:dyDescent="0.15">
      <c r="A956" s="141"/>
      <c r="B956" s="154"/>
      <c r="C956" s="141"/>
      <c r="D956" s="153" t="s">
        <v>367</v>
      </c>
      <c r="E956" s="141"/>
      <c r="F956" s="141"/>
      <c r="G956" s="141"/>
      <c r="H956" s="141"/>
      <c r="I956" s="141"/>
      <c r="J956" s="141"/>
      <c r="K956" s="141"/>
      <c r="L956" s="141"/>
      <c r="M956" s="141"/>
      <c r="N956" s="141"/>
      <c r="O956" s="141"/>
      <c r="P956" s="141"/>
      <c r="Q956" s="141"/>
    </row>
    <row r="957" spans="1:17" ht="13.5" customHeight="1" x14ac:dyDescent="0.15">
      <c r="A957" s="141"/>
      <c r="B957" s="154"/>
      <c r="C957" s="141"/>
      <c r="D957" s="153" t="s">
        <v>367</v>
      </c>
      <c r="E957" s="141"/>
      <c r="F957" s="141"/>
      <c r="G957" s="141"/>
      <c r="H957" s="141"/>
      <c r="I957" s="141"/>
      <c r="J957" s="141"/>
      <c r="K957" s="141"/>
      <c r="L957" s="141"/>
      <c r="M957" s="141"/>
      <c r="N957" s="141"/>
      <c r="O957" s="141"/>
      <c r="P957" s="141"/>
      <c r="Q957" s="141"/>
    </row>
    <row r="958" spans="1:17" ht="13.5" customHeight="1" x14ac:dyDescent="0.15">
      <c r="A958" s="141"/>
      <c r="B958" s="154"/>
      <c r="C958" s="141"/>
      <c r="D958" s="153" t="s">
        <v>367</v>
      </c>
      <c r="E958" s="141"/>
      <c r="F958" s="141"/>
      <c r="G958" s="141"/>
      <c r="H958" s="141"/>
      <c r="I958" s="141"/>
      <c r="J958" s="141"/>
      <c r="K958" s="141"/>
      <c r="L958" s="141"/>
      <c r="M958" s="141"/>
      <c r="N958" s="141"/>
      <c r="O958" s="141"/>
      <c r="P958" s="141"/>
      <c r="Q958" s="141"/>
    </row>
    <row r="959" spans="1:17" ht="13.5" customHeight="1" x14ac:dyDescent="0.15">
      <c r="A959" s="141"/>
      <c r="B959" s="154"/>
      <c r="C959" s="141"/>
      <c r="D959" s="153" t="s">
        <v>367</v>
      </c>
      <c r="E959" s="141"/>
      <c r="F959" s="141"/>
      <c r="G959" s="141"/>
      <c r="H959" s="141"/>
      <c r="I959" s="141"/>
      <c r="J959" s="141"/>
      <c r="K959" s="141"/>
      <c r="L959" s="141"/>
      <c r="M959" s="141"/>
      <c r="N959" s="141"/>
      <c r="O959" s="141"/>
      <c r="P959" s="141"/>
      <c r="Q959" s="141"/>
    </row>
    <row r="960" spans="1:17" ht="13.5" customHeight="1" x14ac:dyDescent="0.15">
      <c r="A960" s="141"/>
      <c r="B960" s="154"/>
      <c r="C960" s="141"/>
      <c r="D960" s="153" t="s">
        <v>367</v>
      </c>
      <c r="E960" s="141"/>
      <c r="F960" s="141"/>
      <c r="G960" s="141"/>
      <c r="H960" s="141"/>
      <c r="I960" s="141"/>
      <c r="J960" s="141"/>
      <c r="K960" s="141"/>
      <c r="L960" s="141"/>
      <c r="M960" s="141"/>
      <c r="N960" s="141"/>
      <c r="O960" s="141"/>
      <c r="P960" s="141"/>
      <c r="Q960" s="141"/>
    </row>
    <row r="961" spans="1:17" ht="13.5" customHeight="1" x14ac:dyDescent="0.15">
      <c r="A961" s="141"/>
      <c r="B961" s="154"/>
      <c r="C961" s="141"/>
      <c r="D961" s="153" t="s">
        <v>367</v>
      </c>
      <c r="E961" s="141"/>
      <c r="F961" s="141"/>
      <c r="G961" s="141"/>
      <c r="H961" s="141"/>
      <c r="I961" s="141"/>
      <c r="J961" s="141"/>
      <c r="K961" s="141"/>
      <c r="L961" s="141"/>
      <c r="M961" s="141"/>
      <c r="N961" s="141"/>
      <c r="O961" s="141"/>
      <c r="P961" s="141"/>
      <c r="Q961" s="141"/>
    </row>
    <row r="962" spans="1:17" ht="13.5" customHeight="1" x14ac:dyDescent="0.15">
      <c r="A962" s="141"/>
      <c r="B962" s="154"/>
      <c r="C962" s="141"/>
      <c r="D962" s="153" t="s">
        <v>367</v>
      </c>
      <c r="E962" s="141"/>
      <c r="F962" s="141"/>
      <c r="G962" s="141"/>
      <c r="H962" s="141"/>
      <c r="I962" s="141"/>
      <c r="J962" s="141"/>
      <c r="K962" s="141"/>
      <c r="L962" s="141"/>
      <c r="M962" s="141"/>
      <c r="N962" s="141"/>
      <c r="O962" s="141"/>
      <c r="P962" s="141"/>
      <c r="Q962" s="141"/>
    </row>
    <row r="963" spans="1:17" ht="13.5" customHeight="1" x14ac:dyDescent="0.15">
      <c r="A963" s="141"/>
      <c r="B963" s="154"/>
      <c r="C963" s="141"/>
      <c r="D963" s="153" t="s">
        <v>367</v>
      </c>
      <c r="E963" s="141"/>
      <c r="F963" s="141"/>
      <c r="G963" s="141"/>
      <c r="H963" s="141"/>
      <c r="I963" s="141"/>
      <c r="J963" s="141"/>
      <c r="K963" s="141"/>
      <c r="L963" s="141"/>
      <c r="M963" s="141"/>
      <c r="N963" s="141"/>
      <c r="O963" s="141"/>
      <c r="P963" s="141"/>
      <c r="Q963" s="141"/>
    </row>
    <row r="964" spans="1:17" ht="13.5" customHeight="1" x14ac:dyDescent="0.15">
      <c r="A964" s="141"/>
      <c r="B964" s="154"/>
      <c r="C964" s="141"/>
      <c r="D964" s="153" t="s">
        <v>367</v>
      </c>
      <c r="E964" s="141"/>
      <c r="F964" s="141"/>
      <c r="G964" s="141"/>
      <c r="H964" s="141"/>
      <c r="I964" s="141"/>
      <c r="J964" s="141"/>
      <c r="K964" s="141"/>
      <c r="L964" s="141"/>
      <c r="M964" s="141"/>
      <c r="N964" s="141"/>
      <c r="O964" s="141"/>
      <c r="P964" s="141"/>
      <c r="Q964" s="141"/>
    </row>
    <row r="965" spans="1:17" ht="13.5" customHeight="1" x14ac:dyDescent="0.15">
      <c r="A965" s="141"/>
      <c r="B965" s="154"/>
      <c r="C965" s="141"/>
      <c r="D965" s="153" t="s">
        <v>367</v>
      </c>
      <c r="E965" s="141"/>
      <c r="F965" s="141"/>
      <c r="G965" s="141"/>
      <c r="H965" s="141"/>
      <c r="I965" s="141"/>
      <c r="J965" s="141"/>
      <c r="K965" s="141"/>
      <c r="L965" s="141"/>
      <c r="M965" s="141"/>
      <c r="N965" s="141"/>
      <c r="O965" s="141"/>
      <c r="P965" s="141"/>
      <c r="Q965" s="141"/>
    </row>
    <row r="966" spans="1:17" ht="13.5" customHeight="1" x14ac:dyDescent="0.15">
      <c r="A966" s="141"/>
      <c r="B966" s="154"/>
      <c r="C966" s="141"/>
      <c r="D966" s="153" t="s">
        <v>367</v>
      </c>
      <c r="E966" s="141"/>
      <c r="F966" s="141"/>
      <c r="G966" s="141"/>
      <c r="H966" s="141"/>
      <c r="I966" s="141"/>
      <c r="J966" s="141"/>
      <c r="K966" s="141"/>
      <c r="L966" s="141"/>
      <c r="M966" s="141"/>
      <c r="N966" s="141"/>
      <c r="O966" s="141"/>
      <c r="P966" s="141"/>
      <c r="Q966" s="141"/>
    </row>
    <row r="967" spans="1:17" ht="13.5" customHeight="1" x14ac:dyDescent="0.15">
      <c r="A967" s="141"/>
      <c r="B967" s="154"/>
      <c r="C967" s="141"/>
      <c r="D967" s="153" t="s">
        <v>367</v>
      </c>
      <c r="E967" s="141"/>
      <c r="F967" s="141"/>
      <c r="G967" s="141"/>
      <c r="H967" s="141"/>
      <c r="I967" s="141"/>
      <c r="J967" s="141"/>
      <c r="K967" s="141"/>
      <c r="L967" s="141"/>
      <c r="M967" s="141"/>
      <c r="N967" s="141"/>
      <c r="O967" s="141"/>
      <c r="P967" s="141"/>
      <c r="Q967" s="141"/>
    </row>
    <row r="968" spans="1:17" ht="13.5" customHeight="1" x14ac:dyDescent="0.15">
      <c r="A968" s="141"/>
      <c r="B968" s="154"/>
      <c r="C968" s="141"/>
      <c r="D968" s="153" t="s">
        <v>367</v>
      </c>
      <c r="E968" s="141"/>
      <c r="F968" s="141"/>
      <c r="G968" s="141"/>
      <c r="H968" s="141"/>
      <c r="I968" s="141"/>
      <c r="J968" s="141"/>
      <c r="K968" s="141"/>
      <c r="L968" s="141"/>
      <c r="M968" s="141"/>
      <c r="N968" s="141"/>
      <c r="O968" s="141"/>
      <c r="P968" s="141"/>
      <c r="Q968" s="141"/>
    </row>
    <row r="969" spans="1:17" ht="13.5" customHeight="1" x14ac:dyDescent="0.15">
      <c r="A969" s="141"/>
      <c r="B969" s="154"/>
      <c r="C969" s="141"/>
      <c r="D969" s="153" t="s">
        <v>367</v>
      </c>
      <c r="E969" s="141"/>
      <c r="F969" s="141"/>
      <c r="G969" s="141"/>
      <c r="H969" s="141"/>
      <c r="I969" s="141"/>
      <c r="J969" s="141"/>
      <c r="K969" s="141"/>
      <c r="L969" s="141"/>
      <c r="M969" s="141"/>
      <c r="N969" s="141"/>
      <c r="O969" s="141"/>
      <c r="P969" s="141"/>
      <c r="Q969" s="141"/>
    </row>
    <row r="970" spans="1:17" ht="13.5" customHeight="1" x14ac:dyDescent="0.15">
      <c r="A970" s="141"/>
      <c r="B970" s="154"/>
      <c r="C970" s="141"/>
      <c r="D970" s="153" t="s">
        <v>367</v>
      </c>
      <c r="E970" s="141"/>
      <c r="F970" s="141"/>
      <c r="G970" s="141"/>
      <c r="H970" s="141"/>
      <c r="I970" s="141"/>
      <c r="J970" s="141"/>
      <c r="K970" s="141"/>
      <c r="L970" s="141"/>
      <c r="M970" s="141"/>
      <c r="N970" s="141"/>
      <c r="O970" s="141"/>
      <c r="P970" s="141"/>
      <c r="Q970" s="141"/>
    </row>
    <row r="971" spans="1:17" ht="13.5" customHeight="1" x14ac:dyDescent="0.15">
      <c r="A971" s="141"/>
      <c r="B971" s="154"/>
      <c r="C971" s="141"/>
      <c r="D971" s="153" t="s">
        <v>367</v>
      </c>
      <c r="E971" s="141"/>
      <c r="F971" s="141"/>
      <c r="G971" s="141"/>
      <c r="H971" s="141"/>
      <c r="I971" s="141"/>
      <c r="J971" s="141"/>
      <c r="K971" s="141"/>
      <c r="L971" s="141"/>
      <c r="M971" s="141"/>
      <c r="N971" s="141"/>
      <c r="O971" s="141"/>
      <c r="P971" s="141"/>
      <c r="Q971" s="141"/>
    </row>
    <row r="972" spans="1:17" ht="13.5" customHeight="1" x14ac:dyDescent="0.15">
      <c r="A972" s="141"/>
      <c r="B972" s="154"/>
      <c r="C972" s="141"/>
      <c r="D972" s="153" t="s">
        <v>367</v>
      </c>
      <c r="E972" s="141"/>
      <c r="F972" s="141"/>
      <c r="G972" s="141"/>
      <c r="H972" s="141"/>
      <c r="I972" s="141"/>
      <c r="J972" s="141"/>
      <c r="K972" s="141"/>
      <c r="L972" s="141"/>
      <c r="M972" s="141"/>
      <c r="N972" s="141"/>
      <c r="O972" s="141"/>
      <c r="P972" s="141"/>
      <c r="Q972" s="141"/>
    </row>
    <row r="973" spans="1:17" ht="13.5" customHeight="1" x14ac:dyDescent="0.15">
      <c r="A973" s="141"/>
      <c r="B973" s="154"/>
      <c r="C973" s="141"/>
      <c r="D973" s="153" t="s">
        <v>367</v>
      </c>
      <c r="E973" s="141"/>
      <c r="F973" s="141"/>
      <c r="G973" s="141"/>
      <c r="H973" s="141"/>
      <c r="I973" s="141"/>
      <c r="J973" s="141"/>
      <c r="K973" s="141"/>
      <c r="L973" s="141"/>
      <c r="M973" s="141"/>
      <c r="N973" s="141"/>
      <c r="O973" s="141"/>
      <c r="P973" s="141"/>
      <c r="Q973" s="141"/>
    </row>
    <row r="974" spans="1:17" ht="13.5" customHeight="1" x14ac:dyDescent="0.15">
      <c r="A974" s="141"/>
      <c r="B974" s="154"/>
      <c r="C974" s="141"/>
      <c r="D974" s="153" t="s">
        <v>367</v>
      </c>
      <c r="E974" s="141"/>
      <c r="F974" s="141"/>
      <c r="G974" s="141"/>
      <c r="H974" s="141"/>
      <c r="I974" s="141"/>
      <c r="J974" s="141"/>
      <c r="K974" s="141"/>
      <c r="L974" s="141"/>
      <c r="M974" s="141"/>
      <c r="N974" s="141"/>
      <c r="O974" s="141"/>
      <c r="P974" s="141"/>
      <c r="Q974" s="141"/>
    </row>
    <row r="975" spans="1:17" ht="13.5" customHeight="1" x14ac:dyDescent="0.15">
      <c r="A975" s="141"/>
      <c r="B975" s="154"/>
      <c r="C975" s="141"/>
      <c r="D975" s="153" t="s">
        <v>367</v>
      </c>
      <c r="E975" s="141"/>
      <c r="F975" s="141"/>
      <c r="G975" s="141"/>
      <c r="H975" s="141"/>
      <c r="I975" s="141"/>
      <c r="J975" s="141"/>
      <c r="K975" s="141"/>
      <c r="L975" s="141"/>
      <c r="M975" s="141"/>
      <c r="N975" s="141"/>
      <c r="O975" s="141"/>
      <c r="P975" s="141"/>
      <c r="Q975" s="141"/>
    </row>
    <row r="976" spans="1:17" ht="13.5" customHeight="1" x14ac:dyDescent="0.15">
      <c r="A976" s="141"/>
      <c r="B976" s="154"/>
      <c r="C976" s="141"/>
      <c r="D976" s="153" t="s">
        <v>367</v>
      </c>
      <c r="E976" s="141"/>
      <c r="F976" s="141"/>
      <c r="G976" s="141"/>
      <c r="H976" s="141"/>
      <c r="I976" s="141"/>
      <c r="J976" s="141"/>
      <c r="K976" s="141"/>
      <c r="L976" s="141"/>
      <c r="M976" s="141"/>
      <c r="N976" s="141"/>
      <c r="O976" s="141"/>
      <c r="P976" s="141"/>
      <c r="Q976" s="141"/>
    </row>
    <row r="977" spans="1:17" ht="13.5" customHeight="1" x14ac:dyDescent="0.15">
      <c r="A977" s="141"/>
      <c r="B977" s="154"/>
      <c r="C977" s="141"/>
      <c r="D977" s="153" t="s">
        <v>367</v>
      </c>
      <c r="E977" s="141"/>
      <c r="F977" s="141"/>
      <c r="G977" s="141"/>
      <c r="H977" s="141"/>
      <c r="I977" s="141"/>
      <c r="J977" s="141"/>
      <c r="K977" s="141"/>
      <c r="L977" s="141"/>
      <c r="M977" s="141"/>
      <c r="N977" s="141"/>
      <c r="O977" s="141"/>
      <c r="P977" s="141"/>
      <c r="Q977" s="141"/>
    </row>
    <row r="978" spans="1:17" ht="13.5" customHeight="1" x14ac:dyDescent="0.15">
      <c r="A978" s="141"/>
      <c r="B978" s="154"/>
      <c r="C978" s="141"/>
      <c r="D978" s="153" t="s">
        <v>367</v>
      </c>
      <c r="E978" s="141"/>
      <c r="F978" s="141"/>
      <c r="G978" s="141"/>
      <c r="H978" s="141"/>
      <c r="I978" s="141"/>
      <c r="J978" s="141"/>
      <c r="K978" s="141"/>
      <c r="L978" s="141"/>
      <c r="M978" s="141"/>
      <c r="N978" s="141"/>
      <c r="O978" s="141"/>
      <c r="P978" s="141"/>
      <c r="Q978" s="141"/>
    </row>
    <row r="979" spans="1:17" ht="13.5" customHeight="1" x14ac:dyDescent="0.15">
      <c r="A979" s="141"/>
      <c r="B979" s="154"/>
      <c r="C979" s="141"/>
      <c r="D979" s="153" t="s">
        <v>367</v>
      </c>
      <c r="E979" s="141"/>
      <c r="F979" s="141"/>
      <c r="G979" s="141"/>
      <c r="H979" s="141"/>
      <c r="I979" s="141"/>
      <c r="J979" s="141"/>
      <c r="K979" s="141"/>
      <c r="L979" s="141"/>
      <c r="M979" s="141"/>
      <c r="N979" s="141"/>
      <c r="O979" s="141"/>
      <c r="P979" s="141"/>
      <c r="Q979" s="141"/>
    </row>
    <row r="980" spans="1:17" ht="13.5" customHeight="1" x14ac:dyDescent="0.15">
      <c r="A980" s="141"/>
      <c r="B980" s="154"/>
      <c r="C980" s="141"/>
      <c r="D980" s="153" t="s">
        <v>367</v>
      </c>
      <c r="E980" s="141"/>
      <c r="F980" s="141"/>
      <c r="G980" s="141"/>
      <c r="H980" s="141"/>
      <c r="I980" s="141"/>
      <c r="J980" s="141"/>
      <c r="K980" s="141"/>
      <c r="L980" s="141"/>
      <c r="M980" s="141"/>
      <c r="N980" s="141"/>
      <c r="O980" s="141"/>
      <c r="P980" s="141"/>
      <c r="Q980" s="141"/>
    </row>
    <row r="981" spans="1:17" ht="13.5" customHeight="1" x14ac:dyDescent="0.15">
      <c r="A981" s="141"/>
      <c r="B981" s="154"/>
      <c r="C981" s="141"/>
      <c r="D981" s="153" t="s">
        <v>367</v>
      </c>
      <c r="E981" s="141"/>
      <c r="F981" s="141"/>
      <c r="G981" s="141"/>
      <c r="H981" s="141"/>
      <c r="I981" s="141"/>
      <c r="J981" s="141"/>
      <c r="K981" s="141"/>
      <c r="L981" s="141"/>
      <c r="M981" s="141"/>
      <c r="N981" s="141"/>
      <c r="O981" s="141"/>
      <c r="P981" s="141"/>
      <c r="Q981" s="141"/>
    </row>
    <row r="982" spans="1:17" ht="13.5" customHeight="1" x14ac:dyDescent="0.15">
      <c r="A982" s="141"/>
      <c r="B982" s="154"/>
      <c r="C982" s="141"/>
      <c r="D982" s="153" t="s">
        <v>367</v>
      </c>
      <c r="E982" s="141"/>
      <c r="F982" s="141"/>
      <c r="G982" s="141"/>
      <c r="H982" s="141"/>
      <c r="I982" s="141"/>
      <c r="J982" s="141"/>
      <c r="K982" s="141"/>
      <c r="L982" s="141"/>
      <c r="M982" s="141"/>
      <c r="N982" s="141"/>
      <c r="O982" s="141"/>
      <c r="P982" s="141"/>
      <c r="Q982" s="141"/>
    </row>
    <row r="983" spans="1:17" ht="13.5" customHeight="1" x14ac:dyDescent="0.15">
      <c r="A983" s="141"/>
      <c r="B983" s="154"/>
      <c r="C983" s="141"/>
      <c r="D983" s="153" t="s">
        <v>367</v>
      </c>
      <c r="E983" s="141"/>
      <c r="F983" s="141"/>
      <c r="G983" s="141"/>
      <c r="H983" s="141"/>
      <c r="I983" s="141"/>
      <c r="J983" s="141"/>
      <c r="K983" s="141"/>
      <c r="L983" s="141"/>
      <c r="M983" s="141"/>
      <c r="N983" s="141"/>
      <c r="O983" s="141"/>
      <c r="P983" s="141"/>
      <c r="Q983" s="141"/>
    </row>
    <row r="984" spans="1:17" ht="13.5" customHeight="1" x14ac:dyDescent="0.15">
      <c r="A984" s="141"/>
      <c r="B984" s="154"/>
      <c r="C984" s="141"/>
      <c r="D984" s="153" t="s">
        <v>367</v>
      </c>
      <c r="E984" s="141"/>
      <c r="F984" s="141"/>
      <c r="G984" s="141"/>
      <c r="H984" s="141"/>
      <c r="I984" s="141"/>
      <c r="J984" s="141"/>
      <c r="K984" s="141"/>
      <c r="L984" s="141"/>
      <c r="M984" s="141"/>
      <c r="N984" s="141"/>
      <c r="O984" s="141"/>
      <c r="P984" s="141"/>
      <c r="Q984" s="141"/>
    </row>
    <row r="985" spans="1:17" ht="13.5" customHeight="1" x14ac:dyDescent="0.15">
      <c r="A985" s="141"/>
      <c r="B985" s="154"/>
      <c r="C985" s="141"/>
      <c r="D985" s="153" t="s">
        <v>367</v>
      </c>
      <c r="E985" s="141"/>
      <c r="F985" s="141"/>
      <c r="G985" s="141"/>
      <c r="H985" s="141"/>
      <c r="I985" s="141"/>
      <c r="J985" s="141"/>
      <c r="K985" s="141"/>
      <c r="L985" s="141"/>
      <c r="M985" s="141"/>
      <c r="N985" s="141"/>
      <c r="O985" s="141"/>
      <c r="P985" s="141"/>
      <c r="Q985" s="141"/>
    </row>
    <row r="986" spans="1:17" ht="13.5" customHeight="1" x14ac:dyDescent="0.15">
      <c r="A986" s="141"/>
      <c r="B986" s="154"/>
      <c r="C986" s="141"/>
      <c r="D986" s="153" t="s">
        <v>367</v>
      </c>
      <c r="E986" s="141"/>
      <c r="F986" s="141"/>
      <c r="G986" s="141"/>
      <c r="H986" s="141"/>
      <c r="I986" s="141"/>
      <c r="J986" s="141"/>
      <c r="K986" s="141"/>
      <c r="L986" s="141"/>
      <c r="M986" s="141"/>
      <c r="N986" s="141"/>
      <c r="O986" s="141"/>
      <c r="P986" s="141"/>
      <c r="Q986" s="141"/>
    </row>
    <row r="987" spans="1:17" ht="13.5" customHeight="1" x14ac:dyDescent="0.15">
      <c r="A987" s="141"/>
      <c r="B987" s="154"/>
      <c r="C987" s="141"/>
      <c r="D987" s="153" t="s">
        <v>367</v>
      </c>
      <c r="E987" s="141"/>
      <c r="F987" s="141"/>
      <c r="G987" s="141"/>
      <c r="H987" s="141"/>
      <c r="I987" s="141"/>
      <c r="J987" s="141"/>
      <c r="K987" s="141"/>
      <c r="L987" s="141"/>
      <c r="M987" s="141"/>
      <c r="N987" s="141"/>
      <c r="O987" s="141"/>
      <c r="P987" s="141"/>
      <c r="Q987" s="141"/>
    </row>
    <row r="988" spans="1:17" ht="13.5" customHeight="1" x14ac:dyDescent="0.15">
      <c r="A988" s="141"/>
      <c r="B988" s="154"/>
      <c r="C988" s="141"/>
      <c r="D988" s="153" t="s">
        <v>367</v>
      </c>
      <c r="E988" s="141"/>
      <c r="F988" s="141"/>
      <c r="G988" s="141"/>
      <c r="H988" s="141"/>
      <c r="I988" s="141"/>
      <c r="J988" s="141"/>
      <c r="K988" s="141"/>
      <c r="L988" s="141"/>
      <c r="M988" s="141"/>
      <c r="N988" s="141"/>
      <c r="O988" s="141"/>
      <c r="P988" s="141"/>
      <c r="Q988" s="141"/>
    </row>
    <row r="989" spans="1:17" ht="13.5" customHeight="1" x14ac:dyDescent="0.15">
      <c r="A989" s="141"/>
      <c r="B989" s="154"/>
      <c r="C989" s="141"/>
      <c r="D989" s="153" t="s">
        <v>367</v>
      </c>
      <c r="E989" s="141"/>
      <c r="F989" s="141"/>
      <c r="G989" s="141"/>
      <c r="H989" s="141"/>
      <c r="I989" s="141"/>
      <c r="J989" s="141"/>
      <c r="K989" s="141"/>
      <c r="L989" s="141"/>
      <c r="M989" s="141"/>
      <c r="N989" s="141"/>
      <c r="O989" s="141"/>
      <c r="P989" s="141"/>
      <c r="Q989" s="141"/>
    </row>
    <row r="990" spans="1:17" ht="13.5" customHeight="1" x14ac:dyDescent="0.15">
      <c r="A990" s="141"/>
      <c r="B990" s="154"/>
      <c r="C990" s="141"/>
      <c r="D990" s="153" t="s">
        <v>367</v>
      </c>
      <c r="E990" s="141"/>
      <c r="F990" s="141"/>
      <c r="G990" s="141"/>
      <c r="H990" s="141"/>
      <c r="I990" s="141"/>
      <c r="J990" s="141"/>
      <c r="K990" s="141"/>
      <c r="L990" s="141"/>
      <c r="M990" s="141"/>
      <c r="N990" s="141"/>
      <c r="O990" s="141"/>
      <c r="P990" s="141"/>
      <c r="Q990" s="141"/>
    </row>
    <row r="991" spans="1:17" ht="13.5" customHeight="1" x14ac:dyDescent="0.15">
      <c r="A991" s="141"/>
      <c r="B991" s="154"/>
      <c r="C991" s="141"/>
      <c r="D991" s="153" t="s">
        <v>367</v>
      </c>
      <c r="E991" s="141"/>
      <c r="F991" s="141"/>
      <c r="G991" s="141"/>
      <c r="H991" s="141"/>
      <c r="I991" s="141"/>
      <c r="J991" s="141"/>
      <c r="K991" s="141"/>
      <c r="L991" s="141"/>
      <c r="M991" s="141"/>
      <c r="N991" s="141"/>
      <c r="O991" s="141"/>
      <c r="P991" s="141"/>
      <c r="Q991" s="141"/>
    </row>
    <row r="992" spans="1:17" ht="13.5" customHeight="1" x14ac:dyDescent="0.15">
      <c r="A992" s="141"/>
      <c r="B992" s="154"/>
      <c r="C992" s="141"/>
      <c r="D992" s="153" t="s">
        <v>367</v>
      </c>
      <c r="E992" s="141"/>
      <c r="F992" s="141"/>
      <c r="G992" s="141"/>
      <c r="H992" s="141"/>
      <c r="I992" s="141"/>
      <c r="J992" s="141"/>
      <c r="K992" s="141"/>
      <c r="L992" s="141"/>
      <c r="M992" s="141"/>
      <c r="N992" s="141"/>
      <c r="O992" s="141"/>
      <c r="P992" s="141"/>
      <c r="Q992" s="141"/>
    </row>
    <row r="993" spans="1:17" ht="13.5" customHeight="1" x14ac:dyDescent="0.15">
      <c r="A993" s="141"/>
      <c r="B993" s="154"/>
      <c r="C993" s="141"/>
      <c r="D993" s="153" t="s">
        <v>367</v>
      </c>
      <c r="E993" s="141"/>
      <c r="F993" s="141"/>
      <c r="G993" s="141"/>
      <c r="H993" s="141"/>
      <c r="I993" s="141"/>
      <c r="J993" s="141"/>
      <c r="K993" s="141"/>
      <c r="L993" s="141"/>
      <c r="M993" s="141"/>
      <c r="N993" s="141"/>
      <c r="O993" s="141"/>
      <c r="P993" s="141"/>
      <c r="Q993" s="141"/>
    </row>
    <row r="994" spans="1:17" ht="13.5" customHeight="1" x14ac:dyDescent="0.15">
      <c r="A994" s="141"/>
      <c r="B994" s="154"/>
      <c r="C994" s="141"/>
      <c r="D994" s="153" t="s">
        <v>367</v>
      </c>
      <c r="E994" s="141"/>
      <c r="F994" s="141"/>
      <c r="G994" s="141"/>
      <c r="H994" s="141"/>
      <c r="I994" s="141"/>
      <c r="J994" s="141"/>
      <c r="K994" s="141"/>
      <c r="L994" s="141"/>
      <c r="M994" s="141"/>
      <c r="N994" s="141"/>
      <c r="O994" s="141"/>
      <c r="P994" s="141"/>
      <c r="Q994" s="141"/>
    </row>
    <row r="995" spans="1:17" ht="13.5" customHeight="1" x14ac:dyDescent="0.15">
      <c r="A995" s="141"/>
      <c r="B995" s="154"/>
      <c r="C995" s="141"/>
      <c r="D995" s="153" t="s">
        <v>367</v>
      </c>
      <c r="E995" s="141"/>
      <c r="F995" s="141"/>
      <c r="G995" s="141"/>
      <c r="H995" s="141"/>
      <c r="I995" s="141"/>
      <c r="J995" s="141"/>
      <c r="K995" s="141"/>
      <c r="L995" s="141"/>
      <c r="M995" s="141"/>
      <c r="N995" s="141"/>
      <c r="O995" s="141"/>
      <c r="P995" s="141"/>
      <c r="Q995" s="141"/>
    </row>
    <row r="996" spans="1:17" ht="13.5" customHeight="1" x14ac:dyDescent="0.15">
      <c r="A996" s="141"/>
      <c r="B996" s="154"/>
      <c r="C996" s="141"/>
      <c r="D996" s="153" t="s">
        <v>367</v>
      </c>
      <c r="E996" s="141"/>
      <c r="F996" s="141"/>
      <c r="G996" s="141"/>
      <c r="H996" s="141"/>
      <c r="I996" s="141"/>
      <c r="J996" s="141"/>
      <c r="K996" s="141"/>
      <c r="L996" s="141"/>
      <c r="M996" s="141"/>
      <c r="N996" s="141"/>
      <c r="O996" s="141"/>
      <c r="P996" s="141"/>
      <c r="Q996" s="141"/>
    </row>
    <row r="997" spans="1:17" ht="13.5" customHeight="1" x14ac:dyDescent="0.15">
      <c r="A997" s="141"/>
      <c r="B997" s="154"/>
      <c r="C997" s="141"/>
      <c r="D997" s="153" t="s">
        <v>367</v>
      </c>
      <c r="E997" s="141"/>
      <c r="F997" s="141"/>
      <c r="G997" s="141"/>
      <c r="H997" s="141"/>
      <c r="I997" s="141"/>
      <c r="J997" s="141"/>
      <c r="K997" s="141"/>
      <c r="L997" s="141"/>
      <c r="M997" s="141"/>
      <c r="N997" s="141"/>
      <c r="O997" s="141"/>
      <c r="P997" s="141"/>
      <c r="Q997" s="141"/>
    </row>
    <row r="998" spans="1:17" ht="13.5" customHeight="1" x14ac:dyDescent="0.15">
      <c r="A998" s="141"/>
      <c r="B998" s="154"/>
      <c r="C998" s="141"/>
      <c r="D998" s="153" t="s">
        <v>367</v>
      </c>
      <c r="E998" s="141"/>
      <c r="F998" s="141"/>
      <c r="G998" s="141"/>
      <c r="H998" s="141"/>
      <c r="I998" s="141"/>
      <c r="J998" s="141"/>
      <c r="K998" s="141"/>
      <c r="L998" s="141"/>
      <c r="M998" s="141"/>
      <c r="N998" s="141"/>
      <c r="O998" s="141"/>
      <c r="P998" s="141"/>
      <c r="Q998" s="141"/>
    </row>
    <row r="999" spans="1:17" ht="13.5" customHeight="1" x14ac:dyDescent="0.15">
      <c r="A999" s="141"/>
      <c r="B999" s="154"/>
      <c r="C999" s="141"/>
      <c r="D999" s="153" t="s">
        <v>367</v>
      </c>
      <c r="E999" s="141"/>
      <c r="F999" s="141"/>
      <c r="G999" s="141"/>
      <c r="H999" s="141"/>
      <c r="I999" s="141"/>
      <c r="J999" s="141"/>
      <c r="K999" s="141"/>
      <c r="L999" s="141"/>
      <c r="M999" s="141"/>
      <c r="N999" s="141"/>
      <c r="O999" s="141"/>
      <c r="P999" s="141"/>
      <c r="Q999" s="141"/>
    </row>
    <row r="1000" spans="1:17" ht="13.5" customHeight="1" x14ac:dyDescent="0.15">
      <c r="A1000" s="141"/>
      <c r="B1000" s="154"/>
      <c r="C1000" s="141"/>
      <c r="D1000" s="153" t="s">
        <v>367</v>
      </c>
      <c r="E1000" s="141"/>
      <c r="F1000" s="141"/>
      <c r="G1000" s="141"/>
      <c r="H1000" s="141"/>
      <c r="I1000" s="141"/>
      <c r="J1000" s="141"/>
      <c r="K1000" s="141"/>
      <c r="L1000" s="141"/>
      <c r="M1000" s="141"/>
      <c r="N1000" s="141"/>
      <c r="O1000" s="141"/>
      <c r="P1000" s="141"/>
      <c r="Q1000" s="141"/>
    </row>
    <row r="1001" spans="1:17" ht="13.5" customHeight="1" x14ac:dyDescent="0.15">
      <c r="A1001" s="141"/>
      <c r="B1001" s="154"/>
      <c r="C1001" s="141"/>
      <c r="D1001" s="153" t="s">
        <v>367</v>
      </c>
      <c r="E1001" s="141"/>
      <c r="F1001" s="141"/>
      <c r="G1001" s="141"/>
      <c r="H1001" s="141"/>
      <c r="I1001" s="141"/>
      <c r="J1001" s="141"/>
      <c r="K1001" s="141"/>
      <c r="L1001" s="141"/>
      <c r="M1001" s="141"/>
      <c r="N1001" s="141"/>
      <c r="O1001" s="141"/>
      <c r="P1001" s="141"/>
      <c r="Q1001" s="141"/>
    </row>
    <row r="1002" spans="1:17" ht="13.5" customHeight="1" x14ac:dyDescent="0.15">
      <c r="A1002" s="141"/>
      <c r="B1002" s="154"/>
      <c r="C1002" s="141"/>
      <c r="D1002" s="153" t="s">
        <v>367</v>
      </c>
      <c r="E1002" s="141"/>
      <c r="F1002" s="141"/>
      <c r="G1002" s="141"/>
      <c r="H1002" s="141"/>
      <c r="I1002" s="141"/>
      <c r="J1002" s="141"/>
      <c r="K1002" s="141"/>
      <c r="L1002" s="141"/>
      <c r="M1002" s="141"/>
      <c r="N1002" s="141"/>
      <c r="O1002" s="141"/>
      <c r="P1002" s="141"/>
      <c r="Q1002" s="141"/>
    </row>
    <row r="1003" spans="1:17" ht="13.5" customHeight="1" x14ac:dyDescent="0.15">
      <c r="A1003" s="141"/>
      <c r="B1003" s="154"/>
      <c r="C1003" s="141"/>
      <c r="D1003" s="153" t="s">
        <v>367</v>
      </c>
      <c r="E1003" s="141"/>
      <c r="F1003" s="141"/>
      <c r="G1003" s="141"/>
      <c r="H1003" s="141"/>
      <c r="I1003" s="141"/>
      <c r="J1003" s="141"/>
      <c r="K1003" s="141"/>
      <c r="L1003" s="141"/>
      <c r="M1003" s="141"/>
      <c r="N1003" s="141"/>
      <c r="O1003" s="141"/>
      <c r="P1003" s="141"/>
      <c r="Q1003" s="141"/>
    </row>
    <row r="1004" spans="1:17" ht="13.5" customHeight="1" x14ac:dyDescent="0.15">
      <c r="A1004" s="141"/>
      <c r="B1004" s="154"/>
      <c r="C1004" s="141"/>
      <c r="D1004" s="153" t="s">
        <v>367</v>
      </c>
      <c r="E1004" s="141"/>
      <c r="F1004" s="141"/>
      <c r="G1004" s="141"/>
      <c r="H1004" s="141"/>
      <c r="I1004" s="141"/>
      <c r="J1004" s="141"/>
      <c r="K1004" s="141"/>
      <c r="L1004" s="141"/>
      <c r="M1004" s="141"/>
      <c r="N1004" s="141"/>
      <c r="O1004" s="141"/>
      <c r="P1004" s="141"/>
      <c r="Q1004" s="141"/>
    </row>
    <row r="1005" spans="1:17" ht="13.5" customHeight="1" x14ac:dyDescent="0.15">
      <c r="A1005" s="141"/>
      <c r="B1005" s="154"/>
      <c r="C1005" s="141"/>
      <c r="D1005" s="153" t="s">
        <v>367</v>
      </c>
      <c r="E1005" s="141"/>
      <c r="F1005" s="141"/>
      <c r="G1005" s="141"/>
      <c r="H1005" s="141"/>
      <c r="I1005" s="141"/>
      <c r="J1005" s="141"/>
      <c r="K1005" s="141"/>
      <c r="L1005" s="141"/>
      <c r="M1005" s="141"/>
      <c r="N1005" s="141"/>
      <c r="O1005" s="141"/>
      <c r="P1005" s="141"/>
      <c r="Q1005" s="141"/>
    </row>
    <row r="1006" spans="1:17" ht="13.5" customHeight="1" x14ac:dyDescent="0.15">
      <c r="A1006" s="141"/>
      <c r="B1006" s="154"/>
      <c r="C1006" s="141"/>
      <c r="D1006" s="155"/>
      <c r="E1006" s="141"/>
      <c r="F1006" s="141"/>
      <c r="G1006" s="141"/>
      <c r="H1006" s="141"/>
      <c r="I1006" s="141"/>
      <c r="J1006" s="141"/>
      <c r="K1006" s="141"/>
      <c r="L1006" s="141"/>
      <c r="M1006" s="141"/>
      <c r="N1006" s="141"/>
      <c r="O1006" s="141"/>
      <c r="P1006" s="141"/>
      <c r="Q1006" s="141"/>
    </row>
    <row r="1007" spans="1:17" ht="13.5" customHeight="1" x14ac:dyDescent="0.15">
      <c r="A1007" s="141"/>
      <c r="B1007" s="154"/>
      <c r="C1007" s="141"/>
      <c r="D1007" s="143"/>
      <c r="E1007" s="141"/>
      <c r="F1007" s="141"/>
      <c r="G1007" s="141"/>
      <c r="H1007" s="141"/>
      <c r="I1007" s="141"/>
      <c r="J1007" s="141"/>
      <c r="K1007" s="141"/>
      <c r="L1007" s="141"/>
      <c r="M1007" s="141"/>
      <c r="N1007" s="141"/>
      <c r="O1007" s="141"/>
      <c r="P1007" s="141"/>
      <c r="Q1007" s="141"/>
    </row>
  </sheetData>
  <hyperlinks>
    <hyperlink ref="D2" location="'每日用粉紀錄表'!A1" display="紀錄表" xr:uid="{00000000-0004-0000-0700-000000000000}"/>
    <hyperlink ref="E2" location="'當前庫存'!D2" display="當前庫存" xr:uid="{00000000-0004-0000-0700-000001000000}"/>
    <hyperlink ref="F2" location="'採購入庫'!G2" display="採購入庫" xr:uid="{00000000-0004-0000-0700-000002000000}"/>
  </hyperlinks>
  <pageMargins left="0.7" right="0.7" top="0.75" bottom="0.75" header="0" footer="0"/>
  <pageSetup paperSize="9" fitToWidth="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5"/>
  <sheetViews>
    <sheetView workbookViewId="0"/>
  </sheetViews>
  <sheetFormatPr defaultColWidth="13.97265625" defaultRowHeight="15" customHeight="1" x14ac:dyDescent="0.15"/>
  <cols>
    <col min="1" max="1" width="1.71484375" customWidth="1"/>
    <col min="2" max="2" width="3.4296875" customWidth="1"/>
    <col min="3" max="3" width="9.31640625" customWidth="1"/>
    <col min="4" max="4" width="12.50390625" customWidth="1"/>
    <col min="5" max="5" width="9.4375" customWidth="1"/>
    <col min="6" max="6" width="10.05078125" customWidth="1"/>
    <col min="7" max="8" width="9.19140625" customWidth="1"/>
    <col min="9" max="11" width="10.05078125" customWidth="1"/>
  </cols>
  <sheetData>
    <row r="1" spans="1:11" ht="8.25" customHeight="1" x14ac:dyDescent="0.15">
      <c r="A1" s="141"/>
      <c r="B1" s="142"/>
      <c r="C1" s="156"/>
      <c r="D1" s="143"/>
      <c r="E1" s="143"/>
      <c r="F1" s="143"/>
      <c r="G1" s="143"/>
      <c r="H1" s="143"/>
      <c r="I1" s="143"/>
      <c r="J1" s="141"/>
      <c r="K1" s="141"/>
    </row>
    <row r="2" spans="1:11" ht="13.5" customHeight="1" x14ac:dyDescent="0.15">
      <c r="A2" s="141"/>
      <c r="B2" s="157"/>
      <c r="C2" s="157"/>
      <c r="D2" s="108" t="s">
        <v>357</v>
      </c>
      <c r="E2" s="108" t="s">
        <v>358</v>
      </c>
      <c r="F2" s="108" t="s">
        <v>359</v>
      </c>
      <c r="G2" s="109" t="s">
        <v>381</v>
      </c>
      <c r="H2" s="157"/>
      <c r="I2" s="157"/>
      <c r="J2" s="157"/>
      <c r="K2" s="157"/>
    </row>
    <row r="3" spans="1:11" ht="13.5" customHeight="1" x14ac:dyDescent="0.15">
      <c r="A3" s="141"/>
      <c r="B3" s="148" t="s">
        <v>361</v>
      </c>
      <c r="C3" s="158" t="s">
        <v>382</v>
      </c>
      <c r="D3" s="116" t="s">
        <v>23</v>
      </c>
      <c r="E3" s="116" t="s">
        <v>362</v>
      </c>
      <c r="F3" s="116" t="s">
        <v>17</v>
      </c>
      <c r="G3" s="146" t="s">
        <v>383</v>
      </c>
      <c r="H3" s="146" t="s">
        <v>324</v>
      </c>
      <c r="I3" s="146" t="s">
        <v>384</v>
      </c>
      <c r="J3" s="146" t="s">
        <v>385</v>
      </c>
      <c r="K3" s="148" t="s">
        <v>386</v>
      </c>
    </row>
    <row r="4" spans="1:11" ht="13.5" customHeight="1" x14ac:dyDescent="0.15">
      <c r="A4" s="141"/>
      <c r="B4" s="149">
        <v>1</v>
      </c>
      <c r="C4" s="79"/>
      <c r="D4" s="55"/>
      <c r="E4" s="55" t="str">
        <f>IFERROR(VLOOKUP($D4,烤漆色號編碼!$A:$C,3,FALSE),"-")</f>
        <v>-</v>
      </c>
      <c r="F4" s="55" t="str">
        <f>IFERROR(VLOOKUP($D4,烤漆色號編碼!$A:$C,2,FALSE),"-")</f>
        <v>-</v>
      </c>
      <c r="G4" s="55">
        <v>1</v>
      </c>
      <c r="H4" s="55">
        <v>12</v>
      </c>
      <c r="I4" s="55" t="str">
        <f>IFERROR(VLOOKUP($D4,烤漆色號編碼!$A:$D,4,FALSE)*G4+H4,"-")</f>
        <v>-</v>
      </c>
      <c r="J4" s="55">
        <v>2025</v>
      </c>
      <c r="K4" s="159">
        <v>12</v>
      </c>
    </row>
    <row r="5" spans="1:11" ht="13.5" customHeight="1" x14ac:dyDescent="0.15">
      <c r="A5" s="141"/>
      <c r="B5" s="149">
        <v>2</v>
      </c>
      <c r="C5" s="79"/>
      <c r="D5" s="55"/>
      <c r="E5" s="55" t="str">
        <f>IFERROR(VLOOKUP($D5,烤漆色號編碼!$A:$C,3,FALSE),"-")</f>
        <v>-</v>
      </c>
      <c r="F5" s="55" t="str">
        <f>IFERROR(VLOOKUP($D5,烤漆色號編碼!$A:$C,2,FALSE),"-")</f>
        <v>-</v>
      </c>
      <c r="G5" s="55"/>
      <c r="H5" s="55"/>
      <c r="I5" s="55" t="str">
        <f>IFERROR(VLOOKUP($D5,烤漆色號編碼!$A:$D,4,FALSE)*G5+H5,"-")</f>
        <v>-</v>
      </c>
      <c r="J5" s="55">
        <v>2025</v>
      </c>
      <c r="K5" s="160">
        <v>12</v>
      </c>
    </row>
    <row r="6" spans="1:11" ht="13.5" customHeight="1" x14ac:dyDescent="0.15">
      <c r="A6" s="141"/>
      <c r="B6" s="149">
        <v>3</v>
      </c>
      <c r="C6" s="79"/>
      <c r="D6" s="55"/>
      <c r="E6" s="55" t="str">
        <f>IFERROR(VLOOKUP($D6,烤漆色號編碼!$A:$C,3,FALSE),"-")</f>
        <v>-</v>
      </c>
      <c r="F6" s="55" t="str">
        <f>IFERROR(VLOOKUP($D6,烤漆色號編碼!$A:$C,2,FALSE),"-")</f>
        <v>-</v>
      </c>
      <c r="G6" s="55"/>
      <c r="H6" s="55"/>
      <c r="I6" s="55" t="str">
        <f>IFERROR(VLOOKUP($D6,烤漆色號編碼!$A:$D,4,FALSE)*G6+H6,"-")</f>
        <v>-</v>
      </c>
      <c r="J6" s="55">
        <v>2025</v>
      </c>
      <c r="K6" s="159">
        <v>12</v>
      </c>
    </row>
    <row r="7" spans="1:11" ht="13.5" customHeight="1" x14ac:dyDescent="0.15">
      <c r="A7" s="141"/>
      <c r="B7" s="149">
        <v>4</v>
      </c>
      <c r="C7" s="79"/>
      <c r="D7" s="55"/>
      <c r="E7" s="55" t="str">
        <f>IFERROR(VLOOKUP($D7,烤漆色號編碼!$A:$C,3,FALSE),"-")</f>
        <v>-</v>
      </c>
      <c r="F7" s="55" t="str">
        <f>IFERROR(VLOOKUP($D7,烤漆色號編碼!$A:$C,2,FALSE),"-")</f>
        <v>-</v>
      </c>
      <c r="G7" s="55"/>
      <c r="H7" s="55"/>
      <c r="I7" s="55" t="str">
        <f>IFERROR(VLOOKUP($D7,烤漆色號編碼!$A:$D,4,FALSE)*G7+H7,"-")</f>
        <v>-</v>
      </c>
      <c r="J7" s="55">
        <v>2025</v>
      </c>
      <c r="K7" s="160">
        <v>12</v>
      </c>
    </row>
    <row r="8" spans="1:11" ht="13.5" customHeight="1" x14ac:dyDescent="0.15">
      <c r="A8" s="141"/>
      <c r="B8" s="149">
        <v>5</v>
      </c>
      <c r="C8" s="79"/>
      <c r="D8" s="55"/>
      <c r="E8" s="55" t="str">
        <f>IFERROR(VLOOKUP($D8,烤漆色號編碼!$A:$C,3,FALSE),"-")</f>
        <v>-</v>
      </c>
      <c r="F8" s="55" t="str">
        <f>IFERROR(VLOOKUP($D8,烤漆色號編碼!$A:$C,2,FALSE),"-")</f>
        <v>-</v>
      </c>
      <c r="G8" s="55"/>
      <c r="H8" s="55"/>
      <c r="I8" s="55" t="str">
        <f>IFERROR(VLOOKUP($D8,烤漆色號編碼!$A:$D,4,FALSE)*G8+H8,"-")</f>
        <v>-</v>
      </c>
      <c r="J8" s="55">
        <v>2025</v>
      </c>
      <c r="K8" s="159">
        <v>12</v>
      </c>
    </row>
    <row r="9" spans="1:11" ht="13.5" customHeight="1" x14ac:dyDescent="0.15">
      <c r="A9" s="141"/>
      <c r="B9" s="149">
        <v>6</v>
      </c>
      <c r="C9" s="79"/>
      <c r="D9" s="55"/>
      <c r="E9" s="55" t="str">
        <f>IFERROR(VLOOKUP($D9,烤漆色號編碼!$A:$C,3,FALSE),"-")</f>
        <v>-</v>
      </c>
      <c r="F9" s="55" t="str">
        <f>IFERROR(VLOOKUP($D9,烤漆色號編碼!$A:$C,2,FALSE),"-")</f>
        <v>-</v>
      </c>
      <c r="G9" s="55"/>
      <c r="H9" s="55"/>
      <c r="I9" s="55" t="str">
        <f>IFERROR(VLOOKUP($D9,烤漆色號編碼!$A:$D,4,FALSE)*G9+H9,"-")</f>
        <v>-</v>
      </c>
      <c r="J9" s="55">
        <v>2025</v>
      </c>
      <c r="K9" s="160">
        <v>12</v>
      </c>
    </row>
    <row r="10" spans="1:11" ht="13.5" customHeight="1" x14ac:dyDescent="0.15">
      <c r="A10" s="141"/>
      <c r="B10" s="149">
        <v>7</v>
      </c>
      <c r="C10" s="79"/>
      <c r="D10" s="55"/>
      <c r="E10" s="55" t="str">
        <f>IFERROR(VLOOKUP($D10,烤漆色號編碼!$A:$C,3,FALSE),"-")</f>
        <v>-</v>
      </c>
      <c r="F10" s="55" t="str">
        <f>IFERROR(VLOOKUP($D10,烤漆色號編碼!$A:$C,2,FALSE),"-")</f>
        <v>-</v>
      </c>
      <c r="G10" s="55"/>
      <c r="H10" s="55"/>
      <c r="I10" s="55" t="str">
        <f>IFERROR(VLOOKUP($D10,烤漆色號編碼!$A:$D,4,FALSE)*G10+H10,"-")</f>
        <v>-</v>
      </c>
      <c r="J10" s="55">
        <v>2025</v>
      </c>
      <c r="K10" s="159">
        <v>12</v>
      </c>
    </row>
    <row r="11" spans="1:11" ht="13.5" customHeight="1" x14ac:dyDescent="0.15">
      <c r="A11" s="141"/>
      <c r="B11" s="149">
        <v>8</v>
      </c>
      <c r="C11" s="79"/>
      <c r="D11" s="55"/>
      <c r="E11" s="55" t="str">
        <f>IFERROR(VLOOKUP($D11,烤漆色號編碼!$A:$C,3,FALSE),"-")</f>
        <v>-</v>
      </c>
      <c r="F11" s="55" t="str">
        <f>IFERROR(VLOOKUP($D11,烤漆色號編碼!$A:$C,2,FALSE),"-")</f>
        <v>-</v>
      </c>
      <c r="G11" s="55"/>
      <c r="H11" s="55"/>
      <c r="I11" s="55" t="str">
        <f>IFERROR(VLOOKUP($D11,烤漆色號編碼!$A:$D,4,FALSE)*G11+H11,"-")</f>
        <v>-</v>
      </c>
      <c r="J11" s="55">
        <v>2025</v>
      </c>
      <c r="K11" s="160">
        <v>12</v>
      </c>
    </row>
    <row r="12" spans="1:11" ht="13.5" customHeight="1" x14ac:dyDescent="0.15">
      <c r="A12" s="141"/>
      <c r="B12" s="149">
        <v>9</v>
      </c>
      <c r="C12" s="79"/>
      <c r="D12" s="55"/>
      <c r="E12" s="55" t="str">
        <f>IFERROR(VLOOKUP($D12,烤漆色號編碼!$A:$C,3,FALSE),"-")</f>
        <v>-</v>
      </c>
      <c r="F12" s="55" t="str">
        <f>IFERROR(VLOOKUP($D12,烤漆色號編碼!$A:$C,2,FALSE),"-")</f>
        <v>-</v>
      </c>
      <c r="G12" s="55"/>
      <c r="H12" s="55"/>
      <c r="I12" s="55" t="str">
        <f>IFERROR(VLOOKUP($D12,烤漆色號編碼!$A:$D,4,FALSE)*G12+H12,"-")</f>
        <v>-</v>
      </c>
      <c r="J12" s="55">
        <v>2025</v>
      </c>
      <c r="K12" s="159">
        <v>12</v>
      </c>
    </row>
    <row r="13" spans="1:11" ht="13.5" customHeight="1" x14ac:dyDescent="0.15">
      <c r="A13" s="141"/>
      <c r="B13" s="149">
        <v>10</v>
      </c>
      <c r="C13" s="79"/>
      <c r="D13" s="55"/>
      <c r="E13" s="55" t="str">
        <f>IFERROR(VLOOKUP($D13,烤漆色號編碼!$A:$C,3,FALSE),"-")</f>
        <v>-</v>
      </c>
      <c r="F13" s="55" t="str">
        <f>IFERROR(VLOOKUP($D13,烤漆色號編碼!$A:$C,2,FALSE),"-")</f>
        <v>-</v>
      </c>
      <c r="G13" s="55"/>
      <c r="H13" s="55"/>
      <c r="I13" s="55" t="str">
        <f>IFERROR(VLOOKUP($D13,烤漆色號編碼!$A:$D,4,FALSE)*G13+H13,"-")</f>
        <v>-</v>
      </c>
      <c r="J13" s="55">
        <v>2025</v>
      </c>
      <c r="K13" s="160">
        <v>12</v>
      </c>
    </row>
    <row r="14" spans="1:11" ht="13.5" customHeight="1" x14ac:dyDescent="0.15">
      <c r="A14" s="141"/>
      <c r="B14" s="149">
        <v>11</v>
      </c>
      <c r="C14" s="79"/>
      <c r="D14" s="55"/>
      <c r="E14" s="55" t="str">
        <f>IFERROR(VLOOKUP($D14,烤漆色號編碼!$A:$C,3,FALSE),"-")</f>
        <v>-</v>
      </c>
      <c r="F14" s="55" t="str">
        <f>IFERROR(VLOOKUP($D14,烤漆色號編碼!$A:$C,2,FALSE),"-")</f>
        <v>-</v>
      </c>
      <c r="G14" s="55"/>
      <c r="H14" s="55"/>
      <c r="I14" s="55" t="str">
        <f>IFERROR(VLOOKUP($D14,烤漆色號編碼!$A:$D,4,FALSE)*G14+H14,"-")</f>
        <v>-</v>
      </c>
      <c r="J14" s="55">
        <v>2025</v>
      </c>
      <c r="K14" s="159">
        <v>12</v>
      </c>
    </row>
    <row r="15" spans="1:11" ht="13.5" customHeight="1" x14ac:dyDescent="0.15">
      <c r="A15" s="141"/>
      <c r="B15" s="149">
        <v>12</v>
      </c>
      <c r="C15" s="79"/>
      <c r="D15" s="55"/>
      <c r="E15" s="55" t="str">
        <f>IFERROR(VLOOKUP($D15,烤漆色號編碼!$A:$C,3,FALSE),"-")</f>
        <v>-</v>
      </c>
      <c r="F15" s="55" t="str">
        <f>IFERROR(VLOOKUP($D15,烤漆色號編碼!$A:$C,2,FALSE),"-")</f>
        <v>-</v>
      </c>
      <c r="G15" s="55"/>
      <c r="H15" s="55"/>
      <c r="I15" s="55" t="str">
        <f>IFERROR(VLOOKUP($D15,烤漆色號編碼!$A:$D,4,FALSE)*G15+H15,"-")</f>
        <v>-</v>
      </c>
      <c r="J15" s="55">
        <v>2025</v>
      </c>
      <c r="K15" s="160">
        <v>12</v>
      </c>
    </row>
    <row r="16" spans="1:11" ht="13.5" customHeight="1" x14ac:dyDescent="0.15">
      <c r="A16" s="141"/>
      <c r="B16" s="149">
        <v>13</v>
      </c>
      <c r="C16" s="79"/>
      <c r="D16" s="55"/>
      <c r="E16" s="55" t="str">
        <f>IFERROR(VLOOKUP($D16,烤漆色號編碼!$A:$C,3,FALSE),"-")</f>
        <v>-</v>
      </c>
      <c r="F16" s="55" t="str">
        <f>IFERROR(VLOOKUP($D16,烤漆色號編碼!$A:$C,2,FALSE),"-")</f>
        <v>-</v>
      </c>
      <c r="G16" s="55"/>
      <c r="H16" s="55"/>
      <c r="I16" s="55" t="str">
        <f>IFERROR(VLOOKUP($D16,烤漆色號編碼!$A:$D,4,FALSE)*G16+H16,"-")</f>
        <v>-</v>
      </c>
      <c r="J16" s="55">
        <v>2025</v>
      </c>
      <c r="K16" s="159">
        <v>12</v>
      </c>
    </row>
    <row r="17" spans="1:11" ht="13.5" customHeight="1" x14ac:dyDescent="0.15">
      <c r="A17" s="141"/>
      <c r="B17" s="149">
        <v>14</v>
      </c>
      <c r="C17" s="79"/>
      <c r="D17" s="55"/>
      <c r="E17" s="55" t="str">
        <f>IFERROR(VLOOKUP($D17,烤漆色號編碼!$A:$C,3,FALSE),"-")</f>
        <v>-</v>
      </c>
      <c r="F17" s="55" t="str">
        <f>IFERROR(VLOOKUP($D17,烤漆色號編碼!$A:$C,2,FALSE),"-")</f>
        <v>-</v>
      </c>
      <c r="G17" s="55"/>
      <c r="H17" s="55"/>
      <c r="I17" s="55" t="str">
        <f>IFERROR(VLOOKUP($D17,烤漆色號編碼!$A:$D,4,FALSE)*G17+H17,"-")</f>
        <v>-</v>
      </c>
      <c r="J17" s="55">
        <v>2025</v>
      </c>
      <c r="K17" s="160">
        <v>12</v>
      </c>
    </row>
    <row r="18" spans="1:11" ht="13.5" customHeight="1" x14ac:dyDescent="0.15">
      <c r="A18" s="141"/>
      <c r="B18" s="149">
        <v>15</v>
      </c>
      <c r="C18" s="79"/>
      <c r="D18" s="55"/>
      <c r="E18" s="55" t="str">
        <f>IFERROR(VLOOKUP($D18,烤漆色號編碼!$A:$C,3,FALSE),"-")</f>
        <v>-</v>
      </c>
      <c r="F18" s="55" t="str">
        <f>IFERROR(VLOOKUP($D18,烤漆色號編碼!$A:$C,2,FALSE),"-")</f>
        <v>-</v>
      </c>
      <c r="G18" s="55"/>
      <c r="H18" s="55"/>
      <c r="I18" s="55" t="str">
        <f>IFERROR(VLOOKUP($D18,烤漆色號編碼!$A:$D,4,FALSE)*G18+H18,"-")</f>
        <v>-</v>
      </c>
      <c r="J18" s="55">
        <v>2025</v>
      </c>
      <c r="K18" s="159">
        <v>12</v>
      </c>
    </row>
    <row r="19" spans="1:11" ht="13.5" customHeight="1" x14ac:dyDescent="0.15">
      <c r="A19" s="141"/>
      <c r="B19" s="149">
        <v>16</v>
      </c>
      <c r="C19" s="79"/>
      <c r="D19" s="55"/>
      <c r="E19" s="55" t="str">
        <f>IFERROR(VLOOKUP($D19,烤漆色號編碼!$A:$C,3,FALSE),"-")</f>
        <v>-</v>
      </c>
      <c r="F19" s="55" t="str">
        <f>IFERROR(VLOOKUP($D19,烤漆色號編碼!$A:$C,2,FALSE),"-")</f>
        <v>-</v>
      </c>
      <c r="G19" s="55"/>
      <c r="H19" s="55"/>
      <c r="I19" s="55" t="str">
        <f>IFERROR(VLOOKUP($D19,烤漆色號編碼!$A:$D,4,FALSE)*G19+H19,"-")</f>
        <v>-</v>
      </c>
      <c r="J19" s="55">
        <v>2025</v>
      </c>
      <c r="K19" s="160">
        <v>12</v>
      </c>
    </row>
    <row r="20" spans="1:11" ht="13.5" customHeight="1" x14ac:dyDescent="0.15">
      <c r="A20" s="141"/>
      <c r="B20" s="149">
        <v>17</v>
      </c>
      <c r="C20" s="79"/>
      <c r="D20" s="55"/>
      <c r="E20" s="55" t="str">
        <f>IFERROR(VLOOKUP($D20,烤漆色號編碼!$A:$C,3,FALSE),"-")</f>
        <v>-</v>
      </c>
      <c r="F20" s="55" t="str">
        <f>IFERROR(VLOOKUP($D20,烤漆色號編碼!$A:$C,2,FALSE),"-")</f>
        <v>-</v>
      </c>
      <c r="G20" s="55"/>
      <c r="H20" s="55"/>
      <c r="I20" s="55" t="str">
        <f>IFERROR(VLOOKUP($D20,烤漆色號編碼!$A:$D,4,FALSE)*G20+H20,"-")</f>
        <v>-</v>
      </c>
      <c r="J20" s="55">
        <v>2025</v>
      </c>
      <c r="K20" s="159">
        <v>12</v>
      </c>
    </row>
    <row r="21" spans="1:11" ht="13.5" customHeight="1" x14ac:dyDescent="0.15">
      <c r="A21" s="141"/>
      <c r="B21" s="149">
        <v>18</v>
      </c>
      <c r="C21" s="79"/>
      <c r="D21" s="55"/>
      <c r="E21" s="55" t="str">
        <f>IFERROR(VLOOKUP($D21,烤漆色號編碼!$A:$C,3,FALSE),"-")</f>
        <v>-</v>
      </c>
      <c r="F21" s="55" t="str">
        <f>IFERROR(VLOOKUP($D21,烤漆色號編碼!$A:$C,2,FALSE),"-")</f>
        <v>-</v>
      </c>
      <c r="G21" s="55"/>
      <c r="H21" s="55"/>
      <c r="I21" s="55" t="str">
        <f>IFERROR(VLOOKUP($D21,烤漆色號編碼!$A:$D,4,FALSE)*G21+H21,"-")</f>
        <v>-</v>
      </c>
      <c r="J21" s="55">
        <v>2025</v>
      </c>
      <c r="K21" s="160">
        <v>12</v>
      </c>
    </row>
    <row r="22" spans="1:11" ht="13.5" customHeight="1" x14ac:dyDescent="0.15">
      <c r="A22" s="141"/>
      <c r="B22" s="149">
        <v>19</v>
      </c>
      <c r="C22" s="79"/>
      <c r="D22" s="55"/>
      <c r="E22" s="55" t="str">
        <f>IFERROR(VLOOKUP($D22,烤漆色號編碼!$A:$C,3,FALSE),"-")</f>
        <v>-</v>
      </c>
      <c r="F22" s="55" t="str">
        <f>IFERROR(VLOOKUP($D22,烤漆色號編碼!$A:$C,2,FALSE),"-")</f>
        <v>-</v>
      </c>
      <c r="G22" s="55"/>
      <c r="H22" s="55"/>
      <c r="I22" s="55" t="str">
        <f>IFERROR(VLOOKUP($D22,烤漆色號編碼!$A:$D,4,FALSE)*G22+H22,"-")</f>
        <v>-</v>
      </c>
      <c r="J22" s="55">
        <v>2025</v>
      </c>
      <c r="K22" s="159">
        <v>12</v>
      </c>
    </row>
    <row r="23" spans="1:11" ht="13.5" customHeight="1" x14ac:dyDescent="0.15">
      <c r="A23" s="141"/>
      <c r="B23" s="149">
        <v>20</v>
      </c>
      <c r="C23" s="79"/>
      <c r="D23" s="55"/>
      <c r="E23" s="55" t="str">
        <f>IFERROR(VLOOKUP($D23,烤漆色號編碼!$A:$C,3,FALSE),"-")</f>
        <v>-</v>
      </c>
      <c r="F23" s="55" t="str">
        <f>IFERROR(VLOOKUP($D23,烤漆色號編碼!$A:$C,2,FALSE),"-")</f>
        <v>-</v>
      </c>
      <c r="G23" s="55"/>
      <c r="H23" s="55"/>
      <c r="I23" s="55" t="str">
        <f>IFERROR(VLOOKUP($D23,烤漆色號編碼!$A:$D,4,FALSE)*G23+H23,"-")</f>
        <v>-</v>
      </c>
      <c r="J23" s="55">
        <v>2025</v>
      </c>
      <c r="K23" s="160">
        <v>12</v>
      </c>
    </row>
    <row r="24" spans="1:11" ht="13.5" customHeight="1" x14ac:dyDescent="0.15">
      <c r="A24" s="141"/>
      <c r="B24" s="149">
        <v>21</v>
      </c>
      <c r="C24" s="79"/>
      <c r="D24" s="55"/>
      <c r="E24" s="55" t="str">
        <f>IFERROR(VLOOKUP($D24,烤漆色號編碼!$A:$C,3,FALSE),"-")</f>
        <v>-</v>
      </c>
      <c r="F24" s="55" t="str">
        <f>IFERROR(VLOOKUP($D24,烤漆色號編碼!$A:$C,2,FALSE),"-")</f>
        <v>-</v>
      </c>
      <c r="G24" s="55"/>
      <c r="H24" s="55"/>
      <c r="I24" s="55" t="str">
        <f>IFERROR(VLOOKUP($D24,烤漆色號編碼!$A:$D,4,FALSE)*G24+H24,"-")</f>
        <v>-</v>
      </c>
      <c r="J24" s="55">
        <v>2025</v>
      </c>
      <c r="K24" s="159">
        <v>12</v>
      </c>
    </row>
    <row r="25" spans="1:11" ht="13.5" customHeight="1" x14ac:dyDescent="0.15">
      <c r="A25" s="141"/>
      <c r="B25" s="149">
        <v>22</v>
      </c>
      <c r="C25" s="79"/>
      <c r="D25" s="55"/>
      <c r="E25" s="55" t="str">
        <f>IFERROR(VLOOKUP($D25,烤漆色號編碼!$A:$C,3,FALSE),"-")</f>
        <v>-</v>
      </c>
      <c r="F25" s="55" t="str">
        <f>IFERROR(VLOOKUP($D25,烤漆色號編碼!$A:$C,2,FALSE),"-")</f>
        <v>-</v>
      </c>
      <c r="G25" s="55"/>
      <c r="H25" s="55"/>
      <c r="I25" s="55" t="str">
        <f>IFERROR(VLOOKUP($D25,烤漆色號編碼!$A:$D,4,FALSE)*G25+H25,"-")</f>
        <v>-</v>
      </c>
      <c r="J25" s="55">
        <v>2025</v>
      </c>
      <c r="K25" s="160">
        <v>12</v>
      </c>
    </row>
    <row r="26" spans="1:11" ht="13.5" customHeight="1" x14ac:dyDescent="0.15">
      <c r="A26" s="141"/>
      <c r="B26" s="149">
        <v>23</v>
      </c>
      <c r="C26" s="79"/>
      <c r="D26" s="55"/>
      <c r="E26" s="55" t="str">
        <f>IFERROR(VLOOKUP($D26,烤漆色號編碼!$A:$C,3,FALSE),"-")</f>
        <v>-</v>
      </c>
      <c r="F26" s="55" t="str">
        <f>IFERROR(VLOOKUP($D26,烤漆色號編碼!$A:$C,2,FALSE),"-")</f>
        <v>-</v>
      </c>
      <c r="G26" s="55"/>
      <c r="H26" s="55"/>
      <c r="I26" s="55" t="str">
        <f>IFERROR(VLOOKUP($D26,烤漆色號編碼!$A:$D,4,FALSE)*G26+H26,"-")</f>
        <v>-</v>
      </c>
      <c r="J26" s="55">
        <v>2025</v>
      </c>
      <c r="K26" s="159">
        <v>12</v>
      </c>
    </row>
    <row r="27" spans="1:11" ht="13.5" customHeight="1" x14ac:dyDescent="0.15">
      <c r="A27" s="141"/>
      <c r="B27" s="149">
        <v>24</v>
      </c>
      <c r="C27" s="79"/>
      <c r="D27" s="55"/>
      <c r="E27" s="55" t="str">
        <f>IFERROR(VLOOKUP($D27,烤漆色號編碼!$A:$C,3,FALSE),"-")</f>
        <v>-</v>
      </c>
      <c r="F27" s="55" t="str">
        <f>IFERROR(VLOOKUP($D27,烤漆色號編碼!$A:$C,2,FALSE),"-")</f>
        <v>-</v>
      </c>
      <c r="G27" s="55"/>
      <c r="H27" s="55"/>
      <c r="I27" s="55" t="str">
        <f>IFERROR(VLOOKUP($D27,烤漆色號編碼!$A:$D,4,FALSE)*G27+H27,"-")</f>
        <v>-</v>
      </c>
      <c r="J27" s="55">
        <v>2025</v>
      </c>
      <c r="K27" s="160">
        <v>12</v>
      </c>
    </row>
    <row r="28" spans="1:11" ht="13.5" customHeight="1" x14ac:dyDescent="0.15">
      <c r="A28" s="141"/>
      <c r="B28" s="149">
        <v>25</v>
      </c>
      <c r="C28" s="79"/>
      <c r="D28" s="55"/>
      <c r="E28" s="55" t="str">
        <f>IFERROR(VLOOKUP($D28,烤漆色號編碼!$A:$C,3,FALSE),"-")</f>
        <v>-</v>
      </c>
      <c r="F28" s="55" t="str">
        <f>IFERROR(VLOOKUP($D28,烤漆色號編碼!$A:$C,2,FALSE),"-")</f>
        <v>-</v>
      </c>
      <c r="G28" s="55"/>
      <c r="H28" s="55"/>
      <c r="I28" s="55" t="str">
        <f>IFERROR(VLOOKUP($D28,烤漆色號編碼!$A:$D,4,FALSE)*G28+H28,"-")</f>
        <v>-</v>
      </c>
      <c r="J28" s="55">
        <v>2025</v>
      </c>
      <c r="K28" s="159">
        <v>12</v>
      </c>
    </row>
    <row r="29" spans="1:11" ht="13.5" customHeight="1" x14ac:dyDescent="0.15">
      <c r="A29" s="141"/>
      <c r="B29" s="149">
        <v>26</v>
      </c>
      <c r="C29" s="79"/>
      <c r="D29" s="55"/>
      <c r="E29" s="55" t="str">
        <f>IFERROR(VLOOKUP($D29,烤漆色號編碼!$A:$C,3,FALSE),"-")</f>
        <v>-</v>
      </c>
      <c r="F29" s="55" t="str">
        <f>IFERROR(VLOOKUP($D29,烤漆色號編碼!$A:$C,2,FALSE),"-")</f>
        <v>-</v>
      </c>
      <c r="G29" s="55"/>
      <c r="H29" s="55"/>
      <c r="I29" s="55" t="str">
        <f>IFERROR(VLOOKUP($D29,烤漆色號編碼!$A:$D,4,FALSE)*G29+H29,"-")</f>
        <v>-</v>
      </c>
      <c r="J29" s="55">
        <v>2025</v>
      </c>
      <c r="K29" s="160">
        <v>12</v>
      </c>
    </row>
    <row r="30" spans="1:11" ht="13.5" customHeight="1" x14ac:dyDescent="0.15">
      <c r="A30" s="141"/>
      <c r="B30" s="149">
        <v>27</v>
      </c>
      <c r="C30" s="79"/>
      <c r="D30" s="55"/>
      <c r="E30" s="55" t="str">
        <f>IFERROR(VLOOKUP($D30,烤漆色號編碼!$A:$C,3,FALSE),"-")</f>
        <v>-</v>
      </c>
      <c r="F30" s="55" t="str">
        <f>IFERROR(VLOOKUP($D30,烤漆色號編碼!$A:$C,2,FALSE),"-")</f>
        <v>-</v>
      </c>
      <c r="G30" s="55"/>
      <c r="H30" s="55"/>
      <c r="I30" s="55" t="str">
        <f>IFERROR(VLOOKUP($D30,烤漆色號編碼!$A:$D,4,FALSE)*G30+H30,"-")</f>
        <v>-</v>
      </c>
      <c r="J30" s="55">
        <v>2025</v>
      </c>
      <c r="K30" s="159">
        <v>12</v>
      </c>
    </row>
    <row r="31" spans="1:11" ht="13.5" customHeight="1" x14ac:dyDescent="0.15">
      <c r="A31" s="141"/>
      <c r="B31" s="149">
        <v>28</v>
      </c>
      <c r="C31" s="79"/>
      <c r="D31" s="55"/>
      <c r="E31" s="55" t="str">
        <f>IFERROR(VLOOKUP($D31,烤漆色號編碼!$A:$C,3,FALSE),"-")</f>
        <v>-</v>
      </c>
      <c r="F31" s="55" t="str">
        <f>IFERROR(VLOOKUP($D31,烤漆色號編碼!$A:$C,2,FALSE),"-")</f>
        <v>-</v>
      </c>
      <c r="G31" s="55"/>
      <c r="H31" s="55"/>
      <c r="I31" s="55" t="str">
        <f>IFERROR(VLOOKUP($D31,烤漆色號編碼!$A:$D,4,FALSE)*G31+H31,"-")</f>
        <v>-</v>
      </c>
      <c r="J31" s="55">
        <v>2025</v>
      </c>
      <c r="K31" s="160">
        <v>12</v>
      </c>
    </row>
    <row r="32" spans="1:11" ht="13.5" customHeight="1" x14ac:dyDescent="0.15">
      <c r="A32" s="141"/>
      <c r="B32" s="149">
        <v>29</v>
      </c>
      <c r="C32" s="79"/>
      <c r="D32" s="55"/>
      <c r="E32" s="55" t="str">
        <f>IFERROR(VLOOKUP($D32,烤漆色號編碼!$A:$C,3,FALSE),"-")</f>
        <v>-</v>
      </c>
      <c r="F32" s="55" t="str">
        <f>IFERROR(VLOOKUP($D32,烤漆色號編碼!$A:$C,2,FALSE),"-")</f>
        <v>-</v>
      </c>
      <c r="G32" s="55"/>
      <c r="H32" s="55"/>
      <c r="I32" s="55" t="str">
        <f>IFERROR(VLOOKUP($D32,烤漆色號編碼!$A:$D,4,FALSE)*G32+H32,"-")</f>
        <v>-</v>
      </c>
      <c r="J32" s="55">
        <v>2025</v>
      </c>
      <c r="K32" s="159">
        <v>12</v>
      </c>
    </row>
    <row r="33" spans="1:11" ht="13.5" customHeight="1" x14ac:dyDescent="0.15">
      <c r="A33" s="141"/>
      <c r="B33" s="149">
        <v>30</v>
      </c>
      <c r="C33" s="79" t="str">
        <f t="shared" ref="C33:C42" ca="1" si="0">IF(D33&lt;&gt;"",NOW(),"")</f>
        <v/>
      </c>
      <c r="D33" s="55"/>
      <c r="E33" s="55" t="str">
        <f>IFERROR(VLOOKUP($D33,烤漆色號編碼!$A:$C,3,FALSE),"-")</f>
        <v>-</v>
      </c>
      <c r="F33" s="55" t="str">
        <f>IFERROR(VLOOKUP($D33,烤漆色號編碼!$A:$C,2,FALSE),"-")</f>
        <v>-</v>
      </c>
      <c r="G33" s="55"/>
      <c r="H33" s="55"/>
      <c r="I33" s="55" t="str">
        <f>IFERROR(VLOOKUP($D33,烤漆色號編碼!$A:$D,4,FALSE)*G33+H33,"-")</f>
        <v>-</v>
      </c>
      <c r="J33" s="55">
        <v>2025</v>
      </c>
      <c r="K33" s="160">
        <v>12</v>
      </c>
    </row>
    <row r="34" spans="1:11" ht="13.5" customHeight="1" x14ac:dyDescent="0.15">
      <c r="A34" s="141"/>
      <c r="B34" s="149">
        <v>31</v>
      </c>
      <c r="C34" s="79" t="str">
        <f t="shared" ca="1" si="0"/>
        <v/>
      </c>
      <c r="D34" s="55"/>
      <c r="E34" s="55" t="str">
        <f>IFERROR(VLOOKUP($D34,烤漆色號編碼!$A:$C,3,FALSE),"-")</f>
        <v>-</v>
      </c>
      <c r="F34" s="55" t="str">
        <f>IFERROR(VLOOKUP($D34,烤漆色號編碼!$A:$C,2,FALSE),"-")</f>
        <v>-</v>
      </c>
      <c r="G34" s="55"/>
      <c r="H34" s="55"/>
      <c r="I34" s="55" t="str">
        <f>IFERROR(VLOOKUP($D34,烤漆色號編碼!$A:$D,4,FALSE)*G34+H34,"-")</f>
        <v>-</v>
      </c>
      <c r="J34" s="55">
        <v>2025</v>
      </c>
      <c r="K34" s="159">
        <v>12</v>
      </c>
    </row>
    <row r="35" spans="1:11" ht="13.5" customHeight="1" x14ac:dyDescent="0.15">
      <c r="A35" s="141"/>
      <c r="B35" s="149">
        <v>32</v>
      </c>
      <c r="C35" s="79" t="str">
        <f t="shared" ca="1" si="0"/>
        <v/>
      </c>
      <c r="D35" s="55"/>
      <c r="E35" s="55" t="str">
        <f>IFERROR(VLOOKUP($D35,烤漆色號編碼!$A:$C,3,FALSE),"-")</f>
        <v>-</v>
      </c>
      <c r="F35" s="55" t="str">
        <f>IFERROR(VLOOKUP($D35,烤漆色號編碼!$A:$C,2,FALSE),"-")</f>
        <v>-</v>
      </c>
      <c r="G35" s="55"/>
      <c r="H35" s="55"/>
      <c r="I35" s="55" t="str">
        <f>IFERROR(VLOOKUP($D35,烤漆色號編碼!$A:$D,4,FALSE)*G35+H35,"-")</f>
        <v>-</v>
      </c>
      <c r="J35" s="55">
        <v>2025</v>
      </c>
      <c r="K35" s="160">
        <v>12</v>
      </c>
    </row>
    <row r="36" spans="1:11" ht="13.5" customHeight="1" x14ac:dyDescent="0.15">
      <c r="A36" s="141"/>
      <c r="B36" s="149">
        <v>33</v>
      </c>
      <c r="C36" s="79" t="str">
        <f t="shared" ca="1" si="0"/>
        <v/>
      </c>
      <c r="D36" s="55"/>
      <c r="E36" s="55" t="str">
        <f>IFERROR(VLOOKUP($D36,烤漆色號編碼!$A:$C,3,FALSE),"-")</f>
        <v>-</v>
      </c>
      <c r="F36" s="55" t="str">
        <f>IFERROR(VLOOKUP($D36,烤漆色號編碼!$A:$C,2,FALSE),"-")</f>
        <v>-</v>
      </c>
      <c r="G36" s="55"/>
      <c r="H36" s="55"/>
      <c r="I36" s="55" t="str">
        <f>IFERROR(VLOOKUP($D36,烤漆色號編碼!$A:$D,4,FALSE)*G36+H36,"-")</f>
        <v>-</v>
      </c>
      <c r="J36" s="55">
        <v>2025</v>
      </c>
      <c r="K36" s="159">
        <v>12</v>
      </c>
    </row>
    <row r="37" spans="1:11" ht="13.5" customHeight="1" x14ac:dyDescent="0.15">
      <c r="A37" s="141"/>
      <c r="B37" s="149">
        <v>34</v>
      </c>
      <c r="C37" s="79" t="str">
        <f t="shared" ca="1" si="0"/>
        <v/>
      </c>
      <c r="D37" s="55"/>
      <c r="E37" s="55" t="str">
        <f>IFERROR(VLOOKUP($D37,烤漆色號編碼!$A:$C,3,FALSE),"-")</f>
        <v>-</v>
      </c>
      <c r="F37" s="55" t="str">
        <f>IFERROR(VLOOKUP($D37,烤漆色號編碼!$A:$C,2,FALSE),"-")</f>
        <v>-</v>
      </c>
      <c r="G37" s="55"/>
      <c r="H37" s="55"/>
      <c r="I37" s="55" t="str">
        <f>IFERROR(VLOOKUP($D37,烤漆色號編碼!$A:$D,4,FALSE)*G37+H37,"-")</f>
        <v>-</v>
      </c>
      <c r="J37" s="55">
        <v>2025</v>
      </c>
      <c r="K37" s="160">
        <v>12</v>
      </c>
    </row>
    <row r="38" spans="1:11" ht="13.5" customHeight="1" x14ac:dyDescent="0.15">
      <c r="A38" s="141"/>
      <c r="B38" s="149">
        <v>35</v>
      </c>
      <c r="C38" s="79" t="str">
        <f t="shared" ca="1" si="0"/>
        <v/>
      </c>
      <c r="D38" s="55"/>
      <c r="E38" s="55" t="str">
        <f>IFERROR(VLOOKUP($D38,烤漆色號編碼!$A:$C,3,FALSE),"-")</f>
        <v>-</v>
      </c>
      <c r="F38" s="55" t="str">
        <f>IFERROR(VLOOKUP($D38,烤漆色號編碼!$A:$C,2,FALSE),"-")</f>
        <v>-</v>
      </c>
      <c r="G38" s="55"/>
      <c r="H38" s="55"/>
      <c r="I38" s="55" t="str">
        <f>IFERROR(VLOOKUP($D38,烤漆色號編碼!$A:$D,4,FALSE)*G38+H38,"-")</f>
        <v>-</v>
      </c>
      <c r="J38" s="55">
        <v>2025</v>
      </c>
      <c r="K38" s="159">
        <v>12</v>
      </c>
    </row>
    <row r="39" spans="1:11" ht="13.5" customHeight="1" x14ac:dyDescent="0.15">
      <c r="A39" s="141"/>
      <c r="B39" s="149">
        <v>36</v>
      </c>
      <c r="C39" s="79" t="str">
        <f t="shared" ca="1" si="0"/>
        <v/>
      </c>
      <c r="D39" s="55"/>
      <c r="E39" s="55" t="str">
        <f>IFERROR(VLOOKUP($D39,烤漆色號編碼!$A:$C,3,FALSE),"-")</f>
        <v>-</v>
      </c>
      <c r="F39" s="55" t="str">
        <f>IFERROR(VLOOKUP($D39,烤漆色號編碼!$A:$C,2,FALSE),"-")</f>
        <v>-</v>
      </c>
      <c r="G39" s="55"/>
      <c r="H39" s="55"/>
      <c r="I39" s="55" t="str">
        <f>IFERROR(VLOOKUP($D39,烤漆色號編碼!$A:$D,4,FALSE)*G39+H39,"-")</f>
        <v>-</v>
      </c>
      <c r="J39" s="55">
        <v>2025</v>
      </c>
      <c r="K39" s="160">
        <v>12</v>
      </c>
    </row>
    <row r="40" spans="1:11" ht="13.5" customHeight="1" x14ac:dyDescent="0.15">
      <c r="A40" s="141"/>
      <c r="B40" s="149">
        <v>37</v>
      </c>
      <c r="C40" s="79" t="str">
        <f t="shared" ca="1" si="0"/>
        <v/>
      </c>
      <c r="D40" s="55"/>
      <c r="E40" s="55" t="str">
        <f>IFERROR(VLOOKUP($D40,烤漆色號編碼!$A:$C,3,FALSE),"-")</f>
        <v>-</v>
      </c>
      <c r="F40" s="55" t="str">
        <f>IFERROR(VLOOKUP($D40,烤漆色號編碼!$A:$C,2,FALSE),"-")</f>
        <v>-</v>
      </c>
      <c r="G40" s="55"/>
      <c r="H40" s="55"/>
      <c r="I40" s="55" t="str">
        <f>IFERROR(VLOOKUP($D40,烤漆色號編碼!$A:$D,4,FALSE)*G40+H40,"-")</f>
        <v>-</v>
      </c>
      <c r="J40" s="55">
        <v>2025</v>
      </c>
      <c r="K40" s="159">
        <v>12</v>
      </c>
    </row>
    <row r="41" spans="1:11" ht="13.5" customHeight="1" x14ac:dyDescent="0.15">
      <c r="A41" s="141"/>
      <c r="B41" s="149">
        <v>38</v>
      </c>
      <c r="C41" s="79" t="str">
        <f t="shared" ca="1" si="0"/>
        <v/>
      </c>
      <c r="D41" s="55"/>
      <c r="E41" s="55" t="str">
        <f>IFERROR(VLOOKUP($D41,烤漆色號編碼!$A:$C,3,FALSE),"-")</f>
        <v>-</v>
      </c>
      <c r="F41" s="55" t="str">
        <f>IFERROR(VLOOKUP($D41,烤漆色號編碼!$A:$C,2,FALSE),"-")</f>
        <v>-</v>
      </c>
      <c r="G41" s="55"/>
      <c r="H41" s="55"/>
      <c r="I41" s="55" t="str">
        <f>IFERROR(VLOOKUP($D41,烤漆色號編碼!$A:$D,4,FALSE)*G41+H41,"-")</f>
        <v>-</v>
      </c>
      <c r="J41" s="55">
        <v>2025</v>
      </c>
      <c r="K41" s="160">
        <v>12</v>
      </c>
    </row>
    <row r="42" spans="1:11" ht="13.5" customHeight="1" x14ac:dyDescent="0.15">
      <c r="A42" s="141"/>
      <c r="B42" s="149">
        <v>39</v>
      </c>
      <c r="C42" s="79" t="str">
        <f t="shared" ca="1" si="0"/>
        <v/>
      </c>
      <c r="D42" s="55"/>
      <c r="E42" s="55" t="str">
        <f>IFERROR(VLOOKUP($D42,烤漆色號編碼!$A:$C,3,FALSE),"-")</f>
        <v>-</v>
      </c>
      <c r="F42" s="55" t="str">
        <f>IFERROR(VLOOKUP($D42,烤漆色號編碼!$A:$C,2,FALSE),"-")</f>
        <v>-</v>
      </c>
      <c r="G42" s="55"/>
      <c r="H42" s="55"/>
      <c r="I42" s="55" t="str">
        <f>IFERROR(VLOOKUP($D42,烤漆色號編碼!$A:$D,4,FALSE)*G42+H42,"-")</f>
        <v>-</v>
      </c>
      <c r="J42" s="55">
        <v>2025</v>
      </c>
      <c r="K42" s="159">
        <v>12</v>
      </c>
    </row>
    <row r="43" spans="1:11" ht="13.5" customHeight="1" x14ac:dyDescent="0.15">
      <c r="A43" s="141"/>
      <c r="B43" s="149">
        <v>40</v>
      </c>
      <c r="C43" s="79"/>
      <c r="D43" s="55"/>
      <c r="E43" s="55" t="str">
        <f>IFERROR(VLOOKUP($D43,烤漆色號編碼!$A:$C,3,FALSE),"-")</f>
        <v>-</v>
      </c>
      <c r="F43" s="55" t="str">
        <f>IFERROR(VLOOKUP($D43,烤漆色號編碼!$A:$C,2,FALSE),"-")</f>
        <v>-</v>
      </c>
      <c r="G43" s="55"/>
      <c r="H43" s="55"/>
      <c r="I43" s="55" t="str">
        <f>IFERROR(VLOOKUP($D43,烤漆色號編碼!$A:$D,4,FALSE)*G43+H43,"-")</f>
        <v>-</v>
      </c>
      <c r="J43" s="55">
        <v>2025</v>
      </c>
      <c r="K43" s="160">
        <v>12</v>
      </c>
    </row>
    <row r="44" spans="1:11" ht="13.5" customHeight="1" x14ac:dyDescent="0.15">
      <c r="A44" s="141"/>
      <c r="B44" s="149">
        <v>41</v>
      </c>
      <c r="C44" s="79"/>
      <c r="D44" s="55"/>
      <c r="E44" s="55" t="str">
        <f>IFERROR(VLOOKUP($D44,烤漆色號編碼!$A:$C,3,FALSE),"-")</f>
        <v>-</v>
      </c>
      <c r="F44" s="55" t="str">
        <f>IFERROR(VLOOKUP($D44,烤漆色號編碼!$A:$C,2,FALSE),"-")</f>
        <v>-</v>
      </c>
      <c r="G44" s="55"/>
      <c r="H44" s="55"/>
      <c r="I44" s="55" t="str">
        <f>IFERROR(VLOOKUP($D44,烤漆色號編碼!$A:$D,4,FALSE)*G44+H44,"-")</f>
        <v>-</v>
      </c>
      <c r="J44" s="55">
        <v>2025</v>
      </c>
      <c r="K44" s="159">
        <v>12</v>
      </c>
    </row>
    <row r="45" spans="1:11" ht="13.5" customHeight="1" x14ac:dyDescent="0.15">
      <c r="A45" s="141"/>
      <c r="B45" s="149">
        <v>42</v>
      </c>
      <c r="C45" s="79"/>
      <c r="D45" s="55"/>
      <c r="E45" s="55" t="str">
        <f>IFERROR(VLOOKUP($D45,烤漆色號編碼!$A:$C,3,FALSE),"-")</f>
        <v>-</v>
      </c>
      <c r="F45" s="55" t="str">
        <f>IFERROR(VLOOKUP($D45,烤漆色號編碼!$A:$C,2,FALSE),"-")</f>
        <v>-</v>
      </c>
      <c r="G45" s="55"/>
      <c r="H45" s="55"/>
      <c r="I45" s="55" t="str">
        <f>IFERROR(VLOOKUP($D45,烤漆色號編碼!$A:$D,4,FALSE)*G45+H45,"-")</f>
        <v>-</v>
      </c>
      <c r="J45" s="55">
        <v>2025</v>
      </c>
      <c r="K45" s="160">
        <v>12</v>
      </c>
    </row>
    <row r="46" spans="1:11" ht="13.5" customHeight="1" x14ac:dyDescent="0.15">
      <c r="A46" s="141"/>
      <c r="B46" s="149">
        <v>43</v>
      </c>
      <c r="C46" s="79"/>
      <c r="D46" s="55"/>
      <c r="E46" s="55" t="str">
        <f>IFERROR(VLOOKUP($D46,烤漆色號編碼!$A:$C,3,FALSE),"-")</f>
        <v>-</v>
      </c>
      <c r="F46" s="55" t="str">
        <f>IFERROR(VLOOKUP($D46,烤漆色號編碼!$A:$C,2,FALSE),"-")</f>
        <v>-</v>
      </c>
      <c r="G46" s="55"/>
      <c r="H46" s="55"/>
      <c r="I46" s="55" t="str">
        <f>IFERROR(VLOOKUP($D46,烤漆色號編碼!$A:$D,4,FALSE)*G46+H46,"-")</f>
        <v>-</v>
      </c>
      <c r="J46" s="55">
        <v>2025</v>
      </c>
      <c r="K46" s="159">
        <v>12</v>
      </c>
    </row>
    <row r="47" spans="1:11" ht="13.5" customHeight="1" x14ac:dyDescent="0.15">
      <c r="A47" s="141"/>
      <c r="B47" s="149">
        <v>44</v>
      </c>
      <c r="C47" s="79"/>
      <c r="D47" s="55"/>
      <c r="E47" s="55" t="str">
        <f>IFERROR(VLOOKUP($D47,烤漆色號編碼!$A:$C,3,FALSE),"-")</f>
        <v>-</v>
      </c>
      <c r="F47" s="55" t="str">
        <f>IFERROR(VLOOKUP($D47,烤漆色號編碼!$A:$C,2,FALSE),"-")</f>
        <v>-</v>
      </c>
      <c r="G47" s="55"/>
      <c r="H47" s="55"/>
      <c r="I47" s="55" t="str">
        <f>IFERROR(VLOOKUP($D47,烤漆色號編碼!$A:$D,4,FALSE)*G47+H47,"-")</f>
        <v>-</v>
      </c>
      <c r="J47" s="55">
        <v>2025</v>
      </c>
      <c r="K47" s="160">
        <v>12</v>
      </c>
    </row>
    <row r="48" spans="1:11" ht="13.5" customHeight="1" x14ac:dyDescent="0.15">
      <c r="A48" s="141"/>
      <c r="B48" s="149">
        <v>45</v>
      </c>
      <c r="C48" s="79"/>
      <c r="D48" s="55"/>
      <c r="E48" s="55" t="s">
        <v>368</v>
      </c>
      <c r="F48" s="55" t="s">
        <v>367</v>
      </c>
      <c r="G48" s="55"/>
      <c r="H48" s="55"/>
      <c r="I48" s="55" t="str">
        <f>IFERROR(VLOOKUP($D48,烤漆色號編碼!$A:$D,4,FALSE)*G48+H48,"-")</f>
        <v>-</v>
      </c>
      <c r="J48" s="55">
        <v>2025</v>
      </c>
      <c r="K48" s="159">
        <v>12</v>
      </c>
    </row>
    <row r="49" spans="1:11" ht="13.5" customHeight="1" x14ac:dyDescent="0.15">
      <c r="A49" s="141"/>
      <c r="B49" s="149">
        <v>46</v>
      </c>
      <c r="C49" s="79"/>
      <c r="D49" s="55"/>
      <c r="E49" s="55" t="s">
        <v>368</v>
      </c>
      <c r="F49" s="55" t="s">
        <v>367</v>
      </c>
      <c r="G49" s="55"/>
      <c r="H49" s="55"/>
      <c r="I49" s="55" t="str">
        <f>IFERROR(VLOOKUP($D49,烤漆色號編碼!$A:$D,4,FALSE)*G49+H49,"-")</f>
        <v>-</v>
      </c>
      <c r="J49" s="55">
        <v>2025</v>
      </c>
      <c r="K49" s="160">
        <v>12</v>
      </c>
    </row>
    <row r="50" spans="1:11" ht="13.5" customHeight="1" x14ac:dyDescent="0.15">
      <c r="A50" s="141"/>
      <c r="B50" s="149">
        <v>47</v>
      </c>
      <c r="C50" s="79"/>
      <c r="D50" s="55"/>
      <c r="E50" s="55" t="s">
        <v>368</v>
      </c>
      <c r="F50" s="55" t="s">
        <v>367</v>
      </c>
      <c r="G50" s="55"/>
      <c r="H50" s="55"/>
      <c r="I50" s="55" t="str">
        <f>IFERROR(VLOOKUP($D50,烤漆色號編碼!$A:$D,4,FALSE)*G50+H50,"-")</f>
        <v>-</v>
      </c>
      <c r="J50" s="55">
        <v>2025</v>
      </c>
      <c r="K50" s="159">
        <v>12</v>
      </c>
    </row>
    <row r="51" spans="1:11" ht="13.5" customHeight="1" x14ac:dyDescent="0.15">
      <c r="A51" s="141"/>
      <c r="B51" s="149">
        <v>48</v>
      </c>
      <c r="C51" s="79"/>
      <c r="D51" s="55"/>
      <c r="E51" s="55" t="s">
        <v>368</v>
      </c>
      <c r="F51" s="55" t="s">
        <v>367</v>
      </c>
      <c r="G51" s="55"/>
      <c r="H51" s="55"/>
      <c r="I51" s="55" t="str">
        <f>IFERROR(VLOOKUP($D51,烤漆色號編碼!$A:$D,4,FALSE)*G51+H51,"-")</f>
        <v>-</v>
      </c>
      <c r="J51" s="55">
        <v>2025</v>
      </c>
      <c r="K51" s="160">
        <v>12</v>
      </c>
    </row>
    <row r="52" spans="1:11" ht="13.5" customHeight="1" x14ac:dyDescent="0.15">
      <c r="A52" s="141"/>
      <c r="B52" s="149">
        <v>49</v>
      </c>
      <c r="C52" s="79"/>
      <c r="D52" s="55"/>
      <c r="E52" s="55" t="s">
        <v>368</v>
      </c>
      <c r="F52" s="55" t="s">
        <v>367</v>
      </c>
      <c r="G52" s="55"/>
      <c r="H52" s="55"/>
      <c r="I52" s="55" t="str">
        <f>IFERROR(VLOOKUP($D52,烤漆色號編碼!$A:$D,4,FALSE)*G52+H52,"-")</f>
        <v>-</v>
      </c>
      <c r="J52" s="55">
        <v>2025</v>
      </c>
      <c r="K52" s="159">
        <v>12</v>
      </c>
    </row>
    <row r="53" spans="1:11" ht="13.5" customHeight="1" x14ac:dyDescent="0.15">
      <c r="A53" s="141"/>
      <c r="B53" s="149">
        <v>50</v>
      </c>
      <c r="C53" s="79"/>
      <c r="D53" s="55"/>
      <c r="E53" s="55" t="s">
        <v>368</v>
      </c>
      <c r="F53" s="55" t="s">
        <v>367</v>
      </c>
      <c r="G53" s="55"/>
      <c r="H53" s="55"/>
      <c r="I53" s="55" t="str">
        <f>IFERROR(VLOOKUP($D53,烤漆色號編碼!$A:$D,4,FALSE)*G53+H53,"-")</f>
        <v>-</v>
      </c>
      <c r="J53" s="55">
        <v>2025</v>
      </c>
      <c r="K53" s="160">
        <v>12</v>
      </c>
    </row>
    <row r="54" spans="1:11" ht="13.5" customHeight="1" x14ac:dyDescent="0.15">
      <c r="A54" s="141"/>
      <c r="B54" s="149">
        <v>51</v>
      </c>
      <c r="C54" s="79"/>
      <c r="D54" s="55"/>
      <c r="E54" s="55" t="s">
        <v>367</v>
      </c>
      <c r="F54" s="55" t="s">
        <v>367</v>
      </c>
      <c r="G54" s="55"/>
      <c r="H54" s="55"/>
      <c r="I54" s="55" t="str">
        <f>IFERROR(VLOOKUP($D54,烤漆色號編碼!$A:$D,4,FALSE)*G54+H54,"-")</f>
        <v>-</v>
      </c>
      <c r="J54" s="55">
        <v>2025</v>
      </c>
      <c r="K54" s="159">
        <v>12</v>
      </c>
    </row>
    <row r="55" spans="1:11" ht="13.5" customHeight="1" x14ac:dyDescent="0.15">
      <c r="A55" s="141"/>
      <c r="B55" s="149">
        <v>52</v>
      </c>
      <c r="C55" s="79"/>
      <c r="D55" s="55"/>
      <c r="E55" s="55" t="s">
        <v>367</v>
      </c>
      <c r="F55" s="55" t="s">
        <v>367</v>
      </c>
      <c r="G55" s="55"/>
      <c r="H55" s="55"/>
      <c r="I55" s="55" t="str">
        <f>IFERROR(VLOOKUP($D55,烤漆色號編碼!$A:$D,4,FALSE)*G55+H55,"-")</f>
        <v>-</v>
      </c>
      <c r="J55" s="55">
        <v>2025</v>
      </c>
      <c r="K55" s="160">
        <v>12</v>
      </c>
    </row>
    <row r="56" spans="1:11" ht="13.5" customHeight="1" x14ac:dyDescent="0.15">
      <c r="A56" s="141"/>
      <c r="B56" s="149">
        <v>53</v>
      </c>
      <c r="C56" s="79"/>
      <c r="D56" s="55"/>
      <c r="E56" s="55" t="s">
        <v>367</v>
      </c>
      <c r="F56" s="55" t="s">
        <v>367</v>
      </c>
      <c r="G56" s="55"/>
      <c r="H56" s="55"/>
      <c r="I56" s="55" t="str">
        <f>IFERROR(VLOOKUP($D56,烤漆色號編碼!$A:$D,4,FALSE)*G56+H56,"-")</f>
        <v>-</v>
      </c>
      <c r="J56" s="55">
        <v>2025</v>
      </c>
      <c r="K56" s="159">
        <v>12</v>
      </c>
    </row>
    <row r="57" spans="1:11" ht="13.5" customHeight="1" x14ac:dyDescent="0.15">
      <c r="A57" s="141"/>
      <c r="B57" s="149">
        <v>54</v>
      </c>
      <c r="C57" s="79"/>
      <c r="D57" s="55"/>
      <c r="E57" s="55" t="s">
        <v>367</v>
      </c>
      <c r="F57" s="55" t="s">
        <v>367</v>
      </c>
      <c r="G57" s="55"/>
      <c r="H57" s="55"/>
      <c r="I57" s="55" t="str">
        <f>IFERROR(VLOOKUP($D57,烤漆色號編碼!$A:$D,4,FALSE)*G57+H57,"-")</f>
        <v>-</v>
      </c>
      <c r="J57" s="55">
        <v>2025</v>
      </c>
      <c r="K57" s="160">
        <v>12</v>
      </c>
    </row>
    <row r="58" spans="1:11" ht="13.5" customHeight="1" x14ac:dyDescent="0.15">
      <c r="A58" s="141"/>
      <c r="B58" s="149">
        <v>55</v>
      </c>
      <c r="C58" s="79"/>
      <c r="D58" s="55"/>
      <c r="E58" s="55" t="s">
        <v>367</v>
      </c>
      <c r="F58" s="55" t="s">
        <v>367</v>
      </c>
      <c r="G58" s="55"/>
      <c r="H58" s="55"/>
      <c r="I58" s="55" t="str">
        <f>IFERROR(VLOOKUP($D58,烤漆色號編碼!$A:$D,4,FALSE)*G58+H58,"-")</f>
        <v>-</v>
      </c>
      <c r="J58" s="55">
        <v>2025</v>
      </c>
      <c r="K58" s="159">
        <v>12</v>
      </c>
    </row>
    <row r="59" spans="1:11" ht="13.5" customHeight="1" x14ac:dyDescent="0.15">
      <c r="A59" s="141"/>
      <c r="B59" s="149">
        <v>56</v>
      </c>
      <c r="C59" s="79"/>
      <c r="D59" s="55"/>
      <c r="E59" s="55" t="s">
        <v>367</v>
      </c>
      <c r="F59" s="55" t="s">
        <v>367</v>
      </c>
      <c r="G59" s="55"/>
      <c r="H59" s="55"/>
      <c r="I59" s="55" t="str">
        <f>IFERROR(VLOOKUP($D59,烤漆色號編碼!$A:$D,4,FALSE)*G59+H59,"-")</f>
        <v>-</v>
      </c>
      <c r="J59" s="55">
        <v>2025</v>
      </c>
      <c r="K59" s="160">
        <v>12</v>
      </c>
    </row>
    <row r="60" spans="1:11" ht="13.5" customHeight="1" x14ac:dyDescent="0.15">
      <c r="A60" s="141"/>
      <c r="B60" s="149">
        <v>57</v>
      </c>
      <c r="C60" s="79"/>
      <c r="D60" s="55"/>
      <c r="E60" s="55" t="s">
        <v>367</v>
      </c>
      <c r="F60" s="55" t="s">
        <v>367</v>
      </c>
      <c r="G60" s="55"/>
      <c r="H60" s="55"/>
      <c r="I60" s="55" t="str">
        <f>IFERROR(VLOOKUP($D60,烤漆色號編碼!$A:$D,4,FALSE)*G60+H60,"-")</f>
        <v>-</v>
      </c>
      <c r="J60" s="55">
        <v>2025</v>
      </c>
      <c r="K60" s="159">
        <v>12</v>
      </c>
    </row>
    <row r="61" spans="1:11" ht="13.5" customHeight="1" x14ac:dyDescent="0.15">
      <c r="A61" s="141"/>
      <c r="B61" s="149">
        <v>58</v>
      </c>
      <c r="C61" s="79"/>
      <c r="D61" s="55"/>
      <c r="E61" s="55" t="s">
        <v>367</v>
      </c>
      <c r="F61" s="55" t="s">
        <v>367</v>
      </c>
      <c r="G61" s="55"/>
      <c r="H61" s="55"/>
      <c r="I61" s="55" t="str">
        <f>IFERROR(VLOOKUP($D61,烤漆色號編碼!$A:$D,4,FALSE)*G61+H61,"-")</f>
        <v>-</v>
      </c>
      <c r="J61" s="55">
        <v>2025</v>
      </c>
      <c r="K61" s="160">
        <v>12</v>
      </c>
    </row>
    <row r="62" spans="1:11" ht="13.5" customHeight="1" x14ac:dyDescent="0.15">
      <c r="A62" s="141"/>
      <c r="B62" s="149">
        <v>59</v>
      </c>
      <c r="C62" s="79"/>
      <c r="D62" s="55"/>
      <c r="E62" s="55" t="s">
        <v>367</v>
      </c>
      <c r="F62" s="55" t="s">
        <v>367</v>
      </c>
      <c r="G62" s="55"/>
      <c r="H62" s="55"/>
      <c r="I62" s="55" t="str">
        <f>IFERROR(VLOOKUP($D62,烤漆色號編碼!$A:$D,4,FALSE)*G62+H62,"-")</f>
        <v>-</v>
      </c>
      <c r="J62" s="55">
        <v>2025</v>
      </c>
      <c r="K62" s="159">
        <v>12</v>
      </c>
    </row>
    <row r="63" spans="1:11" ht="13.5" customHeight="1" x14ac:dyDescent="0.15">
      <c r="A63" s="141"/>
      <c r="B63" s="149">
        <v>60</v>
      </c>
      <c r="C63" s="79"/>
      <c r="D63" s="55"/>
      <c r="E63" s="55" t="s">
        <v>367</v>
      </c>
      <c r="F63" s="55" t="s">
        <v>367</v>
      </c>
      <c r="G63" s="55"/>
      <c r="H63" s="55"/>
      <c r="I63" s="55" t="str">
        <f>IFERROR(VLOOKUP($D63,烤漆色號編碼!$A:$D,4,FALSE)*G63+H63,"-")</f>
        <v>-</v>
      </c>
      <c r="J63" s="55">
        <v>2025</v>
      </c>
      <c r="K63" s="160">
        <v>12</v>
      </c>
    </row>
    <row r="64" spans="1:11" ht="13.5" customHeight="1" x14ac:dyDescent="0.15">
      <c r="A64" s="141"/>
      <c r="B64" s="149">
        <v>61</v>
      </c>
      <c r="C64" s="79"/>
      <c r="D64" s="55"/>
      <c r="E64" s="55" t="s">
        <v>367</v>
      </c>
      <c r="F64" s="55" t="s">
        <v>367</v>
      </c>
      <c r="G64" s="55"/>
      <c r="H64" s="55"/>
      <c r="I64" s="55" t="str">
        <f>IFERROR(VLOOKUP($D64,烤漆色號編碼!$A:$D,4,FALSE)*G64+H64,"-")</f>
        <v>-</v>
      </c>
      <c r="J64" s="55">
        <v>2025</v>
      </c>
      <c r="K64" s="159">
        <v>12</v>
      </c>
    </row>
    <row r="65" spans="1:11" ht="13.5" customHeight="1" x14ac:dyDescent="0.15">
      <c r="A65" s="141"/>
      <c r="B65" s="149">
        <v>62</v>
      </c>
      <c r="C65" s="79"/>
      <c r="D65" s="55"/>
      <c r="E65" s="55" t="s">
        <v>367</v>
      </c>
      <c r="F65" s="55" t="s">
        <v>367</v>
      </c>
      <c r="G65" s="55"/>
      <c r="H65" s="55"/>
      <c r="I65" s="55" t="str">
        <f>IFERROR(VLOOKUP($D65,烤漆色號編碼!$A:$D,4,FALSE)*G65+H65,"-")</f>
        <v>-</v>
      </c>
      <c r="J65" s="55">
        <v>2025</v>
      </c>
      <c r="K65" s="160">
        <v>12</v>
      </c>
    </row>
    <row r="66" spans="1:11" ht="13.5" customHeight="1" x14ac:dyDescent="0.15">
      <c r="A66" s="141"/>
      <c r="B66" s="149">
        <v>63</v>
      </c>
      <c r="C66" s="79"/>
      <c r="D66" s="55"/>
      <c r="E66" s="55" t="s">
        <v>367</v>
      </c>
      <c r="F66" s="55" t="s">
        <v>367</v>
      </c>
      <c r="G66" s="55"/>
      <c r="H66" s="55"/>
      <c r="I66" s="55" t="str">
        <f>IFERROR(VLOOKUP($D66,烤漆色號編碼!$A:$D,4,FALSE)*G66+H66,"-")</f>
        <v>-</v>
      </c>
      <c r="J66" s="55">
        <v>2025</v>
      </c>
      <c r="K66" s="159">
        <v>12</v>
      </c>
    </row>
    <row r="67" spans="1:11" ht="13.5" customHeight="1" x14ac:dyDescent="0.15">
      <c r="A67" s="141"/>
      <c r="B67" s="149">
        <v>64</v>
      </c>
      <c r="C67" s="79"/>
      <c r="D67" s="55"/>
      <c r="E67" s="55" t="s">
        <v>367</v>
      </c>
      <c r="F67" s="55" t="s">
        <v>367</v>
      </c>
      <c r="G67" s="55"/>
      <c r="H67" s="55"/>
      <c r="I67" s="55" t="str">
        <f>IFERROR(VLOOKUP($D67,烤漆色號編碼!$A:$D,4,FALSE)*G67+H67,"-")</f>
        <v>-</v>
      </c>
      <c r="J67" s="55">
        <v>2025</v>
      </c>
      <c r="K67" s="160">
        <v>12</v>
      </c>
    </row>
    <row r="68" spans="1:11" ht="13.5" customHeight="1" x14ac:dyDescent="0.15">
      <c r="A68" s="141"/>
      <c r="B68" s="149">
        <v>65</v>
      </c>
      <c r="C68" s="79"/>
      <c r="D68" s="55"/>
      <c r="E68" s="55" t="s">
        <v>367</v>
      </c>
      <c r="F68" s="55" t="s">
        <v>367</v>
      </c>
      <c r="G68" s="55"/>
      <c r="H68" s="55"/>
      <c r="I68" s="55" t="str">
        <f>IFERROR(VLOOKUP($D68,烤漆色號編碼!$A:$D,4,FALSE)*G68+H68,"-")</f>
        <v>-</v>
      </c>
      <c r="J68" s="55">
        <v>2025</v>
      </c>
      <c r="K68" s="159">
        <v>12</v>
      </c>
    </row>
    <row r="69" spans="1:11" ht="13.5" customHeight="1" x14ac:dyDescent="0.15">
      <c r="A69" s="141"/>
      <c r="B69" s="149">
        <v>66</v>
      </c>
      <c r="C69" s="79"/>
      <c r="D69" s="55"/>
      <c r="E69" s="55" t="s">
        <v>367</v>
      </c>
      <c r="F69" s="55" t="s">
        <v>367</v>
      </c>
      <c r="G69" s="55"/>
      <c r="H69" s="55"/>
      <c r="I69" s="55" t="str">
        <f>IFERROR(VLOOKUP($D69,烤漆色號編碼!$A:$D,4,FALSE)*G69+H69,"-")</f>
        <v>-</v>
      </c>
      <c r="J69" s="55">
        <v>2025</v>
      </c>
      <c r="K69" s="160">
        <v>12</v>
      </c>
    </row>
    <row r="70" spans="1:11" ht="13.5" customHeight="1" x14ac:dyDescent="0.15">
      <c r="A70" s="141"/>
      <c r="B70" s="149">
        <v>67</v>
      </c>
      <c r="C70" s="79"/>
      <c r="D70" s="55"/>
      <c r="E70" s="55" t="s">
        <v>367</v>
      </c>
      <c r="F70" s="55" t="s">
        <v>367</v>
      </c>
      <c r="G70" s="55"/>
      <c r="H70" s="55"/>
      <c r="I70" s="55" t="str">
        <f>IFERROR(VLOOKUP($D70,烤漆色號編碼!$A:$D,4,FALSE)*G70+H70,"-")</f>
        <v>-</v>
      </c>
      <c r="J70" s="55">
        <v>2025</v>
      </c>
      <c r="K70" s="159">
        <v>12</v>
      </c>
    </row>
    <row r="71" spans="1:11" ht="13.5" customHeight="1" x14ac:dyDescent="0.15">
      <c r="A71" s="141"/>
      <c r="B71" s="149">
        <v>68</v>
      </c>
      <c r="C71" s="79"/>
      <c r="D71" s="55"/>
      <c r="E71" s="55" t="s">
        <v>367</v>
      </c>
      <c r="F71" s="55" t="s">
        <v>367</v>
      </c>
      <c r="G71" s="55"/>
      <c r="H71" s="55"/>
      <c r="I71" s="55" t="str">
        <f>IFERROR(VLOOKUP($D71,烤漆色號編碼!$A:$D,4,FALSE)*G71+H71,"-")</f>
        <v>-</v>
      </c>
      <c r="J71" s="55">
        <v>2025</v>
      </c>
      <c r="K71" s="160">
        <v>12</v>
      </c>
    </row>
    <row r="72" spans="1:11" ht="13.5" customHeight="1" x14ac:dyDescent="0.15">
      <c r="A72" s="141"/>
      <c r="B72" s="149">
        <v>69</v>
      </c>
      <c r="C72" s="79"/>
      <c r="D72" s="55"/>
      <c r="E72" s="55" t="s">
        <v>367</v>
      </c>
      <c r="F72" s="55" t="s">
        <v>367</v>
      </c>
      <c r="G72" s="55"/>
      <c r="H72" s="55"/>
      <c r="I72" s="55" t="str">
        <f>IFERROR(VLOOKUP($D72,烤漆色號編碼!$A:$D,4,FALSE)*G72+H72,"-")</f>
        <v>-</v>
      </c>
      <c r="J72" s="55">
        <v>2025</v>
      </c>
      <c r="K72" s="159">
        <v>12</v>
      </c>
    </row>
    <row r="73" spans="1:11" ht="13.5" customHeight="1" x14ac:dyDescent="0.15">
      <c r="A73" s="141"/>
      <c r="B73" s="149">
        <v>70</v>
      </c>
      <c r="C73" s="79"/>
      <c r="D73" s="55"/>
      <c r="E73" s="55" t="s">
        <v>367</v>
      </c>
      <c r="F73" s="55" t="s">
        <v>367</v>
      </c>
      <c r="G73" s="55"/>
      <c r="H73" s="55"/>
      <c r="I73" s="55" t="str">
        <f>IFERROR(VLOOKUP($D73,烤漆色號編碼!$A:$D,4,FALSE)*G73+H73,"-")</f>
        <v>-</v>
      </c>
      <c r="J73" s="55">
        <v>2025</v>
      </c>
      <c r="K73" s="160">
        <v>12</v>
      </c>
    </row>
    <row r="74" spans="1:11" ht="13.5" customHeight="1" x14ac:dyDescent="0.15">
      <c r="A74" s="141"/>
      <c r="B74" s="149">
        <v>71</v>
      </c>
      <c r="C74" s="79"/>
      <c r="D74" s="55"/>
      <c r="E74" s="55" t="s">
        <v>367</v>
      </c>
      <c r="F74" s="55" t="s">
        <v>367</v>
      </c>
      <c r="G74" s="55"/>
      <c r="H74" s="55"/>
      <c r="I74" s="55" t="str">
        <f>IFERROR(VLOOKUP($D74,烤漆色號編碼!$A:$D,4,FALSE)*G74+H74,"-")</f>
        <v>-</v>
      </c>
      <c r="J74" s="55">
        <v>2025</v>
      </c>
      <c r="K74" s="159">
        <v>12</v>
      </c>
    </row>
    <row r="75" spans="1:11" ht="13.5" customHeight="1" x14ac:dyDescent="0.15">
      <c r="A75" s="141"/>
      <c r="B75" s="149">
        <v>72</v>
      </c>
      <c r="C75" s="79"/>
      <c r="D75" s="55"/>
      <c r="E75" s="55" t="s">
        <v>367</v>
      </c>
      <c r="F75" s="55" t="s">
        <v>367</v>
      </c>
      <c r="G75" s="55"/>
      <c r="H75" s="55"/>
      <c r="I75" s="55" t="str">
        <f>IFERROR(VLOOKUP($D75,烤漆色號編碼!$A:$D,4,FALSE)*G75+H75,"-")</f>
        <v>-</v>
      </c>
      <c r="J75" s="55">
        <v>2025</v>
      </c>
      <c r="K75" s="160">
        <v>12</v>
      </c>
    </row>
    <row r="76" spans="1:11" ht="13.5" customHeight="1" x14ac:dyDescent="0.15">
      <c r="A76" s="141"/>
      <c r="B76" s="149">
        <v>73</v>
      </c>
      <c r="C76" s="79"/>
      <c r="D76" s="55"/>
      <c r="E76" s="55" t="s">
        <v>367</v>
      </c>
      <c r="F76" s="55" t="s">
        <v>367</v>
      </c>
      <c r="G76" s="55"/>
      <c r="H76" s="55"/>
      <c r="I76" s="55" t="str">
        <f>IFERROR(VLOOKUP($D76,烤漆色號編碼!$A:$D,4,FALSE)*G76+H76,"-")</f>
        <v>-</v>
      </c>
      <c r="J76" s="55">
        <v>2025</v>
      </c>
      <c r="K76" s="159">
        <v>12</v>
      </c>
    </row>
    <row r="77" spans="1:11" ht="13.5" customHeight="1" x14ac:dyDescent="0.15">
      <c r="A77" s="141"/>
      <c r="B77" s="149">
        <v>74</v>
      </c>
      <c r="C77" s="79"/>
      <c r="D77" s="55"/>
      <c r="E77" s="55" t="s">
        <v>367</v>
      </c>
      <c r="F77" s="55" t="s">
        <v>367</v>
      </c>
      <c r="G77" s="55"/>
      <c r="H77" s="55"/>
      <c r="I77" s="55" t="str">
        <f>IFERROR(VLOOKUP($D77,烤漆色號編碼!$A:$D,4,FALSE)*G77+H77,"-")</f>
        <v>-</v>
      </c>
      <c r="J77" s="55">
        <v>1899</v>
      </c>
      <c r="K77" s="160">
        <v>12</v>
      </c>
    </row>
    <row r="78" spans="1:11" ht="13.5" customHeight="1" x14ac:dyDescent="0.15">
      <c r="A78" s="141"/>
      <c r="B78" s="149">
        <v>75</v>
      </c>
      <c r="C78" s="79"/>
      <c r="D78" s="55"/>
      <c r="E78" s="55" t="s">
        <v>367</v>
      </c>
      <c r="F78" s="55" t="s">
        <v>367</v>
      </c>
      <c r="G78" s="55"/>
      <c r="H78" s="55"/>
      <c r="I78" s="55" t="str">
        <f>IFERROR(VLOOKUP($D78,烤漆色號編碼!$A:$D,4,FALSE)*G78+H78,"-")</f>
        <v>-</v>
      </c>
      <c r="J78" s="55">
        <v>1899</v>
      </c>
      <c r="K78" s="159">
        <v>12</v>
      </c>
    </row>
    <row r="79" spans="1:11" ht="13.5" customHeight="1" x14ac:dyDescent="0.15">
      <c r="A79" s="141"/>
      <c r="B79" s="149">
        <v>76</v>
      </c>
      <c r="C79" s="79"/>
      <c r="D79" s="55"/>
      <c r="E79" s="55" t="s">
        <v>367</v>
      </c>
      <c r="F79" s="55" t="s">
        <v>367</v>
      </c>
      <c r="G79" s="55"/>
      <c r="H79" s="55"/>
      <c r="I79" s="55" t="str">
        <f>IFERROR(VLOOKUP($D79,烤漆色號編碼!$A:$D,4,FALSE)*G79+H79,"-")</f>
        <v>-</v>
      </c>
      <c r="J79" s="55">
        <v>1899</v>
      </c>
      <c r="K79" s="160">
        <v>12</v>
      </c>
    </row>
    <row r="80" spans="1:11" ht="13.5" customHeight="1" x14ac:dyDescent="0.15">
      <c r="A80" s="141"/>
      <c r="B80" s="149">
        <v>77</v>
      </c>
      <c r="C80" s="79"/>
      <c r="D80" s="55"/>
      <c r="E80" s="55" t="s">
        <v>367</v>
      </c>
      <c r="F80" s="55" t="s">
        <v>367</v>
      </c>
      <c r="G80" s="55"/>
      <c r="H80" s="55"/>
      <c r="I80" s="55" t="str">
        <f>IFERROR(VLOOKUP($D80,烤漆色號編碼!$A:$D,4,FALSE)*G80+H80,"-")</f>
        <v>-</v>
      </c>
      <c r="J80" s="55">
        <v>1899</v>
      </c>
      <c r="K80" s="159">
        <v>12</v>
      </c>
    </row>
    <row r="81" spans="1:11" ht="13.5" customHeight="1" x14ac:dyDescent="0.15">
      <c r="A81" s="141"/>
      <c r="B81" s="149">
        <v>78</v>
      </c>
      <c r="C81" s="79"/>
      <c r="D81" s="55"/>
      <c r="E81" s="55" t="s">
        <v>367</v>
      </c>
      <c r="F81" s="55" t="s">
        <v>367</v>
      </c>
      <c r="G81" s="55"/>
      <c r="H81" s="55"/>
      <c r="I81" s="55" t="str">
        <f>IFERROR(VLOOKUP($D81,烤漆色號編碼!$A:$D,4,FALSE)*G81+H81,"-")</f>
        <v>-</v>
      </c>
      <c r="J81" s="55">
        <v>1899</v>
      </c>
      <c r="K81" s="160">
        <v>12</v>
      </c>
    </row>
    <row r="82" spans="1:11" ht="13.5" customHeight="1" x14ac:dyDescent="0.15">
      <c r="A82" s="141"/>
      <c r="B82" s="149">
        <v>79</v>
      </c>
      <c r="C82" s="79"/>
      <c r="D82" s="55"/>
      <c r="E82" s="55" t="s">
        <v>367</v>
      </c>
      <c r="F82" s="55" t="s">
        <v>367</v>
      </c>
      <c r="G82" s="55"/>
      <c r="H82" s="55"/>
      <c r="I82" s="55" t="str">
        <f>IFERROR(VLOOKUP($D82,烤漆色號編碼!$A:$D,4,FALSE)*G82+H82,"-")</f>
        <v>-</v>
      </c>
      <c r="J82" s="55">
        <v>1899</v>
      </c>
      <c r="K82" s="159">
        <v>12</v>
      </c>
    </row>
    <row r="83" spans="1:11" ht="13.5" customHeight="1" x14ac:dyDescent="0.15">
      <c r="A83" s="141"/>
      <c r="B83" s="149">
        <v>80</v>
      </c>
      <c r="C83" s="79"/>
      <c r="D83" s="55"/>
      <c r="E83" s="55" t="s">
        <v>367</v>
      </c>
      <c r="F83" s="55" t="s">
        <v>367</v>
      </c>
      <c r="G83" s="55"/>
      <c r="H83" s="55"/>
      <c r="I83" s="55" t="str">
        <f>IFERROR(VLOOKUP($D83,烤漆色號編碼!$A:$D,4,FALSE)*G83+H83,"-")</f>
        <v>-</v>
      </c>
      <c r="J83" s="55">
        <v>1899</v>
      </c>
      <c r="K83" s="160">
        <v>12</v>
      </c>
    </row>
    <row r="84" spans="1:11" ht="13.5" customHeight="1" x14ac:dyDescent="0.15">
      <c r="A84" s="141"/>
      <c r="B84" s="149">
        <v>81</v>
      </c>
      <c r="C84" s="79"/>
      <c r="D84" s="55"/>
      <c r="E84" s="55" t="s">
        <v>367</v>
      </c>
      <c r="F84" s="55" t="s">
        <v>367</v>
      </c>
      <c r="G84" s="55"/>
      <c r="H84" s="55"/>
      <c r="I84" s="55" t="str">
        <f>IFERROR(VLOOKUP($D84,烤漆色號編碼!$A:$D,4,FALSE)*G84+H84,"-")</f>
        <v>-</v>
      </c>
      <c r="J84" s="55">
        <v>1899</v>
      </c>
      <c r="K84" s="159">
        <v>12</v>
      </c>
    </row>
    <row r="85" spans="1:11" ht="13.5" customHeight="1" x14ac:dyDescent="0.15">
      <c r="A85" s="141"/>
      <c r="B85" s="149">
        <v>82</v>
      </c>
      <c r="C85" s="79"/>
      <c r="D85" s="55"/>
      <c r="E85" s="55" t="s">
        <v>367</v>
      </c>
      <c r="F85" s="55" t="s">
        <v>367</v>
      </c>
      <c r="G85" s="55"/>
      <c r="H85" s="55"/>
      <c r="I85" s="55" t="str">
        <f>IFERROR(VLOOKUP($D85,烤漆色號編碼!$A:$D,4,FALSE)*G85+H85,"-")</f>
        <v>-</v>
      </c>
      <c r="J85" s="55">
        <v>1899</v>
      </c>
      <c r="K85" s="160">
        <v>12</v>
      </c>
    </row>
    <row r="86" spans="1:11" ht="13.5" customHeight="1" x14ac:dyDescent="0.15">
      <c r="A86" s="141"/>
      <c r="B86" s="149">
        <v>83</v>
      </c>
      <c r="C86" s="79"/>
      <c r="D86" s="55"/>
      <c r="E86" s="55" t="s">
        <v>367</v>
      </c>
      <c r="F86" s="55" t="s">
        <v>367</v>
      </c>
      <c r="G86" s="55"/>
      <c r="H86" s="55"/>
      <c r="I86" s="55" t="str">
        <f>IFERROR(VLOOKUP($D86,烤漆色號編碼!$A:$D,4,FALSE)*G86+H86,"-")</f>
        <v>-</v>
      </c>
      <c r="J86" s="55">
        <v>1899</v>
      </c>
      <c r="K86" s="159">
        <v>12</v>
      </c>
    </row>
    <row r="87" spans="1:11" ht="13.5" customHeight="1" x14ac:dyDescent="0.15">
      <c r="A87" s="141"/>
      <c r="B87" s="149">
        <v>84</v>
      </c>
      <c r="C87" s="79"/>
      <c r="D87" s="55"/>
      <c r="E87" s="55" t="s">
        <v>367</v>
      </c>
      <c r="F87" s="55" t="s">
        <v>367</v>
      </c>
      <c r="G87" s="55"/>
      <c r="H87" s="55"/>
      <c r="I87" s="55" t="str">
        <f>IFERROR(VLOOKUP($D87,烤漆色號編碼!$A:$D,4,FALSE)*G87+H87,"-")</f>
        <v>-</v>
      </c>
      <c r="J87" s="55">
        <v>1899</v>
      </c>
      <c r="K87" s="160">
        <v>12</v>
      </c>
    </row>
    <row r="88" spans="1:11" ht="13.5" customHeight="1" x14ac:dyDescent="0.15">
      <c r="A88" s="141"/>
      <c r="B88" s="149">
        <v>85</v>
      </c>
      <c r="C88" s="79"/>
      <c r="D88" s="55"/>
      <c r="E88" s="55" t="s">
        <v>367</v>
      </c>
      <c r="F88" s="55" t="s">
        <v>367</v>
      </c>
      <c r="G88" s="55"/>
      <c r="H88" s="55"/>
      <c r="I88" s="55" t="str">
        <f>IFERROR(VLOOKUP($D88,烤漆色號編碼!$A:$D,4,FALSE)*G88+H88,"-")</f>
        <v>-</v>
      </c>
      <c r="J88" s="55">
        <v>1899</v>
      </c>
      <c r="K88" s="159">
        <v>12</v>
      </c>
    </row>
    <row r="89" spans="1:11" ht="13.5" customHeight="1" x14ac:dyDescent="0.15">
      <c r="A89" s="141"/>
      <c r="B89" s="149">
        <v>86</v>
      </c>
      <c r="C89" s="79"/>
      <c r="D89" s="55"/>
      <c r="E89" s="55" t="s">
        <v>367</v>
      </c>
      <c r="F89" s="55" t="s">
        <v>367</v>
      </c>
      <c r="G89" s="55"/>
      <c r="H89" s="55"/>
      <c r="I89" s="55" t="str">
        <f>IFERROR(VLOOKUP($D89,烤漆色號編碼!$A:$D,4,FALSE)*G89+H89,"-")</f>
        <v>-</v>
      </c>
      <c r="J89" s="55">
        <v>1899</v>
      </c>
      <c r="K89" s="160">
        <v>12</v>
      </c>
    </row>
    <row r="90" spans="1:11" ht="13.5" customHeight="1" x14ac:dyDescent="0.15">
      <c r="A90" s="141"/>
      <c r="B90" s="149">
        <v>87</v>
      </c>
      <c r="C90" s="79"/>
      <c r="D90" s="55"/>
      <c r="E90" s="55" t="s">
        <v>367</v>
      </c>
      <c r="F90" s="55" t="s">
        <v>367</v>
      </c>
      <c r="G90" s="55"/>
      <c r="H90" s="55"/>
      <c r="I90" s="55" t="str">
        <f>IFERROR(VLOOKUP($D90,烤漆色號編碼!$A:$D,4,FALSE)*G90+H90,"-")</f>
        <v>-</v>
      </c>
      <c r="J90" s="55">
        <v>1899</v>
      </c>
      <c r="K90" s="159">
        <v>12</v>
      </c>
    </row>
    <row r="91" spans="1:11" ht="13.5" customHeight="1" x14ac:dyDescent="0.15">
      <c r="A91" s="141"/>
      <c r="B91" s="149">
        <v>88</v>
      </c>
      <c r="C91" s="79"/>
      <c r="D91" s="55"/>
      <c r="E91" s="55" t="s">
        <v>367</v>
      </c>
      <c r="F91" s="55" t="s">
        <v>367</v>
      </c>
      <c r="G91" s="55"/>
      <c r="H91" s="55"/>
      <c r="I91" s="55" t="str">
        <f>IFERROR(VLOOKUP($D91,烤漆色號編碼!$A:$D,4,FALSE)*G91+H91,"-")</f>
        <v>-</v>
      </c>
      <c r="J91" s="55">
        <v>1899</v>
      </c>
      <c r="K91" s="160">
        <v>12</v>
      </c>
    </row>
    <row r="92" spans="1:11" ht="13.5" customHeight="1" x14ac:dyDescent="0.15">
      <c r="A92" s="141"/>
      <c r="B92" s="149">
        <v>89</v>
      </c>
      <c r="C92" s="79"/>
      <c r="D92" s="55"/>
      <c r="E92" s="55" t="s">
        <v>367</v>
      </c>
      <c r="F92" s="55" t="s">
        <v>367</v>
      </c>
      <c r="G92" s="55"/>
      <c r="H92" s="55"/>
      <c r="I92" s="55" t="str">
        <f>IFERROR(VLOOKUP($D92,烤漆色號編碼!$A:$D,4,FALSE)*G92+H92,"-")</f>
        <v>-</v>
      </c>
      <c r="J92" s="55">
        <v>1899</v>
      </c>
      <c r="K92" s="159">
        <v>12</v>
      </c>
    </row>
    <row r="93" spans="1:11" ht="13.5" customHeight="1" x14ac:dyDescent="0.15">
      <c r="A93" s="141"/>
      <c r="B93" s="149">
        <v>90</v>
      </c>
      <c r="C93" s="79"/>
      <c r="D93" s="55"/>
      <c r="E93" s="55" t="s">
        <v>367</v>
      </c>
      <c r="F93" s="55" t="s">
        <v>367</v>
      </c>
      <c r="G93" s="55"/>
      <c r="H93" s="55"/>
      <c r="I93" s="55" t="str">
        <f>IFERROR(VLOOKUP($D93,烤漆色號編碼!$A:$D,4,FALSE)*G93+H93,"-")</f>
        <v>-</v>
      </c>
      <c r="J93" s="55">
        <v>1899</v>
      </c>
      <c r="K93" s="160">
        <v>12</v>
      </c>
    </row>
    <row r="94" spans="1:11" ht="13.5" customHeight="1" x14ac:dyDescent="0.15">
      <c r="A94" s="141"/>
      <c r="B94" s="149">
        <v>91</v>
      </c>
      <c r="C94" s="79"/>
      <c r="D94" s="55"/>
      <c r="E94" s="55" t="s">
        <v>367</v>
      </c>
      <c r="F94" s="55" t="s">
        <v>367</v>
      </c>
      <c r="G94" s="55"/>
      <c r="H94" s="55"/>
      <c r="I94" s="55" t="str">
        <f>IFERROR(VLOOKUP($D94,烤漆色號編碼!$A:$D,4,FALSE)*G94+H94,"-")</f>
        <v>-</v>
      </c>
      <c r="J94" s="55">
        <v>1899</v>
      </c>
      <c r="K94" s="159">
        <v>12</v>
      </c>
    </row>
    <row r="95" spans="1:11" ht="13.5" customHeight="1" x14ac:dyDescent="0.15">
      <c r="A95" s="141"/>
      <c r="B95" s="149">
        <v>92</v>
      </c>
      <c r="C95" s="79"/>
      <c r="D95" s="55"/>
      <c r="E95" s="55" t="s">
        <v>367</v>
      </c>
      <c r="F95" s="55" t="s">
        <v>367</v>
      </c>
      <c r="G95" s="55"/>
      <c r="H95" s="55"/>
      <c r="I95" s="55" t="str">
        <f>IFERROR(VLOOKUP($D95,烤漆色號編碼!$A:$D,4,FALSE)*G95+H95,"-")</f>
        <v>-</v>
      </c>
      <c r="J95" s="55">
        <v>1899</v>
      </c>
      <c r="K95" s="160">
        <v>12</v>
      </c>
    </row>
    <row r="96" spans="1:11" ht="13.5" customHeight="1" x14ac:dyDescent="0.15">
      <c r="A96" s="141"/>
      <c r="B96" s="149">
        <v>93</v>
      </c>
      <c r="C96" s="79"/>
      <c r="D96" s="55"/>
      <c r="E96" s="55" t="s">
        <v>367</v>
      </c>
      <c r="F96" s="55" t="s">
        <v>367</v>
      </c>
      <c r="G96" s="55"/>
      <c r="H96" s="55"/>
      <c r="I96" s="55" t="str">
        <f>IFERROR(VLOOKUP($D96,烤漆色號編碼!$A:$D,4,FALSE)*G96+H96,"-")</f>
        <v>-</v>
      </c>
      <c r="J96" s="55">
        <v>1899</v>
      </c>
      <c r="K96" s="159">
        <v>12</v>
      </c>
    </row>
    <row r="97" spans="1:11" ht="13.5" customHeight="1" x14ac:dyDescent="0.15">
      <c r="A97" s="141"/>
      <c r="B97" s="149">
        <v>94</v>
      </c>
      <c r="C97" s="79"/>
      <c r="D97" s="55"/>
      <c r="E97" s="55" t="s">
        <v>367</v>
      </c>
      <c r="F97" s="55" t="s">
        <v>367</v>
      </c>
      <c r="G97" s="55"/>
      <c r="H97" s="55"/>
      <c r="I97" s="55" t="str">
        <f>IFERROR(VLOOKUP($D97,烤漆色號編碼!$A:$D,4,FALSE)*G97+H97,"-")</f>
        <v>-</v>
      </c>
      <c r="J97" s="55">
        <v>1899</v>
      </c>
      <c r="K97" s="160">
        <v>12</v>
      </c>
    </row>
    <row r="98" spans="1:11" ht="13.5" customHeight="1" x14ac:dyDescent="0.15">
      <c r="A98" s="141"/>
      <c r="B98" s="149">
        <v>95</v>
      </c>
      <c r="C98" s="79"/>
      <c r="D98" s="55"/>
      <c r="E98" s="55" t="s">
        <v>367</v>
      </c>
      <c r="F98" s="55" t="s">
        <v>367</v>
      </c>
      <c r="G98" s="55"/>
      <c r="H98" s="55"/>
      <c r="I98" s="55" t="str">
        <f>IFERROR(VLOOKUP($D98,烤漆色號編碼!$A:$D,4,FALSE)*G98+H98,"-")</f>
        <v>-</v>
      </c>
      <c r="J98" s="55">
        <v>1899</v>
      </c>
      <c r="K98" s="159">
        <v>12</v>
      </c>
    </row>
    <row r="99" spans="1:11" ht="13.5" customHeight="1" x14ac:dyDescent="0.15">
      <c r="A99" s="141"/>
      <c r="B99" s="149">
        <v>96</v>
      </c>
      <c r="C99" s="79"/>
      <c r="D99" s="55"/>
      <c r="E99" s="55" t="s">
        <v>367</v>
      </c>
      <c r="F99" s="55" t="s">
        <v>367</v>
      </c>
      <c r="G99" s="55"/>
      <c r="H99" s="55"/>
      <c r="I99" s="55" t="str">
        <f>IFERROR(VLOOKUP($D99,烤漆色號編碼!$A:$D,4,FALSE)*G99+H99,"-")</f>
        <v>-</v>
      </c>
      <c r="J99" s="55">
        <v>1899</v>
      </c>
      <c r="K99" s="160">
        <v>12</v>
      </c>
    </row>
    <row r="100" spans="1:11" ht="13.5" customHeight="1" x14ac:dyDescent="0.15">
      <c r="A100" s="141"/>
      <c r="B100" s="149">
        <v>97</v>
      </c>
      <c r="C100" s="79"/>
      <c r="D100" s="55"/>
      <c r="E100" s="55" t="s">
        <v>367</v>
      </c>
      <c r="F100" s="55" t="s">
        <v>367</v>
      </c>
      <c r="G100" s="55"/>
      <c r="H100" s="55"/>
      <c r="I100" s="55" t="str">
        <f>IFERROR(VLOOKUP($D100,烤漆色號編碼!$A:$D,4,FALSE)*G100+H100,"-")</f>
        <v>-</v>
      </c>
      <c r="J100" s="55">
        <v>1899</v>
      </c>
      <c r="K100" s="159">
        <v>12</v>
      </c>
    </row>
    <row r="101" spans="1:11" ht="13.5" customHeight="1" x14ac:dyDescent="0.15">
      <c r="A101" s="141"/>
      <c r="B101" s="149">
        <v>98</v>
      </c>
      <c r="C101" s="79"/>
      <c r="D101" s="55"/>
      <c r="E101" s="55" t="s">
        <v>367</v>
      </c>
      <c r="F101" s="55" t="s">
        <v>367</v>
      </c>
      <c r="G101" s="55"/>
      <c r="H101" s="55"/>
      <c r="I101" s="55" t="str">
        <f>IFERROR(VLOOKUP($D101,烤漆色號編碼!$A:$D,4,FALSE)*G101+H101,"-")</f>
        <v>-</v>
      </c>
      <c r="J101" s="55">
        <v>1899</v>
      </c>
      <c r="K101" s="160">
        <v>12</v>
      </c>
    </row>
    <row r="102" spans="1:11" ht="13.5" customHeight="1" x14ac:dyDescent="0.15">
      <c r="A102" s="141"/>
      <c r="B102" s="149">
        <v>99</v>
      </c>
      <c r="C102" s="79"/>
      <c r="D102" s="55"/>
      <c r="E102" s="55" t="s">
        <v>367</v>
      </c>
      <c r="F102" s="55" t="s">
        <v>367</v>
      </c>
      <c r="G102" s="55"/>
      <c r="H102" s="55"/>
      <c r="I102" s="55" t="str">
        <f>IFERROR(VLOOKUP($D102,烤漆色號編碼!$A:$D,4,FALSE)*G102+H102,"-")</f>
        <v>-</v>
      </c>
      <c r="J102" s="55">
        <v>1899</v>
      </c>
      <c r="K102" s="159">
        <v>12</v>
      </c>
    </row>
    <row r="103" spans="1:11" ht="13.5" customHeight="1" x14ac:dyDescent="0.15">
      <c r="A103" s="141"/>
      <c r="B103" s="149">
        <v>100</v>
      </c>
      <c r="C103" s="79"/>
      <c r="D103" s="55"/>
      <c r="E103" s="55" t="s">
        <v>367</v>
      </c>
      <c r="F103" s="55" t="s">
        <v>367</v>
      </c>
      <c r="G103" s="55"/>
      <c r="H103" s="55"/>
      <c r="I103" s="55" t="str">
        <f>IFERROR(VLOOKUP($D103,烤漆色號編碼!$A:$D,4,FALSE)*G103+H103,"-")</f>
        <v>-</v>
      </c>
      <c r="J103" s="55">
        <v>1899</v>
      </c>
      <c r="K103" s="160">
        <v>12</v>
      </c>
    </row>
    <row r="104" spans="1:11" ht="13.5" customHeight="1" x14ac:dyDescent="0.15">
      <c r="A104" s="141"/>
      <c r="B104" s="149">
        <v>101</v>
      </c>
      <c r="C104" s="79"/>
      <c r="D104" s="55"/>
      <c r="E104" s="55" t="s">
        <v>367</v>
      </c>
      <c r="F104" s="55" t="s">
        <v>367</v>
      </c>
      <c r="G104" s="55"/>
      <c r="H104" s="55"/>
      <c r="I104" s="55" t="str">
        <f>IFERROR(VLOOKUP($D104,烤漆色號編碼!$A:$D,4,FALSE)*G104+H104,"-")</f>
        <v>-</v>
      </c>
      <c r="J104" s="55">
        <v>1899</v>
      </c>
      <c r="K104" s="159">
        <v>12</v>
      </c>
    </row>
    <row r="105" spans="1:11" ht="13.5" customHeight="1" x14ac:dyDescent="0.15">
      <c r="A105" s="141"/>
      <c r="B105" s="149">
        <v>102</v>
      </c>
      <c r="C105" s="79"/>
      <c r="D105" s="55"/>
      <c r="E105" s="55" t="s">
        <v>367</v>
      </c>
      <c r="F105" s="55" t="s">
        <v>367</v>
      </c>
      <c r="G105" s="55"/>
      <c r="H105" s="55"/>
      <c r="I105" s="55" t="str">
        <f>IFERROR(VLOOKUP($D105,烤漆色號編碼!$A:$D,4,FALSE)*G105+H105,"-")</f>
        <v>-</v>
      </c>
      <c r="J105" s="55">
        <v>1899</v>
      </c>
      <c r="K105" s="160">
        <v>12</v>
      </c>
    </row>
    <row r="106" spans="1:11" ht="13.5" customHeight="1" x14ac:dyDescent="0.15">
      <c r="A106" s="141"/>
      <c r="B106" s="149">
        <v>103</v>
      </c>
      <c r="C106" s="79"/>
      <c r="D106" s="55"/>
      <c r="E106" s="55" t="s">
        <v>367</v>
      </c>
      <c r="F106" s="55" t="s">
        <v>367</v>
      </c>
      <c r="G106" s="55"/>
      <c r="H106" s="55"/>
      <c r="I106" s="55" t="str">
        <f>IFERROR(VLOOKUP($D106,烤漆色號編碼!$A:$D,4,FALSE)*G106+H106,"-")</f>
        <v>-</v>
      </c>
      <c r="J106" s="55">
        <v>1899</v>
      </c>
      <c r="K106" s="159">
        <v>12</v>
      </c>
    </row>
    <row r="107" spans="1:11" ht="13.5" customHeight="1" x14ac:dyDescent="0.15">
      <c r="A107" s="141"/>
      <c r="B107" s="149">
        <v>104</v>
      </c>
      <c r="C107" s="79"/>
      <c r="D107" s="55"/>
      <c r="E107" s="55" t="s">
        <v>367</v>
      </c>
      <c r="F107" s="55" t="s">
        <v>367</v>
      </c>
      <c r="G107" s="55"/>
      <c r="H107" s="55"/>
      <c r="I107" s="55" t="str">
        <f>IFERROR(VLOOKUP($D107,烤漆色號編碼!$A:$D,4,FALSE)*G107+H107,"-")</f>
        <v>-</v>
      </c>
      <c r="J107" s="55">
        <v>1899</v>
      </c>
      <c r="K107" s="160">
        <v>12</v>
      </c>
    </row>
    <row r="108" spans="1:11" ht="13.5" customHeight="1" x14ac:dyDescent="0.15">
      <c r="A108" s="141"/>
      <c r="B108" s="149">
        <v>105</v>
      </c>
      <c r="C108" s="79"/>
      <c r="D108" s="55"/>
      <c r="E108" s="55" t="s">
        <v>367</v>
      </c>
      <c r="F108" s="55" t="s">
        <v>367</v>
      </c>
      <c r="G108" s="55"/>
      <c r="H108" s="55"/>
      <c r="I108" s="55" t="str">
        <f>IFERROR(VLOOKUP($D108,烤漆色號編碼!$A:$D,4,FALSE)*G108+H108,"-")</f>
        <v>-</v>
      </c>
      <c r="J108" s="55">
        <v>1899</v>
      </c>
      <c r="K108" s="159">
        <v>12</v>
      </c>
    </row>
    <row r="109" spans="1:11" ht="13.5" customHeight="1" x14ac:dyDescent="0.15">
      <c r="A109" s="141"/>
      <c r="B109" s="149">
        <v>106</v>
      </c>
      <c r="C109" s="79"/>
      <c r="D109" s="55"/>
      <c r="E109" s="55" t="s">
        <v>367</v>
      </c>
      <c r="F109" s="55" t="s">
        <v>367</v>
      </c>
      <c r="G109" s="55"/>
      <c r="H109" s="55"/>
      <c r="I109" s="55" t="str">
        <f>IFERROR(VLOOKUP($D109,烤漆色號編碼!$A:$D,4,FALSE)*G109+H109,"-")</f>
        <v>-</v>
      </c>
      <c r="J109" s="55">
        <v>1899</v>
      </c>
      <c r="K109" s="160">
        <v>12</v>
      </c>
    </row>
    <row r="110" spans="1:11" ht="13.5" customHeight="1" x14ac:dyDescent="0.15">
      <c r="A110" s="141"/>
      <c r="B110" s="149">
        <v>107</v>
      </c>
      <c r="C110" s="79"/>
      <c r="D110" s="55"/>
      <c r="E110" s="55" t="s">
        <v>367</v>
      </c>
      <c r="F110" s="55" t="s">
        <v>367</v>
      </c>
      <c r="G110" s="55"/>
      <c r="H110" s="55"/>
      <c r="I110" s="55" t="str">
        <f>IFERROR(VLOOKUP($D110,烤漆色號編碼!$A:$D,4,FALSE)*G110+H110,"-")</f>
        <v>-</v>
      </c>
      <c r="J110" s="55">
        <v>1899</v>
      </c>
      <c r="K110" s="159">
        <v>12</v>
      </c>
    </row>
    <row r="111" spans="1:11" ht="13.5" customHeight="1" x14ac:dyDescent="0.15">
      <c r="A111" s="141"/>
      <c r="B111" s="149">
        <v>108</v>
      </c>
      <c r="C111" s="79"/>
      <c r="D111" s="55"/>
      <c r="E111" s="55" t="s">
        <v>367</v>
      </c>
      <c r="F111" s="55" t="s">
        <v>367</v>
      </c>
      <c r="G111" s="55"/>
      <c r="H111" s="55"/>
      <c r="I111" s="55" t="str">
        <f>IFERROR(VLOOKUP($D111,烤漆色號編碼!$A:$D,4,FALSE)*G111+H111,"-")</f>
        <v>-</v>
      </c>
      <c r="J111" s="55">
        <v>1899</v>
      </c>
      <c r="K111" s="160">
        <v>12</v>
      </c>
    </row>
    <row r="112" spans="1:11" ht="13.5" customHeight="1" x14ac:dyDescent="0.15">
      <c r="A112" s="141"/>
      <c r="B112" s="149">
        <v>109</v>
      </c>
      <c r="C112" s="79"/>
      <c r="D112" s="55"/>
      <c r="E112" s="55" t="s">
        <v>367</v>
      </c>
      <c r="F112" s="55" t="s">
        <v>367</v>
      </c>
      <c r="G112" s="55"/>
      <c r="H112" s="55"/>
      <c r="I112" s="55" t="str">
        <f>IFERROR(VLOOKUP($D112,烤漆色號編碼!$A:$D,4,FALSE)*G112+H112,"-")</f>
        <v>-</v>
      </c>
      <c r="J112" s="55">
        <v>1899</v>
      </c>
      <c r="K112" s="159">
        <v>12</v>
      </c>
    </row>
    <row r="113" spans="1:11" ht="13.5" customHeight="1" x14ac:dyDescent="0.15">
      <c r="A113" s="141"/>
      <c r="B113" s="149">
        <v>110</v>
      </c>
      <c r="C113" s="79"/>
      <c r="D113" s="55"/>
      <c r="E113" s="55" t="s">
        <v>367</v>
      </c>
      <c r="F113" s="55" t="s">
        <v>367</v>
      </c>
      <c r="G113" s="55"/>
      <c r="H113" s="55"/>
      <c r="I113" s="55" t="str">
        <f>IFERROR(VLOOKUP($D113,烤漆色號編碼!$A:$D,4,FALSE)*G113+H113,"-")</f>
        <v>-</v>
      </c>
      <c r="J113" s="55">
        <v>1899</v>
      </c>
      <c r="K113" s="160">
        <v>12</v>
      </c>
    </row>
    <row r="114" spans="1:11" ht="13.5" customHeight="1" x14ac:dyDescent="0.15">
      <c r="A114" s="141"/>
      <c r="B114" s="149">
        <v>111</v>
      </c>
      <c r="C114" s="79"/>
      <c r="D114" s="55"/>
      <c r="E114" s="55" t="s">
        <v>367</v>
      </c>
      <c r="F114" s="55" t="s">
        <v>367</v>
      </c>
      <c r="G114" s="55"/>
      <c r="H114" s="55"/>
      <c r="I114" s="55" t="str">
        <f>IFERROR(VLOOKUP($D114,烤漆色號編碼!$A:$D,4,FALSE)*G114+H114,"-")</f>
        <v>-</v>
      </c>
      <c r="J114" s="55">
        <v>1899</v>
      </c>
      <c r="K114" s="159">
        <v>12</v>
      </c>
    </row>
    <row r="115" spans="1:11" ht="13.5" customHeight="1" x14ac:dyDescent="0.15">
      <c r="A115" s="141"/>
      <c r="B115" s="149">
        <v>112</v>
      </c>
      <c r="C115" s="79"/>
      <c r="D115" s="55"/>
      <c r="E115" s="55" t="s">
        <v>367</v>
      </c>
      <c r="F115" s="55" t="s">
        <v>367</v>
      </c>
      <c r="G115" s="55"/>
      <c r="H115" s="55"/>
      <c r="I115" s="55" t="str">
        <f>IFERROR(VLOOKUP($D115,烤漆色號編碼!$A:$D,4,FALSE)*G115+H115,"-")</f>
        <v>-</v>
      </c>
      <c r="J115" s="55">
        <v>1899</v>
      </c>
      <c r="K115" s="160">
        <v>12</v>
      </c>
    </row>
    <row r="116" spans="1:11" ht="13.5" customHeight="1" x14ac:dyDescent="0.15">
      <c r="A116" s="141"/>
      <c r="B116" s="149">
        <v>113</v>
      </c>
      <c r="C116" s="79"/>
      <c r="D116" s="55"/>
      <c r="E116" s="55" t="s">
        <v>367</v>
      </c>
      <c r="F116" s="55" t="s">
        <v>367</v>
      </c>
      <c r="G116" s="55"/>
      <c r="H116" s="55"/>
      <c r="I116" s="55" t="str">
        <f>IFERROR(VLOOKUP($D116,烤漆色號編碼!$A:$D,4,FALSE)*G116+H116,"-")</f>
        <v>-</v>
      </c>
      <c r="J116" s="55">
        <v>1899</v>
      </c>
      <c r="K116" s="159">
        <v>12</v>
      </c>
    </row>
    <row r="117" spans="1:11" ht="13.5" customHeight="1" x14ac:dyDescent="0.15">
      <c r="A117" s="141"/>
      <c r="B117" s="149">
        <v>114</v>
      </c>
      <c r="C117" s="79"/>
      <c r="D117" s="55"/>
      <c r="E117" s="55" t="s">
        <v>367</v>
      </c>
      <c r="F117" s="55" t="s">
        <v>367</v>
      </c>
      <c r="G117" s="55"/>
      <c r="H117" s="55"/>
      <c r="I117" s="55" t="str">
        <f>IFERROR(VLOOKUP($D117,烤漆色號編碼!$A:$D,4,FALSE)*G117+H117,"-")</f>
        <v>-</v>
      </c>
      <c r="J117" s="55">
        <v>1899</v>
      </c>
      <c r="K117" s="160">
        <v>12</v>
      </c>
    </row>
    <row r="118" spans="1:11" ht="13.5" customHeight="1" x14ac:dyDescent="0.15">
      <c r="A118" s="141"/>
      <c r="B118" s="149">
        <v>115</v>
      </c>
      <c r="C118" s="79"/>
      <c r="D118" s="55"/>
      <c r="E118" s="55" t="s">
        <v>367</v>
      </c>
      <c r="F118" s="55" t="s">
        <v>367</v>
      </c>
      <c r="G118" s="55"/>
      <c r="H118" s="55"/>
      <c r="I118" s="55" t="str">
        <f>IFERROR(VLOOKUP($D118,烤漆色號編碼!$A:$D,4,FALSE)*G118+H118,"-")</f>
        <v>-</v>
      </c>
      <c r="J118" s="55">
        <v>1899</v>
      </c>
      <c r="K118" s="159">
        <v>12</v>
      </c>
    </row>
    <row r="119" spans="1:11" ht="13.5" customHeight="1" x14ac:dyDescent="0.15">
      <c r="A119" s="141"/>
      <c r="B119" s="149">
        <v>116</v>
      </c>
      <c r="C119" s="79"/>
      <c r="D119" s="55"/>
      <c r="E119" s="55" t="s">
        <v>367</v>
      </c>
      <c r="F119" s="55" t="s">
        <v>367</v>
      </c>
      <c r="G119" s="55"/>
      <c r="H119" s="55"/>
      <c r="I119" s="55" t="str">
        <f>IFERROR(VLOOKUP($D119,烤漆色號編碼!$A:$D,4,FALSE)*G119+H119,"-")</f>
        <v>-</v>
      </c>
      <c r="J119" s="55">
        <v>1899</v>
      </c>
      <c r="K119" s="160">
        <v>12</v>
      </c>
    </row>
    <row r="120" spans="1:11" ht="13.5" customHeight="1" x14ac:dyDescent="0.15">
      <c r="A120" s="141"/>
      <c r="B120" s="149">
        <v>117</v>
      </c>
      <c r="C120" s="79"/>
      <c r="D120" s="55"/>
      <c r="E120" s="55" t="s">
        <v>367</v>
      </c>
      <c r="F120" s="55" t="s">
        <v>367</v>
      </c>
      <c r="G120" s="55"/>
      <c r="H120" s="55"/>
      <c r="I120" s="55" t="str">
        <f>IFERROR(VLOOKUP($D120,烤漆色號編碼!$A:$D,4,FALSE)*G120+H120,"-")</f>
        <v>-</v>
      </c>
      <c r="J120" s="55">
        <v>1899</v>
      </c>
      <c r="K120" s="159">
        <v>12</v>
      </c>
    </row>
    <row r="121" spans="1:11" ht="13.5" customHeight="1" x14ac:dyDescent="0.15">
      <c r="A121" s="141"/>
      <c r="B121" s="149">
        <v>118</v>
      </c>
      <c r="C121" s="79"/>
      <c r="D121" s="55"/>
      <c r="E121" s="55" t="s">
        <v>367</v>
      </c>
      <c r="F121" s="55" t="s">
        <v>367</v>
      </c>
      <c r="G121" s="55"/>
      <c r="H121" s="55"/>
      <c r="I121" s="55" t="str">
        <f>IFERROR(VLOOKUP($D121,烤漆色號編碼!$A:$D,4,FALSE)*G121+H121,"-")</f>
        <v>-</v>
      </c>
      <c r="J121" s="55">
        <v>1899</v>
      </c>
      <c r="K121" s="160">
        <v>12</v>
      </c>
    </row>
    <row r="122" spans="1:11" ht="13.5" customHeight="1" x14ac:dyDescent="0.15">
      <c r="A122" s="141"/>
      <c r="B122" s="149">
        <v>119</v>
      </c>
      <c r="C122" s="79"/>
      <c r="D122" s="55"/>
      <c r="E122" s="55" t="s">
        <v>367</v>
      </c>
      <c r="F122" s="55" t="s">
        <v>367</v>
      </c>
      <c r="G122" s="55"/>
      <c r="H122" s="55"/>
      <c r="I122" s="55" t="str">
        <f>IFERROR(VLOOKUP($D122,烤漆色號編碼!$A:$D,4,FALSE)*G122+H122,"-")</f>
        <v>-</v>
      </c>
      <c r="J122" s="55">
        <v>1899</v>
      </c>
      <c r="K122" s="159">
        <v>12</v>
      </c>
    </row>
    <row r="123" spans="1:11" ht="13.5" customHeight="1" x14ac:dyDescent="0.15">
      <c r="A123" s="141"/>
      <c r="B123" s="149">
        <v>120</v>
      </c>
      <c r="C123" s="79"/>
      <c r="D123" s="55"/>
      <c r="E123" s="55" t="s">
        <v>367</v>
      </c>
      <c r="F123" s="55" t="s">
        <v>367</v>
      </c>
      <c r="G123" s="55"/>
      <c r="H123" s="55"/>
      <c r="I123" s="55" t="str">
        <f>IFERROR(VLOOKUP($D123,烤漆色號編碼!$A:$D,4,FALSE)*G123+H123,"-")</f>
        <v>-</v>
      </c>
      <c r="J123" s="55">
        <v>1899</v>
      </c>
      <c r="K123" s="160">
        <v>12</v>
      </c>
    </row>
    <row r="124" spans="1:11" ht="13.5" customHeight="1" x14ac:dyDescent="0.15">
      <c r="A124" s="141"/>
      <c r="B124" s="149">
        <v>121</v>
      </c>
      <c r="C124" s="79"/>
      <c r="D124" s="55"/>
      <c r="E124" s="55" t="s">
        <v>367</v>
      </c>
      <c r="F124" s="55" t="s">
        <v>367</v>
      </c>
      <c r="G124" s="55"/>
      <c r="H124" s="55"/>
      <c r="I124" s="55" t="str">
        <f>IFERROR(VLOOKUP($D124,烤漆色號編碼!$A:$D,4,FALSE)*G124+H124,"-")</f>
        <v>-</v>
      </c>
      <c r="J124" s="55">
        <v>1899</v>
      </c>
      <c r="K124" s="159">
        <v>12</v>
      </c>
    </row>
    <row r="125" spans="1:11" ht="13.5" customHeight="1" x14ac:dyDescent="0.15">
      <c r="A125" s="141"/>
      <c r="B125" s="149">
        <v>122</v>
      </c>
      <c r="C125" s="79"/>
      <c r="D125" s="55"/>
      <c r="E125" s="55" t="s">
        <v>367</v>
      </c>
      <c r="F125" s="55" t="s">
        <v>367</v>
      </c>
      <c r="G125" s="55"/>
      <c r="H125" s="55"/>
      <c r="I125" s="55" t="str">
        <f>IFERROR(VLOOKUP($D125,烤漆色號編碼!$A:$D,4,FALSE)*G125+H125,"-")</f>
        <v>-</v>
      </c>
      <c r="J125" s="55">
        <v>1899</v>
      </c>
      <c r="K125" s="160">
        <v>12</v>
      </c>
    </row>
    <row r="126" spans="1:11" ht="13.5" customHeight="1" x14ac:dyDescent="0.15">
      <c r="A126" s="141"/>
      <c r="B126" s="149">
        <v>123</v>
      </c>
      <c r="C126" s="79"/>
      <c r="D126" s="55"/>
      <c r="E126" s="55" t="s">
        <v>367</v>
      </c>
      <c r="F126" s="55" t="s">
        <v>367</v>
      </c>
      <c r="G126" s="55"/>
      <c r="H126" s="55"/>
      <c r="I126" s="55" t="str">
        <f>IFERROR(VLOOKUP($D126,烤漆色號編碼!$A:$D,4,FALSE)*G126+H126,"-")</f>
        <v>-</v>
      </c>
      <c r="J126" s="55">
        <v>1899</v>
      </c>
      <c r="K126" s="159">
        <v>12</v>
      </c>
    </row>
    <row r="127" spans="1:11" ht="13.5" customHeight="1" x14ac:dyDescent="0.15">
      <c r="A127" s="141"/>
      <c r="B127" s="149">
        <v>124</v>
      </c>
      <c r="C127" s="79"/>
      <c r="D127" s="55"/>
      <c r="E127" s="55" t="s">
        <v>367</v>
      </c>
      <c r="F127" s="55" t="s">
        <v>367</v>
      </c>
      <c r="G127" s="55"/>
      <c r="H127" s="55"/>
      <c r="I127" s="55" t="str">
        <f>IFERROR(VLOOKUP($D127,烤漆色號編碼!$A:$D,4,FALSE)*G127+H127,"-")</f>
        <v>-</v>
      </c>
      <c r="J127" s="55">
        <v>1899</v>
      </c>
      <c r="K127" s="160">
        <v>12</v>
      </c>
    </row>
    <row r="128" spans="1:11" ht="13.5" customHeight="1" x14ac:dyDescent="0.15">
      <c r="A128" s="141"/>
      <c r="B128" s="149">
        <v>125</v>
      </c>
      <c r="C128" s="79"/>
      <c r="D128" s="55"/>
      <c r="E128" s="55" t="s">
        <v>367</v>
      </c>
      <c r="F128" s="55" t="s">
        <v>367</v>
      </c>
      <c r="G128" s="55"/>
      <c r="H128" s="55"/>
      <c r="I128" s="55" t="str">
        <f>IFERROR(VLOOKUP($D128,烤漆色號編碼!$A:$D,4,FALSE)*G128+H128,"-")</f>
        <v>-</v>
      </c>
      <c r="J128" s="55">
        <v>1899</v>
      </c>
      <c r="K128" s="159">
        <v>12</v>
      </c>
    </row>
    <row r="129" spans="1:11" ht="13.5" customHeight="1" x14ac:dyDescent="0.15">
      <c r="A129" s="141"/>
      <c r="B129" s="149">
        <v>126</v>
      </c>
      <c r="C129" s="79"/>
      <c r="D129" s="55"/>
      <c r="E129" s="55" t="s">
        <v>367</v>
      </c>
      <c r="F129" s="55" t="s">
        <v>367</v>
      </c>
      <c r="G129" s="55"/>
      <c r="H129" s="55"/>
      <c r="I129" s="55" t="str">
        <f>IFERROR(VLOOKUP($D129,烤漆色號編碼!$A:$D,4,FALSE)*G129+H129,"-")</f>
        <v>-</v>
      </c>
      <c r="J129" s="55">
        <v>1899</v>
      </c>
      <c r="K129" s="160">
        <v>12</v>
      </c>
    </row>
    <row r="130" spans="1:11" ht="13.5" customHeight="1" x14ac:dyDescent="0.15">
      <c r="A130" s="141"/>
      <c r="B130" s="149">
        <v>127</v>
      </c>
      <c r="C130" s="79"/>
      <c r="D130" s="55"/>
      <c r="E130" s="55" t="s">
        <v>367</v>
      </c>
      <c r="F130" s="55" t="s">
        <v>367</v>
      </c>
      <c r="G130" s="55"/>
      <c r="H130" s="55"/>
      <c r="I130" s="55" t="str">
        <f>IFERROR(VLOOKUP($D130,烤漆色號編碼!$A:$D,4,FALSE)*G130+H130,"-")</f>
        <v>-</v>
      </c>
      <c r="J130" s="55">
        <v>1899</v>
      </c>
      <c r="K130" s="159">
        <v>12</v>
      </c>
    </row>
    <row r="131" spans="1:11" ht="13.5" customHeight="1" x14ac:dyDescent="0.15">
      <c r="A131" s="141"/>
      <c r="B131" s="148">
        <v>128</v>
      </c>
      <c r="C131" s="161"/>
      <c r="D131" s="162"/>
      <c r="E131" s="162" t="s">
        <v>367</v>
      </c>
      <c r="F131" s="162" t="s">
        <v>367</v>
      </c>
      <c r="G131" s="162"/>
      <c r="H131" s="162"/>
      <c r="I131" s="162"/>
      <c r="J131" s="162">
        <v>1899</v>
      </c>
      <c r="K131" s="152">
        <v>12</v>
      </c>
    </row>
    <row r="132" spans="1:11" ht="13.5" customHeight="1" x14ac:dyDescent="0.15">
      <c r="A132" s="141"/>
      <c r="B132" s="148">
        <v>129</v>
      </c>
      <c r="C132" s="163"/>
      <c r="D132" s="151"/>
      <c r="E132" s="151" t="s">
        <v>367</v>
      </c>
      <c r="F132" s="151" t="s">
        <v>367</v>
      </c>
      <c r="G132" s="151"/>
      <c r="H132" s="151"/>
      <c r="I132" s="151"/>
      <c r="J132" s="151">
        <v>1899</v>
      </c>
      <c r="K132" s="151">
        <v>12</v>
      </c>
    </row>
    <row r="133" spans="1:11" ht="13.5" customHeight="1" x14ac:dyDescent="0.15">
      <c r="A133" s="141"/>
      <c r="B133" s="148">
        <v>130</v>
      </c>
      <c r="C133" s="164"/>
      <c r="D133" s="152"/>
      <c r="E133" s="152" t="s">
        <v>367</v>
      </c>
      <c r="F133" s="152" t="s">
        <v>367</v>
      </c>
      <c r="G133" s="152"/>
      <c r="H133" s="152"/>
      <c r="I133" s="152"/>
      <c r="J133" s="152">
        <v>1899</v>
      </c>
      <c r="K133" s="152">
        <v>12</v>
      </c>
    </row>
    <row r="134" spans="1:11" ht="13.5" customHeight="1" x14ac:dyDescent="0.15">
      <c r="A134" s="141"/>
      <c r="B134" s="148">
        <v>131</v>
      </c>
      <c r="C134" s="163"/>
      <c r="D134" s="151"/>
      <c r="E134" s="151" t="s">
        <v>367</v>
      </c>
      <c r="F134" s="151" t="s">
        <v>367</v>
      </c>
      <c r="G134" s="151"/>
      <c r="H134" s="151"/>
      <c r="I134" s="151"/>
      <c r="J134" s="151">
        <v>1899</v>
      </c>
      <c r="K134" s="151">
        <v>12</v>
      </c>
    </row>
    <row r="135" spans="1:11" ht="13.5" customHeight="1" x14ac:dyDescent="0.15">
      <c r="A135" s="141"/>
      <c r="B135" s="148">
        <v>132</v>
      </c>
      <c r="C135" s="164"/>
      <c r="D135" s="152"/>
      <c r="E135" s="152" t="s">
        <v>367</v>
      </c>
      <c r="F135" s="152" t="s">
        <v>367</v>
      </c>
      <c r="G135" s="152"/>
      <c r="H135" s="152"/>
      <c r="I135" s="152"/>
      <c r="J135" s="152">
        <v>1899</v>
      </c>
      <c r="K135" s="152">
        <v>12</v>
      </c>
    </row>
    <row r="136" spans="1:11" ht="13.5" customHeight="1" x14ac:dyDescent="0.15">
      <c r="A136" s="141"/>
      <c r="B136" s="148">
        <v>133</v>
      </c>
      <c r="C136" s="163"/>
      <c r="D136" s="151"/>
      <c r="E136" s="151" t="s">
        <v>367</v>
      </c>
      <c r="F136" s="151" t="s">
        <v>367</v>
      </c>
      <c r="G136" s="151"/>
      <c r="H136" s="151"/>
      <c r="I136" s="151"/>
      <c r="J136" s="151">
        <v>1899</v>
      </c>
      <c r="K136" s="151">
        <v>12</v>
      </c>
    </row>
    <row r="137" spans="1:11" ht="13.5" customHeight="1" x14ac:dyDescent="0.15">
      <c r="A137" s="141"/>
      <c r="B137" s="148">
        <v>134</v>
      </c>
      <c r="C137" s="164"/>
      <c r="D137" s="152"/>
      <c r="E137" s="152" t="s">
        <v>367</v>
      </c>
      <c r="F137" s="152" t="s">
        <v>367</v>
      </c>
      <c r="G137" s="152"/>
      <c r="H137" s="152"/>
      <c r="I137" s="152"/>
      <c r="J137" s="152">
        <v>1899</v>
      </c>
      <c r="K137" s="152">
        <v>12</v>
      </c>
    </row>
    <row r="138" spans="1:11" ht="13.5" customHeight="1" x14ac:dyDescent="0.15">
      <c r="A138" s="141"/>
      <c r="B138" s="148">
        <v>135</v>
      </c>
      <c r="C138" s="163"/>
      <c r="D138" s="151"/>
      <c r="E138" s="151" t="s">
        <v>367</v>
      </c>
      <c r="F138" s="151" t="s">
        <v>367</v>
      </c>
      <c r="G138" s="151"/>
      <c r="H138" s="151"/>
      <c r="I138" s="151"/>
      <c r="J138" s="151">
        <v>1899</v>
      </c>
      <c r="K138" s="151">
        <v>12</v>
      </c>
    </row>
    <row r="139" spans="1:11" ht="13.5" customHeight="1" x14ac:dyDescent="0.15">
      <c r="A139" s="141"/>
      <c r="B139" s="148">
        <v>136</v>
      </c>
      <c r="C139" s="164"/>
      <c r="D139" s="152"/>
      <c r="E139" s="152" t="s">
        <v>367</v>
      </c>
      <c r="F139" s="152" t="s">
        <v>367</v>
      </c>
      <c r="G139" s="152"/>
      <c r="H139" s="152"/>
      <c r="I139" s="152"/>
      <c r="J139" s="152">
        <v>1899</v>
      </c>
      <c r="K139" s="152">
        <v>12</v>
      </c>
    </row>
    <row r="140" spans="1:11" ht="13.5" customHeight="1" x14ac:dyDescent="0.15">
      <c r="A140" s="141"/>
      <c r="B140" s="148">
        <v>137</v>
      </c>
      <c r="C140" s="163"/>
      <c r="D140" s="151"/>
      <c r="E140" s="151" t="s">
        <v>367</v>
      </c>
      <c r="F140" s="151" t="s">
        <v>367</v>
      </c>
      <c r="G140" s="151"/>
      <c r="H140" s="151"/>
      <c r="I140" s="151"/>
      <c r="J140" s="151">
        <v>1899</v>
      </c>
      <c r="K140" s="151">
        <v>12</v>
      </c>
    </row>
    <row r="141" spans="1:11" ht="13.5" customHeight="1" x14ac:dyDescent="0.15">
      <c r="A141" s="141"/>
      <c r="B141" s="148">
        <v>138</v>
      </c>
      <c r="C141" s="164"/>
      <c r="D141" s="152"/>
      <c r="E141" s="152" t="s">
        <v>367</v>
      </c>
      <c r="F141" s="152" t="s">
        <v>367</v>
      </c>
      <c r="G141" s="152"/>
      <c r="H141" s="152"/>
      <c r="I141" s="152"/>
      <c r="J141" s="152">
        <v>1899</v>
      </c>
      <c r="K141" s="152">
        <v>12</v>
      </c>
    </row>
    <row r="142" spans="1:11" ht="13.5" customHeight="1" x14ac:dyDescent="0.15">
      <c r="A142" s="141"/>
      <c r="B142" s="148">
        <v>139</v>
      </c>
      <c r="C142" s="163"/>
      <c r="D142" s="151"/>
      <c r="E142" s="151" t="s">
        <v>367</v>
      </c>
      <c r="F142" s="151" t="s">
        <v>367</v>
      </c>
      <c r="G142" s="151"/>
      <c r="H142" s="151"/>
      <c r="I142" s="151"/>
      <c r="J142" s="151">
        <v>1899</v>
      </c>
      <c r="K142" s="151">
        <v>12</v>
      </c>
    </row>
    <row r="143" spans="1:11" ht="13.5" customHeight="1" x14ac:dyDescent="0.15">
      <c r="A143" s="141"/>
      <c r="B143" s="148">
        <v>140</v>
      </c>
      <c r="C143" s="164"/>
      <c r="D143" s="152"/>
      <c r="E143" s="152" t="s">
        <v>367</v>
      </c>
      <c r="F143" s="152" t="s">
        <v>367</v>
      </c>
      <c r="G143" s="152"/>
      <c r="H143" s="152"/>
      <c r="I143" s="152"/>
      <c r="J143" s="152">
        <v>1899</v>
      </c>
      <c r="K143" s="152">
        <v>12</v>
      </c>
    </row>
    <row r="144" spans="1:11" ht="13.5" customHeight="1" x14ac:dyDescent="0.15">
      <c r="A144" s="141"/>
      <c r="B144" s="148">
        <v>141</v>
      </c>
      <c r="C144" s="163"/>
      <c r="D144" s="151"/>
      <c r="E144" s="151" t="s">
        <v>367</v>
      </c>
      <c r="F144" s="151" t="s">
        <v>367</v>
      </c>
      <c r="G144" s="151"/>
      <c r="H144" s="151"/>
      <c r="I144" s="151"/>
      <c r="J144" s="151">
        <v>1899</v>
      </c>
      <c r="K144" s="151">
        <v>12</v>
      </c>
    </row>
    <row r="145" spans="1:11" ht="13.5" customHeight="1" x14ac:dyDescent="0.15">
      <c r="A145" s="141"/>
      <c r="B145" s="148">
        <v>142</v>
      </c>
      <c r="C145" s="164"/>
      <c r="D145" s="152"/>
      <c r="E145" s="152" t="s">
        <v>367</v>
      </c>
      <c r="F145" s="152" t="s">
        <v>367</v>
      </c>
      <c r="G145" s="152"/>
      <c r="H145" s="152"/>
      <c r="I145" s="152"/>
      <c r="J145" s="152">
        <v>1899</v>
      </c>
      <c r="K145" s="152">
        <v>12</v>
      </c>
    </row>
    <row r="146" spans="1:11" ht="13.5" customHeight="1" x14ac:dyDescent="0.15">
      <c r="A146" s="141"/>
      <c r="B146" s="148">
        <v>143</v>
      </c>
      <c r="C146" s="163"/>
      <c r="D146" s="151"/>
      <c r="E146" s="151" t="s">
        <v>367</v>
      </c>
      <c r="F146" s="151" t="s">
        <v>367</v>
      </c>
      <c r="G146" s="151"/>
      <c r="H146" s="151"/>
      <c r="I146" s="151"/>
      <c r="J146" s="151">
        <v>1899</v>
      </c>
      <c r="K146" s="151">
        <v>12</v>
      </c>
    </row>
    <row r="147" spans="1:11" ht="13.5" customHeight="1" x14ac:dyDescent="0.15">
      <c r="A147" s="141"/>
      <c r="B147" s="148">
        <v>144</v>
      </c>
      <c r="C147" s="164"/>
      <c r="D147" s="152"/>
      <c r="E147" s="152" t="s">
        <v>367</v>
      </c>
      <c r="F147" s="152" t="s">
        <v>367</v>
      </c>
      <c r="G147" s="152"/>
      <c r="H147" s="152"/>
      <c r="I147" s="152"/>
      <c r="J147" s="152">
        <v>1899</v>
      </c>
      <c r="K147" s="152">
        <v>12</v>
      </c>
    </row>
    <row r="148" spans="1:11" ht="13.5" customHeight="1" x14ac:dyDescent="0.15">
      <c r="A148" s="141"/>
      <c r="B148" s="148">
        <v>145</v>
      </c>
      <c r="C148" s="163"/>
      <c r="D148" s="151"/>
      <c r="E148" s="151" t="s">
        <v>367</v>
      </c>
      <c r="F148" s="151" t="s">
        <v>367</v>
      </c>
      <c r="G148" s="151"/>
      <c r="H148" s="151"/>
      <c r="I148" s="151"/>
      <c r="J148" s="151">
        <v>1899</v>
      </c>
      <c r="K148" s="151">
        <v>12</v>
      </c>
    </row>
    <row r="149" spans="1:11" ht="13.5" customHeight="1" x14ac:dyDescent="0.15">
      <c r="A149" s="141"/>
      <c r="B149" s="148">
        <v>146</v>
      </c>
      <c r="C149" s="164"/>
      <c r="D149" s="152"/>
      <c r="E149" s="152" t="s">
        <v>367</v>
      </c>
      <c r="F149" s="152" t="s">
        <v>367</v>
      </c>
      <c r="G149" s="152"/>
      <c r="H149" s="152"/>
      <c r="I149" s="152"/>
      <c r="J149" s="152">
        <v>1899</v>
      </c>
      <c r="K149" s="152">
        <v>12</v>
      </c>
    </row>
    <row r="150" spans="1:11" ht="13.5" customHeight="1" x14ac:dyDescent="0.15">
      <c r="A150" s="141"/>
      <c r="B150" s="148">
        <v>147</v>
      </c>
      <c r="C150" s="163"/>
      <c r="D150" s="151"/>
      <c r="E150" s="151" t="s">
        <v>367</v>
      </c>
      <c r="F150" s="151" t="s">
        <v>367</v>
      </c>
      <c r="G150" s="151"/>
      <c r="H150" s="151"/>
      <c r="I150" s="151"/>
      <c r="J150" s="151">
        <v>1899</v>
      </c>
      <c r="K150" s="151">
        <v>12</v>
      </c>
    </row>
    <row r="151" spans="1:11" ht="13.5" customHeight="1" x14ac:dyDescent="0.15">
      <c r="A151" s="141"/>
      <c r="B151" s="148">
        <v>148</v>
      </c>
      <c r="C151" s="164"/>
      <c r="D151" s="152"/>
      <c r="E151" s="152" t="s">
        <v>367</v>
      </c>
      <c r="F151" s="152" t="s">
        <v>367</v>
      </c>
      <c r="G151" s="152"/>
      <c r="H151" s="152"/>
      <c r="I151" s="152"/>
      <c r="J151" s="152">
        <v>1899</v>
      </c>
      <c r="K151" s="152">
        <v>12</v>
      </c>
    </row>
    <row r="152" spans="1:11" ht="13.5" customHeight="1" x14ac:dyDescent="0.15">
      <c r="A152" s="141"/>
      <c r="B152" s="148">
        <v>149</v>
      </c>
      <c r="C152" s="163"/>
      <c r="D152" s="151"/>
      <c r="E152" s="151" t="s">
        <v>367</v>
      </c>
      <c r="F152" s="151" t="s">
        <v>367</v>
      </c>
      <c r="G152" s="151"/>
      <c r="H152" s="151"/>
      <c r="I152" s="151"/>
      <c r="J152" s="151">
        <v>1899</v>
      </c>
      <c r="K152" s="151">
        <v>12</v>
      </c>
    </row>
    <row r="153" spans="1:11" ht="13.5" customHeight="1" x14ac:dyDescent="0.15">
      <c r="A153" s="141"/>
      <c r="B153" s="148">
        <v>150</v>
      </c>
      <c r="C153" s="164"/>
      <c r="D153" s="152"/>
      <c r="E153" s="152" t="s">
        <v>367</v>
      </c>
      <c r="F153" s="152" t="s">
        <v>367</v>
      </c>
      <c r="G153" s="152"/>
      <c r="H153" s="152"/>
      <c r="I153" s="152"/>
      <c r="J153" s="152">
        <v>1899</v>
      </c>
      <c r="K153" s="152">
        <v>12</v>
      </c>
    </row>
    <row r="154" spans="1:11" ht="13.5" customHeight="1" x14ac:dyDescent="0.15">
      <c r="A154" s="141"/>
      <c r="B154" s="148">
        <v>151</v>
      </c>
      <c r="C154" s="163"/>
      <c r="D154" s="151"/>
      <c r="E154" s="151" t="s">
        <v>367</v>
      </c>
      <c r="F154" s="151" t="s">
        <v>367</v>
      </c>
      <c r="G154" s="151"/>
      <c r="H154" s="151"/>
      <c r="I154" s="151"/>
      <c r="J154" s="151">
        <v>1899</v>
      </c>
      <c r="K154" s="151">
        <v>12</v>
      </c>
    </row>
    <row r="155" spans="1:11" ht="13.5" customHeight="1" x14ac:dyDescent="0.15">
      <c r="A155" s="141"/>
      <c r="B155" s="148">
        <v>152</v>
      </c>
      <c r="C155" s="164"/>
      <c r="D155" s="152"/>
      <c r="E155" s="152" t="s">
        <v>367</v>
      </c>
      <c r="F155" s="152" t="s">
        <v>367</v>
      </c>
      <c r="G155" s="152"/>
      <c r="H155" s="152"/>
      <c r="I155" s="152"/>
      <c r="J155" s="152">
        <v>1899</v>
      </c>
      <c r="K155" s="152">
        <v>12</v>
      </c>
    </row>
    <row r="156" spans="1:11" ht="13.5" customHeight="1" x14ac:dyDescent="0.15">
      <c r="A156" s="141"/>
      <c r="B156" s="148">
        <v>153</v>
      </c>
      <c r="C156" s="163"/>
      <c r="D156" s="151"/>
      <c r="E156" s="151" t="s">
        <v>367</v>
      </c>
      <c r="F156" s="151" t="s">
        <v>367</v>
      </c>
      <c r="G156" s="151"/>
      <c r="H156" s="151"/>
      <c r="I156" s="151"/>
      <c r="J156" s="151">
        <v>1899</v>
      </c>
      <c r="K156" s="151">
        <v>12</v>
      </c>
    </row>
    <row r="157" spans="1:11" ht="13.5" customHeight="1" x14ac:dyDescent="0.15">
      <c r="A157" s="141"/>
      <c r="B157" s="148">
        <v>154</v>
      </c>
      <c r="C157" s="164"/>
      <c r="D157" s="152"/>
      <c r="E157" s="152" t="s">
        <v>367</v>
      </c>
      <c r="F157" s="152" t="s">
        <v>367</v>
      </c>
      <c r="G157" s="152"/>
      <c r="H157" s="152"/>
      <c r="I157" s="152"/>
      <c r="J157" s="152">
        <v>1899</v>
      </c>
      <c r="K157" s="152">
        <v>12</v>
      </c>
    </row>
    <row r="158" spans="1:11" ht="13.5" customHeight="1" x14ac:dyDescent="0.15">
      <c r="A158" s="141"/>
      <c r="B158" s="148">
        <v>155</v>
      </c>
      <c r="C158" s="163"/>
      <c r="D158" s="151"/>
      <c r="E158" s="151" t="s">
        <v>367</v>
      </c>
      <c r="F158" s="151" t="s">
        <v>367</v>
      </c>
      <c r="G158" s="151"/>
      <c r="H158" s="151"/>
      <c r="I158" s="151"/>
      <c r="J158" s="151">
        <v>1899</v>
      </c>
      <c r="K158" s="151">
        <v>12</v>
      </c>
    </row>
    <row r="159" spans="1:11" ht="13.5" customHeight="1" x14ac:dyDescent="0.15">
      <c r="A159" s="141"/>
      <c r="B159" s="148">
        <v>156</v>
      </c>
      <c r="C159" s="164"/>
      <c r="D159" s="152"/>
      <c r="E159" s="152" t="s">
        <v>367</v>
      </c>
      <c r="F159" s="152" t="s">
        <v>367</v>
      </c>
      <c r="G159" s="152"/>
      <c r="H159" s="152"/>
      <c r="I159" s="152"/>
      <c r="J159" s="152">
        <v>1899</v>
      </c>
      <c r="K159" s="152">
        <v>12</v>
      </c>
    </row>
    <row r="160" spans="1:11" ht="13.5" customHeight="1" x14ac:dyDescent="0.15">
      <c r="A160" s="141"/>
      <c r="B160" s="148">
        <v>157</v>
      </c>
      <c r="C160" s="163"/>
      <c r="D160" s="151"/>
      <c r="E160" s="151" t="s">
        <v>367</v>
      </c>
      <c r="F160" s="151" t="s">
        <v>367</v>
      </c>
      <c r="G160" s="151"/>
      <c r="H160" s="151"/>
      <c r="I160" s="151"/>
      <c r="J160" s="151">
        <v>1899</v>
      </c>
      <c r="K160" s="151">
        <v>12</v>
      </c>
    </row>
    <row r="161" spans="1:11" ht="13.5" customHeight="1" x14ac:dyDescent="0.15">
      <c r="A161" s="141"/>
      <c r="B161" s="148">
        <v>158</v>
      </c>
      <c r="C161" s="164"/>
      <c r="D161" s="152"/>
      <c r="E161" s="152" t="s">
        <v>367</v>
      </c>
      <c r="F161" s="152" t="s">
        <v>367</v>
      </c>
      <c r="G161" s="152"/>
      <c r="H161" s="152"/>
      <c r="I161" s="152"/>
      <c r="J161" s="152">
        <v>1899</v>
      </c>
      <c r="K161" s="152">
        <v>12</v>
      </c>
    </row>
    <row r="162" spans="1:11" ht="13.5" customHeight="1" x14ac:dyDescent="0.15">
      <c r="A162" s="141"/>
      <c r="B162" s="148">
        <v>159</v>
      </c>
      <c r="C162" s="163"/>
      <c r="D162" s="151"/>
      <c r="E162" s="151" t="s">
        <v>367</v>
      </c>
      <c r="F162" s="151" t="s">
        <v>367</v>
      </c>
      <c r="G162" s="151"/>
      <c r="H162" s="151"/>
      <c r="I162" s="151"/>
      <c r="J162" s="151">
        <v>1899</v>
      </c>
      <c r="K162" s="151">
        <v>12</v>
      </c>
    </row>
    <row r="163" spans="1:11" ht="13.5" customHeight="1" x14ac:dyDescent="0.15">
      <c r="A163" s="141"/>
      <c r="B163" s="148">
        <v>160</v>
      </c>
      <c r="C163" s="164"/>
      <c r="D163" s="152"/>
      <c r="E163" s="152" t="s">
        <v>367</v>
      </c>
      <c r="F163" s="152" t="s">
        <v>367</v>
      </c>
      <c r="G163" s="152"/>
      <c r="H163" s="152"/>
      <c r="I163" s="152"/>
      <c r="J163" s="152">
        <v>1899</v>
      </c>
      <c r="K163" s="152">
        <v>12</v>
      </c>
    </row>
    <row r="164" spans="1:11" ht="13.5" customHeight="1" x14ac:dyDescent="0.15">
      <c r="A164" s="141"/>
      <c r="B164" s="148">
        <v>161</v>
      </c>
      <c r="C164" s="163"/>
      <c r="D164" s="151"/>
      <c r="E164" s="151" t="s">
        <v>367</v>
      </c>
      <c r="F164" s="151" t="s">
        <v>367</v>
      </c>
      <c r="G164" s="151"/>
      <c r="H164" s="151"/>
      <c r="I164" s="151"/>
      <c r="J164" s="151">
        <v>1899</v>
      </c>
      <c r="K164" s="151">
        <v>12</v>
      </c>
    </row>
    <row r="165" spans="1:11" ht="13.5" customHeight="1" x14ac:dyDescent="0.15">
      <c r="A165" s="141"/>
      <c r="B165" s="148">
        <v>162</v>
      </c>
      <c r="C165" s="164"/>
      <c r="D165" s="152"/>
      <c r="E165" s="152" t="s">
        <v>367</v>
      </c>
      <c r="F165" s="152" t="s">
        <v>367</v>
      </c>
      <c r="G165" s="152"/>
      <c r="H165" s="152"/>
      <c r="I165" s="152"/>
      <c r="J165" s="152">
        <v>1899</v>
      </c>
      <c r="K165" s="152">
        <v>12</v>
      </c>
    </row>
    <row r="166" spans="1:11" ht="13.5" customHeight="1" x14ac:dyDescent="0.15">
      <c r="A166" s="141"/>
      <c r="B166" s="148">
        <v>163</v>
      </c>
      <c r="C166" s="163"/>
      <c r="D166" s="151"/>
      <c r="E166" s="151" t="s">
        <v>367</v>
      </c>
      <c r="F166" s="151" t="s">
        <v>367</v>
      </c>
      <c r="G166" s="151"/>
      <c r="H166" s="151"/>
      <c r="I166" s="151"/>
      <c r="J166" s="151">
        <v>1899</v>
      </c>
      <c r="K166" s="151">
        <v>12</v>
      </c>
    </row>
    <row r="167" spans="1:11" ht="13.5" customHeight="1" x14ac:dyDescent="0.15">
      <c r="A167" s="141"/>
      <c r="B167" s="148">
        <v>164</v>
      </c>
      <c r="C167" s="164"/>
      <c r="D167" s="152"/>
      <c r="E167" s="152" t="s">
        <v>367</v>
      </c>
      <c r="F167" s="152" t="s">
        <v>367</v>
      </c>
      <c r="G167" s="152"/>
      <c r="H167" s="152"/>
      <c r="I167" s="152"/>
      <c r="J167" s="152">
        <v>1899</v>
      </c>
      <c r="K167" s="152">
        <v>12</v>
      </c>
    </row>
    <row r="168" spans="1:11" ht="13.5" customHeight="1" x14ac:dyDescent="0.15">
      <c r="A168" s="141"/>
      <c r="B168" s="148">
        <v>165</v>
      </c>
      <c r="C168" s="163"/>
      <c r="D168" s="151"/>
      <c r="E168" s="151" t="s">
        <v>367</v>
      </c>
      <c r="F168" s="151" t="s">
        <v>367</v>
      </c>
      <c r="G168" s="151"/>
      <c r="H168" s="151"/>
      <c r="I168" s="151"/>
      <c r="J168" s="151">
        <v>1899</v>
      </c>
      <c r="K168" s="151">
        <v>12</v>
      </c>
    </row>
    <row r="169" spans="1:11" ht="13.5" customHeight="1" x14ac:dyDescent="0.15">
      <c r="A169" s="141"/>
      <c r="B169" s="148">
        <v>166</v>
      </c>
      <c r="C169" s="164"/>
      <c r="D169" s="152"/>
      <c r="E169" s="152" t="s">
        <v>367</v>
      </c>
      <c r="F169" s="152" t="s">
        <v>367</v>
      </c>
      <c r="G169" s="152"/>
      <c r="H169" s="152"/>
      <c r="I169" s="152"/>
      <c r="J169" s="152">
        <v>1899</v>
      </c>
      <c r="K169" s="152">
        <v>12</v>
      </c>
    </row>
    <row r="170" spans="1:11" ht="13.5" customHeight="1" x14ac:dyDescent="0.15">
      <c r="A170" s="141"/>
      <c r="B170" s="148">
        <v>167</v>
      </c>
      <c r="C170" s="163"/>
      <c r="D170" s="151"/>
      <c r="E170" s="151" t="s">
        <v>367</v>
      </c>
      <c r="F170" s="151" t="s">
        <v>367</v>
      </c>
      <c r="G170" s="151"/>
      <c r="H170" s="151"/>
      <c r="I170" s="151"/>
      <c r="J170" s="151">
        <v>1899</v>
      </c>
      <c r="K170" s="151">
        <v>12</v>
      </c>
    </row>
    <row r="171" spans="1:11" ht="13.5" customHeight="1" x14ac:dyDescent="0.15">
      <c r="A171" s="141"/>
      <c r="B171" s="148">
        <v>168</v>
      </c>
      <c r="C171" s="164"/>
      <c r="D171" s="152"/>
      <c r="E171" s="152" t="s">
        <v>367</v>
      </c>
      <c r="F171" s="152" t="s">
        <v>367</v>
      </c>
      <c r="G171" s="152"/>
      <c r="H171" s="152"/>
      <c r="I171" s="152"/>
      <c r="J171" s="152">
        <v>1899</v>
      </c>
      <c r="K171" s="152">
        <v>12</v>
      </c>
    </row>
    <row r="172" spans="1:11" ht="13.5" customHeight="1" x14ac:dyDescent="0.15">
      <c r="A172" s="141"/>
      <c r="B172" s="148">
        <v>169</v>
      </c>
      <c r="C172" s="163"/>
      <c r="D172" s="151"/>
      <c r="E172" s="151" t="s">
        <v>367</v>
      </c>
      <c r="F172" s="151" t="s">
        <v>367</v>
      </c>
      <c r="G172" s="151"/>
      <c r="H172" s="151"/>
      <c r="I172" s="151"/>
      <c r="J172" s="151">
        <v>1899</v>
      </c>
      <c r="K172" s="151">
        <v>12</v>
      </c>
    </row>
    <row r="173" spans="1:11" ht="13.5" customHeight="1" x14ac:dyDescent="0.15">
      <c r="A173" s="141"/>
      <c r="B173" s="148">
        <v>170</v>
      </c>
      <c r="C173" s="164"/>
      <c r="D173" s="152"/>
      <c r="E173" s="152" t="s">
        <v>367</v>
      </c>
      <c r="F173" s="152" t="s">
        <v>367</v>
      </c>
      <c r="G173" s="152"/>
      <c r="H173" s="152"/>
      <c r="I173" s="152"/>
      <c r="J173" s="152">
        <v>1899</v>
      </c>
      <c r="K173" s="152">
        <v>12</v>
      </c>
    </row>
    <row r="174" spans="1:11" ht="13.5" customHeight="1" x14ac:dyDescent="0.15">
      <c r="A174" s="141"/>
      <c r="B174" s="148">
        <v>171</v>
      </c>
      <c r="C174" s="163"/>
      <c r="D174" s="151"/>
      <c r="E174" s="151" t="s">
        <v>367</v>
      </c>
      <c r="F174" s="151" t="s">
        <v>367</v>
      </c>
      <c r="G174" s="151"/>
      <c r="H174" s="151"/>
      <c r="I174" s="151"/>
      <c r="J174" s="151">
        <v>1899</v>
      </c>
      <c r="K174" s="151">
        <v>12</v>
      </c>
    </row>
    <row r="175" spans="1:11" ht="13.5" customHeight="1" x14ac:dyDescent="0.15">
      <c r="A175" s="141"/>
      <c r="B175" s="148">
        <v>172</v>
      </c>
      <c r="C175" s="164"/>
      <c r="D175" s="152"/>
      <c r="E175" s="152" t="s">
        <v>367</v>
      </c>
      <c r="F175" s="152" t="s">
        <v>367</v>
      </c>
      <c r="G175" s="152"/>
      <c r="H175" s="152"/>
      <c r="I175" s="152"/>
      <c r="J175" s="152">
        <v>1899</v>
      </c>
      <c r="K175" s="152">
        <v>12</v>
      </c>
    </row>
    <row r="176" spans="1:11" ht="13.5" customHeight="1" x14ac:dyDescent="0.15">
      <c r="A176" s="141"/>
      <c r="B176" s="148">
        <v>173</v>
      </c>
      <c r="C176" s="163"/>
      <c r="D176" s="151"/>
      <c r="E176" s="151" t="s">
        <v>367</v>
      </c>
      <c r="F176" s="151" t="s">
        <v>367</v>
      </c>
      <c r="G176" s="151"/>
      <c r="H176" s="151"/>
      <c r="I176" s="151"/>
      <c r="J176" s="151">
        <v>1899</v>
      </c>
      <c r="K176" s="151">
        <v>12</v>
      </c>
    </row>
    <row r="177" spans="1:11" ht="13.5" customHeight="1" x14ac:dyDescent="0.15">
      <c r="A177" s="141"/>
      <c r="B177" s="148">
        <v>174</v>
      </c>
      <c r="C177" s="164"/>
      <c r="D177" s="152"/>
      <c r="E177" s="152" t="s">
        <v>367</v>
      </c>
      <c r="F177" s="152" t="s">
        <v>367</v>
      </c>
      <c r="G177" s="152"/>
      <c r="H177" s="152"/>
      <c r="I177" s="152"/>
      <c r="J177" s="152">
        <v>1899</v>
      </c>
      <c r="K177" s="152">
        <v>12</v>
      </c>
    </row>
    <row r="178" spans="1:11" ht="13.5" customHeight="1" x14ac:dyDescent="0.15">
      <c r="A178" s="141"/>
      <c r="B178" s="148">
        <v>175</v>
      </c>
      <c r="C178" s="163"/>
      <c r="D178" s="151"/>
      <c r="E178" s="151" t="s">
        <v>367</v>
      </c>
      <c r="F178" s="151" t="s">
        <v>367</v>
      </c>
      <c r="G178" s="151"/>
      <c r="H178" s="151"/>
      <c r="I178" s="151"/>
      <c r="J178" s="151">
        <v>1899</v>
      </c>
      <c r="K178" s="151">
        <v>12</v>
      </c>
    </row>
    <row r="179" spans="1:11" ht="13.5" customHeight="1" x14ac:dyDescent="0.15">
      <c r="A179" s="141"/>
      <c r="B179" s="148">
        <v>176</v>
      </c>
      <c r="C179" s="164"/>
      <c r="D179" s="152"/>
      <c r="E179" s="152" t="s">
        <v>367</v>
      </c>
      <c r="F179" s="152" t="s">
        <v>367</v>
      </c>
      <c r="G179" s="152"/>
      <c r="H179" s="152"/>
      <c r="I179" s="152"/>
      <c r="J179" s="152">
        <v>1899</v>
      </c>
      <c r="K179" s="152">
        <v>12</v>
      </c>
    </row>
    <row r="180" spans="1:11" ht="13.5" customHeight="1" x14ac:dyDescent="0.15">
      <c r="A180" s="141"/>
      <c r="B180" s="148">
        <v>177</v>
      </c>
      <c r="C180" s="163"/>
      <c r="D180" s="151"/>
      <c r="E180" s="151" t="s">
        <v>367</v>
      </c>
      <c r="F180" s="151" t="s">
        <v>367</v>
      </c>
      <c r="G180" s="151"/>
      <c r="H180" s="151"/>
      <c r="I180" s="151"/>
      <c r="J180" s="151">
        <v>1899</v>
      </c>
      <c r="K180" s="151">
        <v>12</v>
      </c>
    </row>
    <row r="181" spans="1:11" ht="13.5" customHeight="1" x14ac:dyDescent="0.15">
      <c r="A181" s="141"/>
      <c r="B181" s="148">
        <v>178</v>
      </c>
      <c r="C181" s="164"/>
      <c r="D181" s="152"/>
      <c r="E181" s="152" t="s">
        <v>367</v>
      </c>
      <c r="F181" s="152" t="s">
        <v>367</v>
      </c>
      <c r="G181" s="152"/>
      <c r="H181" s="152"/>
      <c r="I181" s="152"/>
      <c r="J181" s="152">
        <v>1899</v>
      </c>
      <c r="K181" s="152">
        <v>12</v>
      </c>
    </row>
    <row r="182" spans="1:11" ht="13.5" customHeight="1" x14ac:dyDescent="0.15">
      <c r="A182" s="141"/>
      <c r="B182" s="148">
        <v>179</v>
      </c>
      <c r="C182" s="163"/>
      <c r="D182" s="151"/>
      <c r="E182" s="151" t="s">
        <v>367</v>
      </c>
      <c r="F182" s="151" t="s">
        <v>367</v>
      </c>
      <c r="G182" s="151"/>
      <c r="H182" s="151"/>
      <c r="I182" s="151"/>
      <c r="J182" s="151">
        <v>1899</v>
      </c>
      <c r="K182" s="151">
        <v>12</v>
      </c>
    </row>
    <row r="183" spans="1:11" ht="13.5" customHeight="1" x14ac:dyDescent="0.15">
      <c r="A183" s="141"/>
      <c r="B183" s="148">
        <v>180</v>
      </c>
      <c r="C183" s="164"/>
      <c r="D183" s="152"/>
      <c r="E183" s="152" t="s">
        <v>367</v>
      </c>
      <c r="F183" s="152" t="s">
        <v>367</v>
      </c>
      <c r="G183" s="152"/>
      <c r="H183" s="152"/>
      <c r="I183" s="152"/>
      <c r="J183" s="152">
        <v>1899</v>
      </c>
      <c r="K183" s="152">
        <v>12</v>
      </c>
    </row>
    <row r="184" spans="1:11" ht="13.5" customHeight="1" x14ac:dyDescent="0.15">
      <c r="A184" s="141"/>
      <c r="B184" s="148">
        <v>181</v>
      </c>
      <c r="C184" s="163"/>
      <c r="D184" s="151"/>
      <c r="E184" s="151" t="s">
        <v>367</v>
      </c>
      <c r="F184" s="151" t="s">
        <v>367</v>
      </c>
      <c r="G184" s="151"/>
      <c r="H184" s="151"/>
      <c r="I184" s="151"/>
      <c r="J184" s="151">
        <v>1899</v>
      </c>
      <c r="K184" s="151">
        <v>12</v>
      </c>
    </row>
    <row r="185" spans="1:11" ht="13.5" customHeight="1" x14ac:dyDescent="0.15">
      <c r="A185" s="141"/>
      <c r="B185" s="148">
        <v>182</v>
      </c>
      <c r="C185" s="164"/>
      <c r="D185" s="152"/>
      <c r="E185" s="152" t="s">
        <v>367</v>
      </c>
      <c r="F185" s="152" t="s">
        <v>367</v>
      </c>
      <c r="G185" s="152"/>
      <c r="H185" s="152"/>
      <c r="I185" s="152"/>
      <c r="J185" s="152">
        <v>1899</v>
      </c>
      <c r="K185" s="152">
        <v>12</v>
      </c>
    </row>
    <row r="186" spans="1:11" ht="13.5" customHeight="1" x14ac:dyDescent="0.15">
      <c r="A186" s="141"/>
      <c r="B186" s="148">
        <v>183</v>
      </c>
      <c r="C186" s="163"/>
      <c r="D186" s="151"/>
      <c r="E186" s="151" t="s">
        <v>367</v>
      </c>
      <c r="F186" s="151" t="s">
        <v>367</v>
      </c>
      <c r="G186" s="151"/>
      <c r="H186" s="151"/>
      <c r="I186" s="151"/>
      <c r="J186" s="151">
        <v>1899</v>
      </c>
      <c r="K186" s="151">
        <v>12</v>
      </c>
    </row>
    <row r="187" spans="1:11" ht="13.5" customHeight="1" x14ac:dyDescent="0.15">
      <c r="A187" s="141"/>
      <c r="B187" s="148">
        <v>184</v>
      </c>
      <c r="C187" s="164"/>
      <c r="D187" s="152"/>
      <c r="E187" s="152" t="s">
        <v>367</v>
      </c>
      <c r="F187" s="152" t="s">
        <v>367</v>
      </c>
      <c r="G187" s="152"/>
      <c r="H187" s="152"/>
      <c r="I187" s="152"/>
      <c r="J187" s="152">
        <v>1899</v>
      </c>
      <c r="K187" s="152">
        <v>12</v>
      </c>
    </row>
    <row r="188" spans="1:11" ht="13.5" customHeight="1" x14ac:dyDescent="0.15">
      <c r="A188" s="141"/>
      <c r="B188" s="148">
        <v>185</v>
      </c>
      <c r="C188" s="163"/>
      <c r="D188" s="151"/>
      <c r="E188" s="151" t="s">
        <v>367</v>
      </c>
      <c r="F188" s="151" t="s">
        <v>367</v>
      </c>
      <c r="G188" s="151"/>
      <c r="H188" s="151"/>
      <c r="I188" s="151"/>
      <c r="J188" s="151">
        <v>1899</v>
      </c>
      <c r="K188" s="151">
        <v>12</v>
      </c>
    </row>
    <row r="189" spans="1:11" ht="13.5" customHeight="1" x14ac:dyDescent="0.15">
      <c r="A189" s="141"/>
      <c r="B189" s="148">
        <v>186</v>
      </c>
      <c r="C189" s="164"/>
      <c r="D189" s="152"/>
      <c r="E189" s="152" t="s">
        <v>367</v>
      </c>
      <c r="F189" s="152" t="s">
        <v>367</v>
      </c>
      <c r="G189" s="152"/>
      <c r="H189" s="152"/>
      <c r="I189" s="152"/>
      <c r="J189" s="152">
        <v>1899</v>
      </c>
      <c r="K189" s="152">
        <v>12</v>
      </c>
    </row>
    <row r="190" spans="1:11" ht="13.5" customHeight="1" x14ac:dyDescent="0.15">
      <c r="A190" s="141"/>
      <c r="B190" s="148">
        <v>187</v>
      </c>
      <c r="C190" s="163"/>
      <c r="D190" s="151"/>
      <c r="E190" s="151" t="s">
        <v>367</v>
      </c>
      <c r="F190" s="151" t="s">
        <v>367</v>
      </c>
      <c r="G190" s="151"/>
      <c r="H190" s="151"/>
      <c r="I190" s="151"/>
      <c r="J190" s="151">
        <v>1899</v>
      </c>
      <c r="K190" s="151">
        <v>12</v>
      </c>
    </row>
    <row r="191" spans="1:11" ht="13.5" customHeight="1" x14ac:dyDescent="0.15">
      <c r="A191" s="141"/>
      <c r="B191" s="148">
        <v>188</v>
      </c>
      <c r="C191" s="164"/>
      <c r="D191" s="152"/>
      <c r="E191" s="152" t="s">
        <v>367</v>
      </c>
      <c r="F191" s="152" t="s">
        <v>367</v>
      </c>
      <c r="G191" s="152"/>
      <c r="H191" s="152"/>
      <c r="I191" s="152"/>
      <c r="J191" s="152">
        <v>1899</v>
      </c>
      <c r="K191" s="152">
        <v>12</v>
      </c>
    </row>
    <row r="192" spans="1:11" ht="13.5" customHeight="1" x14ac:dyDescent="0.15">
      <c r="A192" s="141"/>
      <c r="B192" s="148">
        <v>189</v>
      </c>
      <c r="C192" s="163"/>
      <c r="D192" s="151"/>
      <c r="E192" s="151" t="s">
        <v>367</v>
      </c>
      <c r="F192" s="151" t="s">
        <v>367</v>
      </c>
      <c r="G192" s="151"/>
      <c r="H192" s="151"/>
      <c r="I192" s="151"/>
      <c r="J192" s="151">
        <v>1899</v>
      </c>
      <c r="K192" s="151">
        <v>12</v>
      </c>
    </row>
    <row r="193" spans="1:11" ht="13.5" customHeight="1" x14ac:dyDescent="0.15">
      <c r="A193" s="141"/>
      <c r="B193" s="148">
        <v>190</v>
      </c>
      <c r="C193" s="164"/>
      <c r="D193" s="152"/>
      <c r="E193" s="152" t="s">
        <v>367</v>
      </c>
      <c r="F193" s="152" t="s">
        <v>367</v>
      </c>
      <c r="G193" s="152"/>
      <c r="H193" s="152"/>
      <c r="I193" s="152"/>
      <c r="J193" s="152">
        <v>1899</v>
      </c>
      <c r="K193" s="152">
        <v>12</v>
      </c>
    </row>
    <row r="194" spans="1:11" ht="13.5" customHeight="1" x14ac:dyDescent="0.15">
      <c r="A194" s="141"/>
      <c r="B194" s="148">
        <v>191</v>
      </c>
      <c r="C194" s="163"/>
      <c r="D194" s="151"/>
      <c r="E194" s="151" t="s">
        <v>367</v>
      </c>
      <c r="F194" s="151" t="s">
        <v>367</v>
      </c>
      <c r="G194" s="151"/>
      <c r="H194" s="151"/>
      <c r="I194" s="151"/>
      <c r="J194" s="151">
        <v>1899</v>
      </c>
      <c r="K194" s="151">
        <v>12</v>
      </c>
    </row>
    <row r="195" spans="1:11" ht="13.5" customHeight="1" x14ac:dyDescent="0.15">
      <c r="A195" s="141"/>
      <c r="B195" s="148">
        <v>192</v>
      </c>
      <c r="C195" s="164"/>
      <c r="D195" s="152"/>
      <c r="E195" s="152" t="s">
        <v>367</v>
      </c>
      <c r="F195" s="152" t="s">
        <v>367</v>
      </c>
      <c r="G195" s="152"/>
      <c r="H195" s="152"/>
      <c r="I195" s="152"/>
      <c r="J195" s="152">
        <v>1899</v>
      </c>
      <c r="K195" s="152">
        <v>12</v>
      </c>
    </row>
    <row r="196" spans="1:11" ht="13.5" customHeight="1" x14ac:dyDescent="0.15">
      <c r="A196" s="141"/>
      <c r="B196" s="148">
        <v>193</v>
      </c>
      <c r="C196" s="163"/>
      <c r="D196" s="151"/>
      <c r="E196" s="151" t="s">
        <v>367</v>
      </c>
      <c r="F196" s="151" t="s">
        <v>367</v>
      </c>
      <c r="G196" s="151"/>
      <c r="H196" s="151"/>
      <c r="I196" s="151"/>
      <c r="J196" s="151">
        <v>1899</v>
      </c>
      <c r="K196" s="151">
        <v>12</v>
      </c>
    </row>
    <row r="197" spans="1:11" ht="13.5" customHeight="1" x14ac:dyDescent="0.15">
      <c r="A197" s="141"/>
      <c r="B197" s="148">
        <v>194</v>
      </c>
      <c r="C197" s="164"/>
      <c r="D197" s="152"/>
      <c r="E197" s="152" t="s">
        <v>367</v>
      </c>
      <c r="F197" s="152" t="s">
        <v>367</v>
      </c>
      <c r="G197" s="152"/>
      <c r="H197" s="152"/>
      <c r="I197" s="152"/>
      <c r="J197" s="152">
        <v>1899</v>
      </c>
      <c r="K197" s="152">
        <v>12</v>
      </c>
    </row>
    <row r="198" spans="1:11" ht="13.5" customHeight="1" x14ac:dyDescent="0.15">
      <c r="A198" s="141"/>
      <c r="B198" s="148">
        <v>195</v>
      </c>
      <c r="C198" s="163"/>
      <c r="D198" s="151"/>
      <c r="E198" s="151" t="s">
        <v>367</v>
      </c>
      <c r="F198" s="151" t="s">
        <v>367</v>
      </c>
      <c r="G198" s="151"/>
      <c r="H198" s="151"/>
      <c r="I198" s="151"/>
      <c r="J198" s="151">
        <v>1899</v>
      </c>
      <c r="K198" s="151">
        <v>12</v>
      </c>
    </row>
    <row r="199" spans="1:11" ht="13.5" customHeight="1" x14ac:dyDescent="0.15">
      <c r="A199" s="141"/>
      <c r="B199" s="148">
        <v>196</v>
      </c>
      <c r="C199" s="164"/>
      <c r="D199" s="152"/>
      <c r="E199" s="152" t="s">
        <v>367</v>
      </c>
      <c r="F199" s="152" t="s">
        <v>367</v>
      </c>
      <c r="G199" s="152"/>
      <c r="H199" s="152"/>
      <c r="I199" s="152"/>
      <c r="J199" s="152">
        <v>1899</v>
      </c>
      <c r="K199" s="152">
        <v>12</v>
      </c>
    </row>
    <row r="200" spans="1:11" ht="13.5" customHeight="1" x14ac:dyDescent="0.15">
      <c r="A200" s="141"/>
      <c r="B200" s="148">
        <v>197</v>
      </c>
      <c r="C200" s="163"/>
      <c r="D200" s="151"/>
      <c r="E200" s="151" t="s">
        <v>367</v>
      </c>
      <c r="F200" s="151" t="s">
        <v>367</v>
      </c>
      <c r="G200" s="151"/>
      <c r="H200" s="151"/>
      <c r="I200" s="151"/>
      <c r="J200" s="151">
        <v>1899</v>
      </c>
      <c r="K200" s="151">
        <v>12</v>
      </c>
    </row>
    <row r="201" spans="1:11" ht="13.5" customHeight="1" x14ac:dyDescent="0.15">
      <c r="A201" s="141"/>
      <c r="B201" s="148">
        <v>198</v>
      </c>
      <c r="C201" s="164"/>
      <c r="D201" s="152"/>
      <c r="E201" s="152" t="s">
        <v>367</v>
      </c>
      <c r="F201" s="152" t="s">
        <v>367</v>
      </c>
      <c r="G201" s="152"/>
      <c r="H201" s="152"/>
      <c r="I201" s="152"/>
      <c r="J201" s="152">
        <v>1899</v>
      </c>
      <c r="K201" s="152">
        <v>12</v>
      </c>
    </row>
    <row r="202" spans="1:11" ht="13.5" customHeight="1" x14ac:dyDescent="0.15">
      <c r="A202" s="141"/>
      <c r="B202" s="148">
        <v>199</v>
      </c>
      <c r="C202" s="163"/>
      <c r="D202" s="151"/>
      <c r="E202" s="151" t="s">
        <v>367</v>
      </c>
      <c r="F202" s="151" t="s">
        <v>367</v>
      </c>
      <c r="G202" s="151"/>
      <c r="H202" s="151"/>
      <c r="I202" s="151"/>
      <c r="J202" s="151">
        <v>1899</v>
      </c>
      <c r="K202" s="151">
        <v>12</v>
      </c>
    </row>
    <row r="203" spans="1:11" ht="13.5" customHeight="1" x14ac:dyDescent="0.15">
      <c r="A203" s="141"/>
      <c r="B203" s="148">
        <v>200</v>
      </c>
      <c r="C203" s="164"/>
      <c r="D203" s="152"/>
      <c r="E203" s="152" t="s">
        <v>367</v>
      </c>
      <c r="F203" s="152" t="s">
        <v>367</v>
      </c>
      <c r="G203" s="152"/>
      <c r="H203" s="152"/>
      <c r="I203" s="152"/>
      <c r="J203" s="152">
        <v>1899</v>
      </c>
      <c r="K203" s="152">
        <v>12</v>
      </c>
    </row>
    <row r="204" spans="1:11" ht="13.5" customHeight="1" x14ac:dyDescent="0.15">
      <c r="A204" s="141"/>
      <c r="B204" s="148">
        <v>201</v>
      </c>
      <c r="C204" s="163"/>
      <c r="D204" s="151"/>
      <c r="E204" s="151" t="s">
        <v>367</v>
      </c>
      <c r="F204" s="151" t="s">
        <v>367</v>
      </c>
      <c r="G204" s="151"/>
      <c r="H204" s="151"/>
      <c r="I204" s="151"/>
      <c r="J204" s="151">
        <v>1899</v>
      </c>
      <c r="K204" s="151">
        <v>12</v>
      </c>
    </row>
    <row r="205" spans="1:11" ht="13.5" customHeight="1" x14ac:dyDescent="0.15">
      <c r="A205" s="141"/>
      <c r="B205" s="148">
        <v>202</v>
      </c>
      <c r="C205" s="164"/>
      <c r="D205" s="152"/>
      <c r="E205" s="152" t="s">
        <v>367</v>
      </c>
      <c r="F205" s="152" t="s">
        <v>367</v>
      </c>
      <c r="G205" s="152"/>
      <c r="H205" s="152"/>
      <c r="I205" s="152"/>
      <c r="J205" s="152">
        <v>1899</v>
      </c>
      <c r="K205" s="152">
        <v>12</v>
      </c>
    </row>
    <row r="206" spans="1:11" ht="13.5" customHeight="1" x14ac:dyDescent="0.15">
      <c r="A206" s="141"/>
      <c r="B206" s="148">
        <v>203</v>
      </c>
      <c r="C206" s="163"/>
      <c r="D206" s="151"/>
      <c r="E206" s="151" t="s">
        <v>367</v>
      </c>
      <c r="F206" s="151" t="s">
        <v>367</v>
      </c>
      <c r="G206" s="151"/>
      <c r="H206" s="151"/>
      <c r="I206" s="151"/>
      <c r="J206" s="151">
        <v>1899</v>
      </c>
      <c r="K206" s="151">
        <v>12</v>
      </c>
    </row>
    <row r="207" spans="1:11" ht="13.5" customHeight="1" x14ac:dyDescent="0.15">
      <c r="A207" s="141"/>
      <c r="B207" s="148">
        <v>204</v>
      </c>
      <c r="C207" s="164"/>
      <c r="D207" s="152"/>
      <c r="E207" s="152" t="s">
        <v>367</v>
      </c>
      <c r="F207" s="152" t="s">
        <v>367</v>
      </c>
      <c r="G207" s="152"/>
      <c r="H207" s="152"/>
      <c r="I207" s="152"/>
      <c r="J207" s="152">
        <v>1899</v>
      </c>
      <c r="K207" s="152">
        <v>12</v>
      </c>
    </row>
    <row r="208" spans="1:11" ht="13.5" customHeight="1" x14ac:dyDescent="0.15">
      <c r="A208" s="141"/>
      <c r="B208" s="148">
        <v>205</v>
      </c>
      <c r="C208" s="163"/>
      <c r="D208" s="151"/>
      <c r="E208" s="151" t="s">
        <v>367</v>
      </c>
      <c r="F208" s="151" t="s">
        <v>367</v>
      </c>
      <c r="G208" s="151"/>
      <c r="H208" s="151"/>
      <c r="I208" s="151"/>
      <c r="J208" s="151">
        <v>1899</v>
      </c>
      <c r="K208" s="151">
        <v>12</v>
      </c>
    </row>
    <row r="209" spans="1:11" ht="13.5" customHeight="1" x14ac:dyDescent="0.15">
      <c r="A209" s="141"/>
      <c r="B209" s="148">
        <v>206</v>
      </c>
      <c r="C209" s="164"/>
      <c r="D209" s="152"/>
      <c r="E209" s="152" t="s">
        <v>367</v>
      </c>
      <c r="F209" s="152" t="s">
        <v>367</v>
      </c>
      <c r="G209" s="152"/>
      <c r="H209" s="152"/>
      <c r="I209" s="152"/>
      <c r="J209" s="152">
        <v>1899</v>
      </c>
      <c r="K209" s="152">
        <v>12</v>
      </c>
    </row>
    <row r="210" spans="1:11" ht="13.5" customHeight="1" x14ac:dyDescent="0.15">
      <c r="A210" s="141"/>
      <c r="B210" s="148">
        <v>207</v>
      </c>
      <c r="C210" s="163"/>
      <c r="D210" s="151"/>
      <c r="E210" s="151" t="s">
        <v>367</v>
      </c>
      <c r="F210" s="151" t="s">
        <v>367</v>
      </c>
      <c r="G210" s="151"/>
      <c r="H210" s="151"/>
      <c r="I210" s="151"/>
      <c r="J210" s="151">
        <v>1899</v>
      </c>
      <c r="K210" s="151">
        <v>12</v>
      </c>
    </row>
    <row r="211" spans="1:11" ht="13.5" customHeight="1" x14ac:dyDescent="0.15">
      <c r="A211" s="141"/>
      <c r="B211" s="148">
        <v>208</v>
      </c>
      <c r="C211" s="164"/>
      <c r="D211" s="152"/>
      <c r="E211" s="152" t="s">
        <v>367</v>
      </c>
      <c r="F211" s="152" t="s">
        <v>367</v>
      </c>
      <c r="G211" s="152"/>
      <c r="H211" s="152"/>
      <c r="I211" s="152"/>
      <c r="J211" s="152">
        <v>1899</v>
      </c>
      <c r="K211" s="152">
        <v>12</v>
      </c>
    </row>
    <row r="212" spans="1:11" ht="13.5" customHeight="1" x14ac:dyDescent="0.15">
      <c r="A212" s="141"/>
      <c r="B212" s="148">
        <v>209</v>
      </c>
      <c r="C212" s="163"/>
      <c r="D212" s="151"/>
      <c r="E212" s="151" t="s">
        <v>367</v>
      </c>
      <c r="F212" s="151" t="s">
        <v>367</v>
      </c>
      <c r="G212" s="151"/>
      <c r="H212" s="151"/>
      <c r="I212" s="151"/>
      <c r="J212" s="151">
        <v>1899</v>
      </c>
      <c r="K212" s="151">
        <v>12</v>
      </c>
    </row>
    <row r="213" spans="1:11" ht="13.5" customHeight="1" x14ac:dyDescent="0.15">
      <c r="A213" s="141"/>
      <c r="B213" s="148">
        <v>210</v>
      </c>
      <c r="C213" s="164"/>
      <c r="D213" s="152"/>
      <c r="E213" s="152" t="s">
        <v>367</v>
      </c>
      <c r="F213" s="152" t="s">
        <v>367</v>
      </c>
      <c r="G213" s="152"/>
      <c r="H213" s="152"/>
      <c r="I213" s="152"/>
      <c r="J213" s="152">
        <v>1899</v>
      </c>
      <c r="K213" s="152">
        <v>12</v>
      </c>
    </row>
    <row r="214" spans="1:11" ht="13.5" customHeight="1" x14ac:dyDescent="0.15">
      <c r="A214" s="141"/>
      <c r="B214" s="148">
        <v>211</v>
      </c>
      <c r="C214" s="163"/>
      <c r="D214" s="151"/>
      <c r="E214" s="151" t="s">
        <v>367</v>
      </c>
      <c r="F214" s="151" t="s">
        <v>367</v>
      </c>
      <c r="G214" s="151"/>
      <c r="H214" s="151"/>
      <c r="I214" s="151"/>
      <c r="J214" s="151">
        <v>1899</v>
      </c>
      <c r="K214" s="151">
        <v>12</v>
      </c>
    </row>
    <row r="215" spans="1:11" ht="13.5" customHeight="1" x14ac:dyDescent="0.15">
      <c r="A215" s="141"/>
      <c r="B215" s="148">
        <v>212</v>
      </c>
      <c r="C215" s="164"/>
      <c r="D215" s="152"/>
      <c r="E215" s="152" t="s">
        <v>367</v>
      </c>
      <c r="F215" s="152" t="s">
        <v>367</v>
      </c>
      <c r="G215" s="152"/>
      <c r="H215" s="152"/>
      <c r="I215" s="152"/>
      <c r="J215" s="152">
        <v>1899</v>
      </c>
      <c r="K215" s="152">
        <v>12</v>
      </c>
    </row>
    <row r="216" spans="1:11" ht="13.5" customHeight="1" x14ac:dyDescent="0.15">
      <c r="A216" s="141"/>
      <c r="B216" s="148">
        <v>213</v>
      </c>
      <c r="C216" s="163"/>
      <c r="D216" s="151"/>
      <c r="E216" s="151" t="s">
        <v>367</v>
      </c>
      <c r="F216" s="151" t="s">
        <v>367</v>
      </c>
      <c r="G216" s="151"/>
      <c r="H216" s="151"/>
      <c r="I216" s="151"/>
      <c r="J216" s="151">
        <v>1899</v>
      </c>
      <c r="K216" s="151">
        <v>12</v>
      </c>
    </row>
    <row r="217" spans="1:11" ht="13.5" customHeight="1" x14ac:dyDescent="0.15">
      <c r="A217" s="141"/>
      <c r="B217" s="148">
        <v>214</v>
      </c>
      <c r="C217" s="164"/>
      <c r="D217" s="152"/>
      <c r="E217" s="152" t="s">
        <v>367</v>
      </c>
      <c r="F217" s="152" t="s">
        <v>367</v>
      </c>
      <c r="G217" s="152"/>
      <c r="H217" s="152"/>
      <c r="I217" s="152"/>
      <c r="J217" s="152">
        <v>1899</v>
      </c>
      <c r="K217" s="152">
        <v>12</v>
      </c>
    </row>
    <row r="218" spans="1:11" ht="13.5" customHeight="1" x14ac:dyDescent="0.15">
      <c r="A218" s="141"/>
      <c r="B218" s="148">
        <v>215</v>
      </c>
      <c r="C218" s="163"/>
      <c r="D218" s="151"/>
      <c r="E218" s="151" t="s">
        <v>367</v>
      </c>
      <c r="F218" s="151" t="s">
        <v>367</v>
      </c>
      <c r="G218" s="151"/>
      <c r="H218" s="151"/>
      <c r="I218" s="151"/>
      <c r="J218" s="151">
        <v>1899</v>
      </c>
      <c r="K218" s="151">
        <v>12</v>
      </c>
    </row>
    <row r="219" spans="1:11" ht="13.5" customHeight="1" x14ac:dyDescent="0.15">
      <c r="A219" s="141"/>
      <c r="B219" s="148">
        <v>216</v>
      </c>
      <c r="C219" s="164"/>
      <c r="D219" s="152"/>
      <c r="E219" s="152" t="s">
        <v>367</v>
      </c>
      <c r="F219" s="152" t="s">
        <v>367</v>
      </c>
      <c r="G219" s="152"/>
      <c r="H219" s="152"/>
      <c r="I219" s="152"/>
      <c r="J219" s="152">
        <v>1899</v>
      </c>
      <c r="K219" s="152">
        <v>12</v>
      </c>
    </row>
    <row r="220" spans="1:11" ht="13.5" customHeight="1" x14ac:dyDescent="0.15">
      <c r="A220" s="141"/>
      <c r="B220" s="148">
        <v>217</v>
      </c>
      <c r="C220" s="163"/>
      <c r="D220" s="151"/>
      <c r="E220" s="151" t="s">
        <v>367</v>
      </c>
      <c r="F220" s="151" t="s">
        <v>367</v>
      </c>
      <c r="G220" s="151"/>
      <c r="H220" s="151"/>
      <c r="I220" s="151"/>
      <c r="J220" s="151">
        <v>1899</v>
      </c>
      <c r="K220" s="151">
        <v>12</v>
      </c>
    </row>
    <row r="221" spans="1:11" ht="13.5" customHeight="1" x14ac:dyDescent="0.15">
      <c r="A221" s="141"/>
      <c r="B221" s="148">
        <v>218</v>
      </c>
      <c r="C221" s="164"/>
      <c r="D221" s="152"/>
      <c r="E221" s="152" t="s">
        <v>367</v>
      </c>
      <c r="F221" s="152" t="s">
        <v>367</v>
      </c>
      <c r="G221" s="152"/>
      <c r="H221" s="152"/>
      <c r="I221" s="152"/>
      <c r="J221" s="152">
        <v>1899</v>
      </c>
      <c r="K221" s="152">
        <v>12</v>
      </c>
    </row>
    <row r="222" spans="1:11" ht="13.5" customHeight="1" x14ac:dyDescent="0.15">
      <c r="A222" s="141"/>
      <c r="B222" s="148">
        <v>219</v>
      </c>
      <c r="C222" s="163"/>
      <c r="D222" s="151"/>
      <c r="E222" s="151" t="s">
        <v>367</v>
      </c>
      <c r="F222" s="151" t="s">
        <v>367</v>
      </c>
      <c r="G222" s="151"/>
      <c r="H222" s="151"/>
      <c r="I222" s="151"/>
      <c r="J222" s="151">
        <v>1899</v>
      </c>
      <c r="K222" s="151">
        <v>12</v>
      </c>
    </row>
    <row r="223" spans="1:11" ht="13.5" customHeight="1" x14ac:dyDescent="0.15">
      <c r="A223" s="141"/>
      <c r="B223" s="148">
        <v>220</v>
      </c>
      <c r="C223" s="164"/>
      <c r="D223" s="152"/>
      <c r="E223" s="152" t="s">
        <v>367</v>
      </c>
      <c r="F223" s="152" t="s">
        <v>367</v>
      </c>
      <c r="G223" s="152"/>
      <c r="H223" s="152"/>
      <c r="I223" s="152"/>
      <c r="J223" s="152">
        <v>1899</v>
      </c>
      <c r="K223" s="152">
        <v>12</v>
      </c>
    </row>
    <row r="224" spans="1:11" ht="13.5" customHeight="1" x14ac:dyDescent="0.15">
      <c r="A224" s="141"/>
      <c r="B224" s="148">
        <v>221</v>
      </c>
      <c r="C224" s="163"/>
      <c r="D224" s="151"/>
      <c r="E224" s="151" t="s">
        <v>367</v>
      </c>
      <c r="F224" s="151" t="s">
        <v>367</v>
      </c>
      <c r="G224" s="151"/>
      <c r="H224" s="151"/>
      <c r="I224" s="151"/>
      <c r="J224" s="151">
        <v>1899</v>
      </c>
      <c r="K224" s="151">
        <v>12</v>
      </c>
    </row>
    <row r="225" spans="1:11" ht="13.5" customHeight="1" x14ac:dyDescent="0.15">
      <c r="A225" s="141"/>
      <c r="B225" s="148">
        <v>222</v>
      </c>
      <c r="C225" s="164"/>
      <c r="D225" s="152"/>
      <c r="E225" s="152" t="s">
        <v>367</v>
      </c>
      <c r="F225" s="152" t="s">
        <v>367</v>
      </c>
      <c r="G225" s="152"/>
      <c r="H225" s="152"/>
      <c r="I225" s="152"/>
      <c r="J225" s="152">
        <v>1899</v>
      </c>
      <c r="K225" s="152">
        <v>12</v>
      </c>
    </row>
    <row r="226" spans="1:11" ht="13.5" customHeight="1" x14ac:dyDescent="0.15">
      <c r="A226" s="141"/>
      <c r="B226" s="148">
        <v>223</v>
      </c>
      <c r="C226" s="163"/>
      <c r="D226" s="151"/>
      <c r="E226" s="151" t="s">
        <v>367</v>
      </c>
      <c r="F226" s="151" t="s">
        <v>367</v>
      </c>
      <c r="G226" s="151"/>
      <c r="H226" s="151"/>
      <c r="I226" s="151"/>
      <c r="J226" s="151">
        <v>1899</v>
      </c>
      <c r="K226" s="151">
        <v>12</v>
      </c>
    </row>
    <row r="227" spans="1:11" ht="13.5" customHeight="1" x14ac:dyDescent="0.15">
      <c r="A227" s="141"/>
      <c r="B227" s="148">
        <v>224</v>
      </c>
      <c r="C227" s="164"/>
      <c r="D227" s="152"/>
      <c r="E227" s="152" t="s">
        <v>367</v>
      </c>
      <c r="F227" s="152" t="s">
        <v>367</v>
      </c>
      <c r="G227" s="152"/>
      <c r="H227" s="152"/>
      <c r="I227" s="152"/>
      <c r="J227" s="152">
        <v>1899</v>
      </c>
      <c r="K227" s="152">
        <v>12</v>
      </c>
    </row>
    <row r="228" spans="1:11" ht="13.5" customHeight="1" x14ac:dyDescent="0.15">
      <c r="A228" s="141"/>
      <c r="B228" s="148">
        <v>225</v>
      </c>
      <c r="C228" s="163"/>
      <c r="D228" s="151"/>
      <c r="E228" s="151" t="s">
        <v>367</v>
      </c>
      <c r="F228" s="151" t="s">
        <v>367</v>
      </c>
      <c r="G228" s="151"/>
      <c r="H228" s="151"/>
      <c r="I228" s="151"/>
      <c r="J228" s="151">
        <v>1899</v>
      </c>
      <c r="K228" s="151">
        <v>12</v>
      </c>
    </row>
    <row r="229" spans="1:11" ht="13.5" customHeight="1" x14ac:dyDescent="0.15">
      <c r="A229" s="141"/>
      <c r="B229" s="148">
        <v>226</v>
      </c>
      <c r="C229" s="164"/>
      <c r="D229" s="152"/>
      <c r="E229" s="152" t="s">
        <v>367</v>
      </c>
      <c r="F229" s="152" t="s">
        <v>367</v>
      </c>
      <c r="G229" s="152"/>
      <c r="H229" s="152"/>
      <c r="I229" s="152"/>
      <c r="J229" s="152">
        <v>1899</v>
      </c>
      <c r="K229" s="152">
        <v>12</v>
      </c>
    </row>
    <row r="230" spans="1:11" ht="13.5" customHeight="1" x14ac:dyDescent="0.15">
      <c r="A230" s="141"/>
      <c r="B230" s="148">
        <v>227</v>
      </c>
      <c r="C230" s="163"/>
      <c r="D230" s="151"/>
      <c r="E230" s="151" t="s">
        <v>367</v>
      </c>
      <c r="F230" s="151" t="s">
        <v>367</v>
      </c>
      <c r="G230" s="151"/>
      <c r="H230" s="151"/>
      <c r="I230" s="151"/>
      <c r="J230" s="151">
        <v>1899</v>
      </c>
      <c r="K230" s="151">
        <v>12</v>
      </c>
    </row>
    <row r="231" spans="1:11" ht="13.5" customHeight="1" x14ac:dyDescent="0.15">
      <c r="A231" s="141"/>
      <c r="B231" s="148">
        <v>228</v>
      </c>
      <c r="C231" s="164"/>
      <c r="D231" s="152"/>
      <c r="E231" s="152" t="s">
        <v>367</v>
      </c>
      <c r="F231" s="152" t="s">
        <v>367</v>
      </c>
      <c r="G231" s="152"/>
      <c r="H231" s="152"/>
      <c r="I231" s="152"/>
      <c r="J231" s="152">
        <v>1899</v>
      </c>
      <c r="K231" s="152">
        <v>12</v>
      </c>
    </row>
    <row r="232" spans="1:11" ht="13.5" customHeight="1" x14ac:dyDescent="0.15">
      <c r="A232" s="141"/>
      <c r="B232" s="148">
        <v>229</v>
      </c>
      <c r="C232" s="163"/>
      <c r="D232" s="151"/>
      <c r="E232" s="151" t="s">
        <v>367</v>
      </c>
      <c r="F232" s="151" t="s">
        <v>367</v>
      </c>
      <c r="G232" s="151"/>
      <c r="H232" s="151"/>
      <c r="I232" s="151"/>
      <c r="J232" s="151">
        <v>1899</v>
      </c>
      <c r="K232" s="151">
        <v>12</v>
      </c>
    </row>
    <row r="233" spans="1:11" ht="13.5" customHeight="1" x14ac:dyDescent="0.15">
      <c r="A233" s="141"/>
      <c r="B233" s="148">
        <v>230</v>
      </c>
      <c r="C233" s="164"/>
      <c r="D233" s="152"/>
      <c r="E233" s="152" t="s">
        <v>367</v>
      </c>
      <c r="F233" s="152" t="s">
        <v>367</v>
      </c>
      <c r="G233" s="152"/>
      <c r="H233" s="152"/>
      <c r="I233" s="152"/>
      <c r="J233" s="152">
        <v>1899</v>
      </c>
      <c r="K233" s="152">
        <v>12</v>
      </c>
    </row>
    <row r="234" spans="1:11" ht="13.5" customHeight="1" x14ac:dyDescent="0.15">
      <c r="A234" s="141"/>
      <c r="B234" s="148">
        <v>231</v>
      </c>
      <c r="C234" s="163"/>
      <c r="D234" s="151"/>
      <c r="E234" s="151" t="s">
        <v>367</v>
      </c>
      <c r="F234" s="151" t="s">
        <v>367</v>
      </c>
      <c r="G234" s="151"/>
      <c r="H234" s="151"/>
      <c r="I234" s="151"/>
      <c r="J234" s="151">
        <v>1899</v>
      </c>
      <c r="K234" s="151">
        <v>12</v>
      </c>
    </row>
    <row r="235" spans="1:11" ht="13.5" customHeight="1" x14ac:dyDescent="0.15">
      <c r="A235" s="141"/>
      <c r="B235" s="148">
        <v>232</v>
      </c>
      <c r="C235" s="164"/>
      <c r="D235" s="152"/>
      <c r="E235" s="152" t="s">
        <v>367</v>
      </c>
      <c r="F235" s="152" t="s">
        <v>367</v>
      </c>
      <c r="G235" s="152"/>
      <c r="H235" s="152"/>
      <c r="I235" s="152"/>
      <c r="J235" s="152">
        <v>1899</v>
      </c>
      <c r="K235" s="152">
        <v>12</v>
      </c>
    </row>
    <row r="236" spans="1:11" ht="13.5" customHeight="1" x14ac:dyDescent="0.15">
      <c r="A236" s="141"/>
      <c r="B236" s="148">
        <v>233</v>
      </c>
      <c r="C236" s="163"/>
      <c r="D236" s="151"/>
      <c r="E236" s="151" t="s">
        <v>367</v>
      </c>
      <c r="F236" s="151" t="s">
        <v>367</v>
      </c>
      <c r="G236" s="151"/>
      <c r="H236" s="151"/>
      <c r="I236" s="151"/>
      <c r="J236" s="151">
        <v>1899</v>
      </c>
      <c r="K236" s="151">
        <v>12</v>
      </c>
    </row>
    <row r="237" spans="1:11" ht="13.5" customHeight="1" x14ac:dyDescent="0.15">
      <c r="A237" s="141"/>
      <c r="B237" s="148">
        <v>234</v>
      </c>
      <c r="C237" s="164"/>
      <c r="D237" s="152"/>
      <c r="E237" s="152" t="s">
        <v>367</v>
      </c>
      <c r="F237" s="152" t="s">
        <v>367</v>
      </c>
      <c r="G237" s="152"/>
      <c r="H237" s="152"/>
      <c r="I237" s="152"/>
      <c r="J237" s="152">
        <v>1899</v>
      </c>
      <c r="K237" s="152">
        <v>12</v>
      </c>
    </row>
    <row r="238" spans="1:11" ht="13.5" customHeight="1" x14ac:dyDescent="0.15">
      <c r="A238" s="141"/>
      <c r="B238" s="148">
        <v>235</v>
      </c>
      <c r="C238" s="163"/>
      <c r="D238" s="151"/>
      <c r="E238" s="151" t="s">
        <v>367</v>
      </c>
      <c r="F238" s="151" t="s">
        <v>367</v>
      </c>
      <c r="G238" s="151"/>
      <c r="H238" s="151"/>
      <c r="I238" s="151"/>
      <c r="J238" s="151">
        <v>1899</v>
      </c>
      <c r="K238" s="151">
        <v>12</v>
      </c>
    </row>
    <row r="239" spans="1:11" ht="13.5" customHeight="1" x14ac:dyDescent="0.15">
      <c r="A239" s="141"/>
      <c r="B239" s="148">
        <v>236</v>
      </c>
      <c r="C239" s="164"/>
      <c r="D239" s="152"/>
      <c r="E239" s="152" t="s">
        <v>367</v>
      </c>
      <c r="F239" s="152" t="s">
        <v>367</v>
      </c>
      <c r="G239" s="152"/>
      <c r="H239" s="152"/>
      <c r="I239" s="152"/>
      <c r="J239" s="152">
        <v>1899</v>
      </c>
      <c r="K239" s="152">
        <v>12</v>
      </c>
    </row>
    <row r="240" spans="1:11" ht="13.5" customHeight="1" x14ac:dyDescent="0.15">
      <c r="A240" s="141"/>
      <c r="B240" s="148">
        <v>237</v>
      </c>
      <c r="C240" s="163"/>
      <c r="D240" s="151"/>
      <c r="E240" s="151" t="s">
        <v>367</v>
      </c>
      <c r="F240" s="151" t="s">
        <v>367</v>
      </c>
      <c r="G240" s="151"/>
      <c r="H240" s="151"/>
      <c r="I240" s="151"/>
      <c r="J240" s="151">
        <v>1899</v>
      </c>
      <c r="K240" s="151">
        <v>12</v>
      </c>
    </row>
    <row r="241" spans="1:11" ht="13.5" customHeight="1" x14ac:dyDescent="0.15">
      <c r="A241" s="141"/>
      <c r="B241" s="148">
        <v>238</v>
      </c>
      <c r="C241" s="164"/>
      <c r="D241" s="152"/>
      <c r="E241" s="152" t="s">
        <v>367</v>
      </c>
      <c r="F241" s="152" t="s">
        <v>367</v>
      </c>
      <c r="G241" s="152"/>
      <c r="H241" s="152"/>
      <c r="I241" s="152"/>
      <c r="J241" s="152">
        <v>1899</v>
      </c>
      <c r="K241" s="152">
        <v>12</v>
      </c>
    </row>
    <row r="242" spans="1:11" ht="13.5" customHeight="1" x14ac:dyDescent="0.15">
      <c r="A242" s="141"/>
      <c r="B242" s="148">
        <v>239</v>
      </c>
      <c r="C242" s="163"/>
      <c r="D242" s="151"/>
      <c r="E242" s="151" t="s">
        <v>367</v>
      </c>
      <c r="F242" s="151" t="s">
        <v>367</v>
      </c>
      <c r="G242" s="151"/>
      <c r="H242" s="151"/>
      <c r="I242" s="151"/>
      <c r="J242" s="151">
        <v>1899</v>
      </c>
      <c r="K242" s="151">
        <v>12</v>
      </c>
    </row>
    <row r="243" spans="1:11" ht="13.5" customHeight="1" x14ac:dyDescent="0.15">
      <c r="A243" s="141"/>
      <c r="B243" s="148">
        <v>240</v>
      </c>
      <c r="C243" s="164"/>
      <c r="D243" s="152"/>
      <c r="E243" s="152" t="s">
        <v>367</v>
      </c>
      <c r="F243" s="152" t="s">
        <v>367</v>
      </c>
      <c r="G243" s="152"/>
      <c r="H243" s="152"/>
      <c r="I243" s="152"/>
      <c r="J243" s="152">
        <v>1899</v>
      </c>
      <c r="K243" s="152">
        <v>12</v>
      </c>
    </row>
    <row r="244" spans="1:11" ht="13.5" customHeight="1" x14ac:dyDescent="0.15">
      <c r="A244" s="141"/>
      <c r="B244" s="148">
        <v>241</v>
      </c>
      <c r="C244" s="163"/>
      <c r="D244" s="151"/>
      <c r="E244" s="151" t="s">
        <v>367</v>
      </c>
      <c r="F244" s="151" t="s">
        <v>367</v>
      </c>
      <c r="G244" s="151"/>
      <c r="H244" s="151"/>
      <c r="I244" s="151"/>
      <c r="J244" s="151">
        <v>1899</v>
      </c>
      <c r="K244" s="151">
        <v>12</v>
      </c>
    </row>
    <row r="245" spans="1:11" ht="13.5" customHeight="1" x14ac:dyDescent="0.15">
      <c r="A245" s="141"/>
      <c r="B245" s="148">
        <v>242</v>
      </c>
      <c r="C245" s="164"/>
      <c r="D245" s="152"/>
      <c r="E245" s="152" t="s">
        <v>367</v>
      </c>
      <c r="F245" s="152" t="s">
        <v>367</v>
      </c>
      <c r="G245" s="152"/>
      <c r="H245" s="152"/>
      <c r="I245" s="152"/>
      <c r="J245" s="152">
        <v>1899</v>
      </c>
      <c r="K245" s="152">
        <v>12</v>
      </c>
    </row>
    <row r="246" spans="1:11" ht="13.5" customHeight="1" x14ac:dyDescent="0.15">
      <c r="A246" s="141"/>
      <c r="B246" s="148">
        <v>243</v>
      </c>
      <c r="C246" s="163"/>
      <c r="D246" s="151"/>
      <c r="E246" s="151" t="s">
        <v>367</v>
      </c>
      <c r="F246" s="151" t="s">
        <v>367</v>
      </c>
      <c r="G246" s="151"/>
      <c r="H246" s="151"/>
      <c r="I246" s="151"/>
      <c r="J246" s="151">
        <v>1899</v>
      </c>
      <c r="K246" s="151">
        <v>12</v>
      </c>
    </row>
    <row r="247" spans="1:11" ht="13.5" customHeight="1" x14ac:dyDescent="0.15">
      <c r="A247" s="141"/>
      <c r="B247" s="148">
        <v>244</v>
      </c>
      <c r="C247" s="164"/>
      <c r="D247" s="152"/>
      <c r="E247" s="152" t="s">
        <v>367</v>
      </c>
      <c r="F247" s="152" t="s">
        <v>367</v>
      </c>
      <c r="G247" s="152"/>
      <c r="H247" s="152"/>
      <c r="I247" s="152"/>
      <c r="J247" s="152">
        <v>1899</v>
      </c>
      <c r="K247" s="152">
        <v>12</v>
      </c>
    </row>
    <row r="248" spans="1:11" ht="13.5" customHeight="1" x14ac:dyDescent="0.15">
      <c r="A248" s="141"/>
      <c r="B248" s="148">
        <v>245</v>
      </c>
      <c r="C248" s="163"/>
      <c r="D248" s="151"/>
      <c r="E248" s="151" t="s">
        <v>367</v>
      </c>
      <c r="F248" s="151" t="s">
        <v>367</v>
      </c>
      <c r="G248" s="151"/>
      <c r="H248" s="151"/>
      <c r="I248" s="151"/>
      <c r="J248" s="151">
        <v>1899</v>
      </c>
      <c r="K248" s="151">
        <v>12</v>
      </c>
    </row>
    <row r="249" spans="1:11" ht="13.5" customHeight="1" x14ac:dyDescent="0.15">
      <c r="A249" s="141"/>
      <c r="B249" s="148">
        <v>246</v>
      </c>
      <c r="C249" s="164"/>
      <c r="D249" s="152"/>
      <c r="E249" s="152" t="s">
        <v>367</v>
      </c>
      <c r="F249" s="152" t="s">
        <v>367</v>
      </c>
      <c r="G249" s="152"/>
      <c r="H249" s="152"/>
      <c r="I249" s="152"/>
      <c r="J249" s="152">
        <v>1899</v>
      </c>
      <c r="K249" s="152">
        <v>12</v>
      </c>
    </row>
    <row r="250" spans="1:11" ht="13.5" customHeight="1" x14ac:dyDescent="0.15">
      <c r="A250" s="141"/>
      <c r="B250" s="148">
        <v>247</v>
      </c>
      <c r="C250" s="163"/>
      <c r="D250" s="151"/>
      <c r="E250" s="151" t="s">
        <v>367</v>
      </c>
      <c r="F250" s="151" t="s">
        <v>367</v>
      </c>
      <c r="G250" s="151"/>
      <c r="H250" s="151"/>
      <c r="I250" s="151"/>
      <c r="J250" s="151">
        <v>1899</v>
      </c>
      <c r="K250" s="151">
        <v>12</v>
      </c>
    </row>
    <row r="251" spans="1:11" ht="13.5" customHeight="1" x14ac:dyDescent="0.15">
      <c r="A251" s="141"/>
      <c r="B251" s="148">
        <v>248</v>
      </c>
      <c r="C251" s="164"/>
      <c r="D251" s="152"/>
      <c r="E251" s="152" t="s">
        <v>367</v>
      </c>
      <c r="F251" s="152" t="s">
        <v>367</v>
      </c>
      <c r="G251" s="152"/>
      <c r="H251" s="152"/>
      <c r="I251" s="152"/>
      <c r="J251" s="152">
        <v>1899</v>
      </c>
      <c r="K251" s="152">
        <v>12</v>
      </c>
    </row>
    <row r="252" spans="1:11" ht="13.5" customHeight="1" x14ac:dyDescent="0.15">
      <c r="A252" s="141"/>
      <c r="B252" s="148">
        <v>249</v>
      </c>
      <c r="C252" s="163"/>
      <c r="D252" s="151"/>
      <c r="E252" s="151" t="s">
        <v>367</v>
      </c>
      <c r="F252" s="151" t="s">
        <v>367</v>
      </c>
      <c r="G252" s="151"/>
      <c r="H252" s="151"/>
      <c r="I252" s="151"/>
      <c r="J252" s="151">
        <v>1899</v>
      </c>
      <c r="K252" s="151">
        <v>12</v>
      </c>
    </row>
    <row r="253" spans="1:11" ht="13.5" customHeight="1" x14ac:dyDescent="0.15">
      <c r="A253" s="141"/>
      <c r="B253" s="148">
        <v>250</v>
      </c>
      <c r="C253" s="164"/>
      <c r="D253" s="152"/>
      <c r="E253" s="152" t="s">
        <v>367</v>
      </c>
      <c r="F253" s="152" t="s">
        <v>367</v>
      </c>
      <c r="G253" s="152"/>
      <c r="H253" s="152"/>
      <c r="I253" s="152"/>
      <c r="J253" s="152">
        <v>1899</v>
      </c>
      <c r="K253" s="152">
        <v>12</v>
      </c>
    </row>
    <row r="254" spans="1:11" ht="13.5" customHeight="1" x14ac:dyDescent="0.15">
      <c r="A254" s="141"/>
      <c r="B254" s="148">
        <v>251</v>
      </c>
      <c r="C254" s="163"/>
      <c r="D254" s="151"/>
      <c r="E254" s="151" t="s">
        <v>367</v>
      </c>
      <c r="F254" s="151" t="s">
        <v>367</v>
      </c>
      <c r="G254" s="151"/>
      <c r="H254" s="151"/>
      <c r="I254" s="151"/>
      <c r="J254" s="151">
        <v>1899</v>
      </c>
      <c r="K254" s="151">
        <v>12</v>
      </c>
    </row>
    <row r="255" spans="1:11" ht="13.5" customHeight="1" x14ac:dyDescent="0.15">
      <c r="A255" s="141"/>
      <c r="B255" s="148">
        <v>252</v>
      </c>
      <c r="C255" s="164"/>
      <c r="D255" s="152"/>
      <c r="E255" s="152" t="s">
        <v>367</v>
      </c>
      <c r="F255" s="152" t="s">
        <v>367</v>
      </c>
      <c r="G255" s="152"/>
      <c r="H255" s="152"/>
      <c r="I255" s="152"/>
      <c r="J255" s="152">
        <v>1899</v>
      </c>
      <c r="K255" s="152">
        <v>12</v>
      </c>
    </row>
    <row r="256" spans="1:11" ht="13.5" customHeight="1" x14ac:dyDescent="0.15">
      <c r="A256" s="141"/>
      <c r="B256" s="148">
        <v>253</v>
      </c>
      <c r="C256" s="163"/>
      <c r="D256" s="151"/>
      <c r="E256" s="151" t="s">
        <v>367</v>
      </c>
      <c r="F256" s="151" t="s">
        <v>367</v>
      </c>
      <c r="G256" s="151"/>
      <c r="H256" s="151"/>
      <c r="I256" s="151"/>
      <c r="J256" s="151">
        <v>1899</v>
      </c>
      <c r="K256" s="151">
        <v>12</v>
      </c>
    </row>
    <row r="257" spans="1:11" ht="13.5" customHeight="1" x14ac:dyDescent="0.15">
      <c r="A257" s="141"/>
      <c r="B257" s="148">
        <v>254</v>
      </c>
      <c r="C257" s="164"/>
      <c r="D257" s="152"/>
      <c r="E257" s="152" t="s">
        <v>367</v>
      </c>
      <c r="F257" s="152" t="s">
        <v>367</v>
      </c>
      <c r="G257" s="152"/>
      <c r="H257" s="152"/>
      <c r="I257" s="152"/>
      <c r="J257" s="152">
        <v>1899</v>
      </c>
      <c r="K257" s="152">
        <v>12</v>
      </c>
    </row>
    <row r="258" spans="1:11" ht="13.5" customHeight="1" x14ac:dyDescent="0.15">
      <c r="A258" s="141"/>
      <c r="B258" s="148">
        <v>255</v>
      </c>
      <c r="C258" s="163"/>
      <c r="D258" s="151"/>
      <c r="E258" s="151" t="s">
        <v>367</v>
      </c>
      <c r="F258" s="151" t="s">
        <v>367</v>
      </c>
      <c r="G258" s="151"/>
      <c r="H258" s="151"/>
      <c r="I258" s="151"/>
      <c r="J258" s="151">
        <v>1899</v>
      </c>
      <c r="K258" s="151">
        <v>12</v>
      </c>
    </row>
    <row r="259" spans="1:11" ht="13.5" customHeight="1" x14ac:dyDescent="0.15">
      <c r="A259" s="141"/>
      <c r="B259" s="148">
        <v>256</v>
      </c>
      <c r="C259" s="164"/>
      <c r="D259" s="152"/>
      <c r="E259" s="152" t="s">
        <v>367</v>
      </c>
      <c r="F259" s="152" t="s">
        <v>367</v>
      </c>
      <c r="G259" s="152"/>
      <c r="H259" s="152"/>
      <c r="I259" s="152"/>
      <c r="J259" s="152">
        <v>1899</v>
      </c>
      <c r="K259" s="152">
        <v>12</v>
      </c>
    </row>
    <row r="260" spans="1:11" ht="13.5" customHeight="1" x14ac:dyDescent="0.15">
      <c r="A260" s="141"/>
      <c r="B260" s="148">
        <v>257</v>
      </c>
      <c r="C260" s="163"/>
      <c r="D260" s="151"/>
      <c r="E260" s="151" t="s">
        <v>367</v>
      </c>
      <c r="F260" s="151" t="s">
        <v>367</v>
      </c>
      <c r="G260" s="151"/>
      <c r="H260" s="151"/>
      <c r="I260" s="151"/>
      <c r="J260" s="151">
        <v>1899</v>
      </c>
      <c r="K260" s="151">
        <v>12</v>
      </c>
    </row>
    <row r="261" spans="1:11" ht="13.5" customHeight="1" x14ac:dyDescent="0.15">
      <c r="A261" s="141"/>
      <c r="B261" s="148">
        <v>258</v>
      </c>
      <c r="C261" s="164"/>
      <c r="D261" s="152"/>
      <c r="E261" s="152" t="s">
        <v>367</v>
      </c>
      <c r="F261" s="152" t="s">
        <v>367</v>
      </c>
      <c r="G261" s="152"/>
      <c r="H261" s="152"/>
      <c r="I261" s="152"/>
      <c r="J261" s="152">
        <v>1899</v>
      </c>
      <c r="K261" s="152">
        <v>12</v>
      </c>
    </row>
    <row r="262" spans="1:11" ht="13.5" customHeight="1" x14ac:dyDescent="0.15">
      <c r="A262" s="141"/>
      <c r="B262" s="148">
        <v>259</v>
      </c>
      <c r="C262" s="163"/>
      <c r="D262" s="151"/>
      <c r="E262" s="151" t="s">
        <v>367</v>
      </c>
      <c r="F262" s="151" t="s">
        <v>367</v>
      </c>
      <c r="G262" s="151"/>
      <c r="H262" s="151"/>
      <c r="I262" s="151"/>
      <c r="J262" s="151">
        <v>1899</v>
      </c>
      <c r="K262" s="151">
        <v>12</v>
      </c>
    </row>
    <row r="263" spans="1:11" ht="13.5" customHeight="1" x14ac:dyDescent="0.15">
      <c r="A263" s="141"/>
      <c r="B263" s="148">
        <v>260</v>
      </c>
      <c r="C263" s="164"/>
      <c r="D263" s="152"/>
      <c r="E263" s="152" t="s">
        <v>367</v>
      </c>
      <c r="F263" s="152" t="s">
        <v>367</v>
      </c>
      <c r="G263" s="152"/>
      <c r="H263" s="152"/>
      <c r="I263" s="152"/>
      <c r="J263" s="152">
        <v>1899</v>
      </c>
      <c r="K263" s="152">
        <v>12</v>
      </c>
    </row>
    <row r="264" spans="1:11" ht="13.5" customHeight="1" x14ac:dyDescent="0.15">
      <c r="A264" s="141"/>
      <c r="B264" s="148">
        <v>261</v>
      </c>
      <c r="C264" s="163"/>
      <c r="D264" s="151"/>
      <c r="E264" s="151" t="s">
        <v>367</v>
      </c>
      <c r="F264" s="151" t="s">
        <v>367</v>
      </c>
      <c r="G264" s="151"/>
      <c r="H264" s="151"/>
      <c r="I264" s="151"/>
      <c r="J264" s="151">
        <v>1899</v>
      </c>
      <c r="K264" s="151">
        <v>12</v>
      </c>
    </row>
    <row r="265" spans="1:11" ht="13.5" customHeight="1" x14ac:dyDescent="0.15">
      <c r="A265" s="141"/>
      <c r="B265" s="148">
        <v>262</v>
      </c>
      <c r="C265" s="164"/>
      <c r="D265" s="152"/>
      <c r="E265" s="152" t="s">
        <v>367</v>
      </c>
      <c r="F265" s="152" t="s">
        <v>367</v>
      </c>
      <c r="G265" s="152"/>
      <c r="H265" s="152"/>
      <c r="I265" s="152"/>
      <c r="J265" s="152">
        <v>1899</v>
      </c>
      <c r="K265" s="152">
        <v>12</v>
      </c>
    </row>
    <row r="266" spans="1:11" ht="13.5" customHeight="1" x14ac:dyDescent="0.15">
      <c r="A266" s="141"/>
      <c r="B266" s="148">
        <v>263</v>
      </c>
      <c r="C266" s="163"/>
      <c r="D266" s="151"/>
      <c r="E266" s="151" t="s">
        <v>367</v>
      </c>
      <c r="F266" s="151" t="s">
        <v>367</v>
      </c>
      <c r="G266" s="151"/>
      <c r="H266" s="151"/>
      <c r="I266" s="151"/>
      <c r="J266" s="151">
        <v>1899</v>
      </c>
      <c r="K266" s="151">
        <v>12</v>
      </c>
    </row>
    <row r="267" spans="1:11" ht="13.5" customHeight="1" x14ac:dyDescent="0.15">
      <c r="A267" s="141"/>
      <c r="B267" s="148">
        <v>264</v>
      </c>
      <c r="C267" s="164"/>
      <c r="D267" s="152"/>
      <c r="E267" s="152" t="s">
        <v>367</v>
      </c>
      <c r="F267" s="152" t="s">
        <v>367</v>
      </c>
      <c r="G267" s="152"/>
      <c r="H267" s="152"/>
      <c r="I267" s="152"/>
      <c r="J267" s="152">
        <v>1899</v>
      </c>
      <c r="K267" s="152">
        <v>12</v>
      </c>
    </row>
    <row r="268" spans="1:11" ht="13.5" customHeight="1" x14ac:dyDescent="0.15">
      <c r="A268" s="141"/>
      <c r="B268" s="148">
        <v>265</v>
      </c>
      <c r="C268" s="163"/>
      <c r="D268" s="151"/>
      <c r="E268" s="151" t="s">
        <v>367</v>
      </c>
      <c r="F268" s="151" t="s">
        <v>367</v>
      </c>
      <c r="G268" s="151"/>
      <c r="H268" s="151"/>
      <c r="I268" s="151"/>
      <c r="J268" s="151">
        <v>1899</v>
      </c>
      <c r="K268" s="151">
        <v>12</v>
      </c>
    </row>
    <row r="269" spans="1:11" ht="13.5" customHeight="1" x14ac:dyDescent="0.15">
      <c r="A269" s="141"/>
      <c r="B269" s="148">
        <v>266</v>
      </c>
      <c r="C269" s="164"/>
      <c r="D269" s="152"/>
      <c r="E269" s="152" t="s">
        <v>367</v>
      </c>
      <c r="F269" s="152" t="s">
        <v>367</v>
      </c>
      <c r="G269" s="152"/>
      <c r="H269" s="152"/>
      <c r="I269" s="152"/>
      <c r="J269" s="152">
        <v>1899</v>
      </c>
      <c r="K269" s="152">
        <v>12</v>
      </c>
    </row>
    <row r="270" spans="1:11" ht="13.5" customHeight="1" x14ac:dyDescent="0.15">
      <c r="A270" s="141"/>
      <c r="B270" s="148">
        <v>267</v>
      </c>
      <c r="C270" s="163"/>
      <c r="D270" s="151"/>
      <c r="E270" s="151" t="s">
        <v>367</v>
      </c>
      <c r="F270" s="151" t="s">
        <v>367</v>
      </c>
      <c r="G270" s="151"/>
      <c r="H270" s="151"/>
      <c r="I270" s="151"/>
      <c r="J270" s="151">
        <v>1899</v>
      </c>
      <c r="K270" s="151">
        <v>12</v>
      </c>
    </row>
    <row r="271" spans="1:11" ht="13.5" customHeight="1" x14ac:dyDescent="0.15">
      <c r="A271" s="141"/>
      <c r="B271" s="148">
        <v>268</v>
      </c>
      <c r="C271" s="164"/>
      <c r="D271" s="152"/>
      <c r="E271" s="152" t="s">
        <v>367</v>
      </c>
      <c r="F271" s="152" t="s">
        <v>367</v>
      </c>
      <c r="G271" s="152"/>
      <c r="H271" s="152"/>
      <c r="I271" s="152"/>
      <c r="J271" s="152">
        <v>1899</v>
      </c>
      <c r="K271" s="152">
        <v>12</v>
      </c>
    </row>
    <row r="272" spans="1:11" ht="13.5" customHeight="1" x14ac:dyDescent="0.15">
      <c r="A272" s="141"/>
      <c r="B272" s="148">
        <v>269</v>
      </c>
      <c r="C272" s="163"/>
      <c r="D272" s="151"/>
      <c r="E272" s="151" t="s">
        <v>367</v>
      </c>
      <c r="F272" s="151" t="s">
        <v>367</v>
      </c>
      <c r="G272" s="151"/>
      <c r="H272" s="151"/>
      <c r="I272" s="151"/>
      <c r="J272" s="151">
        <v>1899</v>
      </c>
      <c r="K272" s="151">
        <v>12</v>
      </c>
    </row>
    <row r="273" spans="1:11" ht="13.5" customHeight="1" x14ac:dyDescent="0.15">
      <c r="A273" s="141"/>
      <c r="B273" s="148">
        <v>270</v>
      </c>
      <c r="C273" s="164"/>
      <c r="D273" s="152"/>
      <c r="E273" s="152" t="s">
        <v>367</v>
      </c>
      <c r="F273" s="152" t="s">
        <v>367</v>
      </c>
      <c r="G273" s="152"/>
      <c r="H273" s="152"/>
      <c r="I273" s="152"/>
      <c r="J273" s="152">
        <v>1899</v>
      </c>
      <c r="K273" s="152">
        <v>12</v>
      </c>
    </row>
    <row r="274" spans="1:11" ht="13.5" customHeight="1" x14ac:dyDescent="0.15">
      <c r="A274" s="141"/>
      <c r="B274" s="148">
        <v>271</v>
      </c>
      <c r="C274" s="163"/>
      <c r="D274" s="151"/>
      <c r="E274" s="151" t="s">
        <v>367</v>
      </c>
      <c r="F274" s="151" t="s">
        <v>367</v>
      </c>
      <c r="G274" s="151"/>
      <c r="H274" s="151"/>
      <c r="I274" s="151"/>
      <c r="J274" s="151">
        <v>1899</v>
      </c>
      <c r="K274" s="151">
        <v>12</v>
      </c>
    </row>
    <row r="275" spans="1:11" ht="13.5" customHeight="1" x14ac:dyDescent="0.15">
      <c r="A275" s="141"/>
      <c r="B275" s="148">
        <v>272</v>
      </c>
      <c r="C275" s="164"/>
      <c r="D275" s="152"/>
      <c r="E275" s="152" t="s">
        <v>367</v>
      </c>
      <c r="F275" s="152" t="s">
        <v>367</v>
      </c>
      <c r="G275" s="152"/>
      <c r="H275" s="152"/>
      <c r="I275" s="152"/>
      <c r="J275" s="152">
        <v>1899</v>
      </c>
      <c r="K275" s="152">
        <v>12</v>
      </c>
    </row>
    <row r="276" spans="1:11" ht="13.5" customHeight="1" x14ac:dyDescent="0.15">
      <c r="A276" s="141"/>
      <c r="B276" s="148">
        <v>273</v>
      </c>
      <c r="C276" s="163"/>
      <c r="D276" s="151"/>
      <c r="E276" s="151" t="s">
        <v>367</v>
      </c>
      <c r="F276" s="151" t="s">
        <v>367</v>
      </c>
      <c r="G276" s="151"/>
      <c r="H276" s="151"/>
      <c r="I276" s="151"/>
      <c r="J276" s="151">
        <v>1899</v>
      </c>
      <c r="K276" s="151">
        <v>12</v>
      </c>
    </row>
    <row r="277" spans="1:11" ht="13.5" customHeight="1" x14ac:dyDescent="0.15">
      <c r="A277" s="141"/>
      <c r="B277" s="148">
        <v>274</v>
      </c>
      <c r="C277" s="164"/>
      <c r="D277" s="152"/>
      <c r="E277" s="152" t="s">
        <v>367</v>
      </c>
      <c r="F277" s="152" t="s">
        <v>367</v>
      </c>
      <c r="G277" s="152"/>
      <c r="H277" s="152"/>
      <c r="I277" s="152"/>
      <c r="J277" s="152">
        <v>1899</v>
      </c>
      <c r="K277" s="152">
        <v>12</v>
      </c>
    </row>
    <row r="278" spans="1:11" ht="13.5" customHeight="1" x14ac:dyDescent="0.15">
      <c r="A278" s="141"/>
      <c r="B278" s="148">
        <v>275</v>
      </c>
      <c r="C278" s="163"/>
      <c r="D278" s="151"/>
      <c r="E278" s="151" t="s">
        <v>367</v>
      </c>
      <c r="F278" s="151" t="s">
        <v>367</v>
      </c>
      <c r="G278" s="151"/>
      <c r="H278" s="151"/>
      <c r="I278" s="151"/>
      <c r="J278" s="151">
        <v>1899</v>
      </c>
      <c r="K278" s="151">
        <v>12</v>
      </c>
    </row>
    <row r="279" spans="1:11" ht="13.5" customHeight="1" x14ac:dyDescent="0.15">
      <c r="A279" s="141"/>
      <c r="B279" s="148">
        <v>276</v>
      </c>
      <c r="C279" s="164"/>
      <c r="D279" s="152"/>
      <c r="E279" s="152" t="s">
        <v>367</v>
      </c>
      <c r="F279" s="152" t="s">
        <v>367</v>
      </c>
      <c r="G279" s="152"/>
      <c r="H279" s="152"/>
      <c r="I279" s="152"/>
      <c r="J279" s="152">
        <v>1899</v>
      </c>
      <c r="K279" s="152">
        <v>12</v>
      </c>
    </row>
    <row r="280" spans="1:11" ht="13.5" customHeight="1" x14ac:dyDescent="0.15">
      <c r="A280" s="141"/>
      <c r="B280" s="148">
        <v>277</v>
      </c>
      <c r="C280" s="163"/>
      <c r="D280" s="151"/>
      <c r="E280" s="151" t="s">
        <v>367</v>
      </c>
      <c r="F280" s="151" t="s">
        <v>367</v>
      </c>
      <c r="G280" s="151"/>
      <c r="H280" s="151"/>
      <c r="I280" s="151"/>
      <c r="J280" s="151">
        <v>1899</v>
      </c>
      <c r="K280" s="151">
        <v>12</v>
      </c>
    </row>
    <row r="281" spans="1:11" ht="13.5" customHeight="1" x14ac:dyDescent="0.15">
      <c r="A281" s="141"/>
      <c r="B281" s="148">
        <v>278</v>
      </c>
      <c r="C281" s="164"/>
      <c r="D281" s="152"/>
      <c r="E281" s="152" t="s">
        <v>367</v>
      </c>
      <c r="F281" s="152" t="s">
        <v>367</v>
      </c>
      <c r="G281" s="152"/>
      <c r="H281" s="152"/>
      <c r="I281" s="152"/>
      <c r="J281" s="152">
        <v>1899</v>
      </c>
      <c r="K281" s="152">
        <v>12</v>
      </c>
    </row>
    <row r="282" spans="1:11" ht="13.5" customHeight="1" x14ac:dyDescent="0.15">
      <c r="A282" s="141"/>
      <c r="B282" s="148">
        <v>279</v>
      </c>
      <c r="C282" s="163"/>
      <c r="D282" s="151"/>
      <c r="E282" s="151" t="s">
        <v>367</v>
      </c>
      <c r="F282" s="151" t="s">
        <v>367</v>
      </c>
      <c r="G282" s="151"/>
      <c r="H282" s="151"/>
      <c r="I282" s="151"/>
      <c r="J282" s="151">
        <v>1899</v>
      </c>
      <c r="K282" s="151">
        <v>12</v>
      </c>
    </row>
    <row r="283" spans="1:11" ht="13.5" customHeight="1" x14ac:dyDescent="0.15">
      <c r="A283" s="141"/>
      <c r="B283" s="148">
        <v>280</v>
      </c>
      <c r="C283" s="164"/>
      <c r="D283" s="152"/>
      <c r="E283" s="152" t="s">
        <v>367</v>
      </c>
      <c r="F283" s="152" t="s">
        <v>367</v>
      </c>
      <c r="G283" s="152"/>
      <c r="H283" s="152"/>
      <c r="I283" s="152"/>
      <c r="J283" s="152">
        <v>1899</v>
      </c>
      <c r="K283" s="152">
        <v>12</v>
      </c>
    </row>
    <row r="284" spans="1:11" ht="13.5" customHeight="1" x14ac:dyDescent="0.15">
      <c r="A284" s="141"/>
      <c r="B284" s="148">
        <v>281</v>
      </c>
      <c r="C284" s="163"/>
      <c r="D284" s="151"/>
      <c r="E284" s="151" t="s">
        <v>367</v>
      </c>
      <c r="F284" s="151" t="s">
        <v>367</v>
      </c>
      <c r="G284" s="151"/>
      <c r="H284" s="151"/>
      <c r="I284" s="151"/>
      <c r="J284" s="151">
        <v>1899</v>
      </c>
      <c r="K284" s="151">
        <v>12</v>
      </c>
    </row>
    <row r="285" spans="1:11" ht="13.5" customHeight="1" x14ac:dyDescent="0.15">
      <c r="A285" s="141"/>
      <c r="B285" s="148">
        <v>282</v>
      </c>
      <c r="C285" s="164"/>
      <c r="D285" s="152"/>
      <c r="E285" s="152" t="s">
        <v>367</v>
      </c>
      <c r="F285" s="152" t="s">
        <v>367</v>
      </c>
      <c r="G285" s="152"/>
      <c r="H285" s="152"/>
      <c r="I285" s="152"/>
      <c r="J285" s="152">
        <v>1899</v>
      </c>
      <c r="K285" s="152">
        <v>12</v>
      </c>
    </row>
    <row r="286" spans="1:11" ht="13.5" customHeight="1" x14ac:dyDescent="0.15">
      <c r="A286" s="141"/>
      <c r="B286" s="148">
        <v>283</v>
      </c>
      <c r="C286" s="163"/>
      <c r="D286" s="151"/>
      <c r="E286" s="151" t="s">
        <v>367</v>
      </c>
      <c r="F286" s="151" t="s">
        <v>367</v>
      </c>
      <c r="G286" s="151"/>
      <c r="H286" s="151"/>
      <c r="I286" s="151"/>
      <c r="J286" s="151">
        <v>1899</v>
      </c>
      <c r="K286" s="151">
        <v>12</v>
      </c>
    </row>
    <row r="287" spans="1:11" ht="13.5" customHeight="1" x14ac:dyDescent="0.15">
      <c r="A287" s="141"/>
      <c r="B287" s="148">
        <v>284</v>
      </c>
      <c r="C287" s="164"/>
      <c r="D287" s="152"/>
      <c r="E287" s="152" t="s">
        <v>367</v>
      </c>
      <c r="F287" s="152" t="s">
        <v>367</v>
      </c>
      <c r="G287" s="152"/>
      <c r="H287" s="152"/>
      <c r="I287" s="152"/>
      <c r="J287" s="152">
        <v>1899</v>
      </c>
      <c r="K287" s="152">
        <v>12</v>
      </c>
    </row>
    <row r="288" spans="1:11" ht="13.5" customHeight="1" x14ac:dyDescent="0.15">
      <c r="A288" s="141"/>
      <c r="B288" s="148">
        <v>285</v>
      </c>
      <c r="C288" s="163"/>
      <c r="D288" s="151"/>
      <c r="E288" s="151" t="s">
        <v>367</v>
      </c>
      <c r="F288" s="151" t="s">
        <v>367</v>
      </c>
      <c r="G288" s="151"/>
      <c r="H288" s="151"/>
      <c r="I288" s="151"/>
      <c r="J288" s="151">
        <v>1899</v>
      </c>
      <c r="K288" s="151">
        <v>12</v>
      </c>
    </row>
    <row r="289" spans="1:11" ht="13.5" customHeight="1" x14ac:dyDescent="0.15">
      <c r="A289" s="141"/>
      <c r="B289" s="148">
        <v>286</v>
      </c>
      <c r="C289" s="164"/>
      <c r="D289" s="152"/>
      <c r="E289" s="152" t="s">
        <v>367</v>
      </c>
      <c r="F289" s="152" t="s">
        <v>367</v>
      </c>
      <c r="G289" s="152"/>
      <c r="H289" s="152"/>
      <c r="I289" s="152"/>
      <c r="J289" s="152">
        <v>1899</v>
      </c>
      <c r="K289" s="152">
        <v>12</v>
      </c>
    </row>
    <row r="290" spans="1:11" ht="13.5" customHeight="1" x14ac:dyDescent="0.15">
      <c r="A290" s="141"/>
      <c r="B290" s="148">
        <v>287</v>
      </c>
      <c r="C290" s="163"/>
      <c r="D290" s="151"/>
      <c r="E290" s="151" t="s">
        <v>367</v>
      </c>
      <c r="F290" s="151" t="s">
        <v>367</v>
      </c>
      <c r="G290" s="151"/>
      <c r="H290" s="151"/>
      <c r="I290" s="151"/>
      <c r="J290" s="151">
        <v>1899</v>
      </c>
      <c r="K290" s="151">
        <v>12</v>
      </c>
    </row>
    <row r="291" spans="1:11" ht="13.5" customHeight="1" x14ac:dyDescent="0.15">
      <c r="A291" s="141"/>
      <c r="B291" s="148">
        <v>288</v>
      </c>
      <c r="C291" s="164"/>
      <c r="D291" s="152"/>
      <c r="E291" s="152" t="s">
        <v>367</v>
      </c>
      <c r="F291" s="152" t="s">
        <v>367</v>
      </c>
      <c r="G291" s="152"/>
      <c r="H291" s="152"/>
      <c r="I291" s="152"/>
      <c r="J291" s="152">
        <v>1899</v>
      </c>
      <c r="K291" s="152">
        <v>12</v>
      </c>
    </row>
    <row r="292" spans="1:11" ht="13.5" customHeight="1" x14ac:dyDescent="0.15">
      <c r="A292" s="141"/>
      <c r="B292" s="148">
        <v>289</v>
      </c>
      <c r="C292" s="163"/>
      <c r="D292" s="151"/>
      <c r="E292" s="151" t="s">
        <v>367</v>
      </c>
      <c r="F292" s="151" t="s">
        <v>367</v>
      </c>
      <c r="G292" s="151"/>
      <c r="H292" s="151"/>
      <c r="I292" s="151"/>
      <c r="J292" s="151">
        <v>1899</v>
      </c>
      <c r="K292" s="151">
        <v>12</v>
      </c>
    </row>
    <row r="293" spans="1:11" ht="13.5" customHeight="1" x14ac:dyDescent="0.15">
      <c r="A293" s="141"/>
      <c r="B293" s="148">
        <v>290</v>
      </c>
      <c r="C293" s="164"/>
      <c r="D293" s="152"/>
      <c r="E293" s="152" t="s">
        <v>367</v>
      </c>
      <c r="F293" s="152" t="s">
        <v>367</v>
      </c>
      <c r="G293" s="152"/>
      <c r="H293" s="152"/>
      <c r="I293" s="152"/>
      <c r="J293" s="152">
        <v>1899</v>
      </c>
      <c r="K293" s="152">
        <v>12</v>
      </c>
    </row>
    <row r="294" spans="1:11" ht="13.5" customHeight="1" x14ac:dyDescent="0.15">
      <c r="A294" s="141"/>
      <c r="B294" s="148">
        <v>291</v>
      </c>
      <c r="C294" s="163"/>
      <c r="D294" s="151"/>
      <c r="E294" s="151" t="s">
        <v>367</v>
      </c>
      <c r="F294" s="151" t="s">
        <v>367</v>
      </c>
      <c r="G294" s="151"/>
      <c r="H294" s="151"/>
      <c r="I294" s="151"/>
      <c r="J294" s="151">
        <v>1899</v>
      </c>
      <c r="K294" s="151">
        <v>12</v>
      </c>
    </row>
    <row r="295" spans="1:11" ht="13.5" customHeight="1" x14ac:dyDescent="0.15">
      <c r="A295" s="141"/>
      <c r="B295" s="148">
        <v>292</v>
      </c>
      <c r="C295" s="164"/>
      <c r="D295" s="152"/>
      <c r="E295" s="152" t="s">
        <v>367</v>
      </c>
      <c r="F295" s="152" t="s">
        <v>367</v>
      </c>
      <c r="G295" s="152"/>
      <c r="H295" s="152"/>
      <c r="I295" s="152"/>
      <c r="J295" s="152">
        <v>1899</v>
      </c>
      <c r="K295" s="152">
        <v>12</v>
      </c>
    </row>
    <row r="296" spans="1:11" ht="13.5" customHeight="1" x14ac:dyDescent="0.15">
      <c r="A296" s="141"/>
      <c r="B296" s="148">
        <v>293</v>
      </c>
      <c r="C296" s="163"/>
      <c r="D296" s="151"/>
      <c r="E296" s="151" t="s">
        <v>367</v>
      </c>
      <c r="F296" s="151" t="s">
        <v>367</v>
      </c>
      <c r="G296" s="151"/>
      <c r="H296" s="151"/>
      <c r="I296" s="151"/>
      <c r="J296" s="151">
        <v>1899</v>
      </c>
      <c r="K296" s="151">
        <v>12</v>
      </c>
    </row>
    <row r="297" spans="1:11" ht="13.5" customHeight="1" x14ac:dyDescent="0.15">
      <c r="A297" s="141"/>
      <c r="B297" s="148">
        <v>294</v>
      </c>
      <c r="C297" s="164"/>
      <c r="D297" s="152"/>
      <c r="E297" s="152" t="s">
        <v>367</v>
      </c>
      <c r="F297" s="152" t="s">
        <v>367</v>
      </c>
      <c r="G297" s="152"/>
      <c r="H297" s="152"/>
      <c r="I297" s="152"/>
      <c r="J297" s="152">
        <v>1899</v>
      </c>
      <c r="K297" s="152">
        <v>12</v>
      </c>
    </row>
    <row r="298" spans="1:11" ht="13.5" customHeight="1" x14ac:dyDescent="0.15">
      <c r="A298" s="141"/>
      <c r="B298" s="148">
        <v>295</v>
      </c>
      <c r="C298" s="163"/>
      <c r="D298" s="151"/>
      <c r="E298" s="151" t="s">
        <v>367</v>
      </c>
      <c r="F298" s="151" t="s">
        <v>367</v>
      </c>
      <c r="G298" s="151"/>
      <c r="H298" s="151"/>
      <c r="I298" s="151"/>
      <c r="J298" s="151">
        <v>1899</v>
      </c>
      <c r="K298" s="151">
        <v>12</v>
      </c>
    </row>
    <row r="299" spans="1:11" ht="13.5" customHeight="1" x14ac:dyDescent="0.15">
      <c r="A299" s="141"/>
      <c r="B299" s="148">
        <v>296</v>
      </c>
      <c r="C299" s="164"/>
      <c r="D299" s="152"/>
      <c r="E299" s="152" t="s">
        <v>367</v>
      </c>
      <c r="F299" s="152" t="s">
        <v>367</v>
      </c>
      <c r="G299" s="152"/>
      <c r="H299" s="152"/>
      <c r="I299" s="152"/>
      <c r="J299" s="152">
        <v>1899</v>
      </c>
      <c r="K299" s="152">
        <v>12</v>
      </c>
    </row>
    <row r="300" spans="1:11" ht="13.5" customHeight="1" x14ac:dyDescent="0.15">
      <c r="A300" s="141"/>
      <c r="B300" s="148">
        <v>297</v>
      </c>
      <c r="C300" s="163"/>
      <c r="D300" s="151"/>
      <c r="E300" s="151" t="s">
        <v>367</v>
      </c>
      <c r="F300" s="151" t="s">
        <v>367</v>
      </c>
      <c r="G300" s="151"/>
      <c r="H300" s="151"/>
      <c r="I300" s="151"/>
      <c r="J300" s="151">
        <v>1899</v>
      </c>
      <c r="K300" s="151">
        <v>12</v>
      </c>
    </row>
    <row r="301" spans="1:11" ht="13.5" customHeight="1" x14ac:dyDescent="0.15">
      <c r="A301" s="141"/>
      <c r="B301" s="148">
        <v>298</v>
      </c>
      <c r="C301" s="164"/>
      <c r="D301" s="152"/>
      <c r="E301" s="152" t="s">
        <v>367</v>
      </c>
      <c r="F301" s="152" t="s">
        <v>367</v>
      </c>
      <c r="G301" s="152"/>
      <c r="H301" s="152"/>
      <c r="I301" s="152"/>
      <c r="J301" s="152">
        <v>1899</v>
      </c>
      <c r="K301" s="152">
        <v>12</v>
      </c>
    </row>
    <row r="302" spans="1:11" ht="13.5" customHeight="1" x14ac:dyDescent="0.15">
      <c r="A302" s="141"/>
      <c r="B302" s="148">
        <v>299</v>
      </c>
      <c r="C302" s="163"/>
      <c r="D302" s="151"/>
      <c r="E302" s="151" t="s">
        <v>367</v>
      </c>
      <c r="F302" s="151" t="s">
        <v>367</v>
      </c>
      <c r="G302" s="151"/>
      <c r="H302" s="151"/>
      <c r="I302" s="151"/>
      <c r="J302" s="151">
        <v>1899</v>
      </c>
      <c r="K302" s="151">
        <v>12</v>
      </c>
    </row>
    <row r="303" spans="1:11" ht="13.5" customHeight="1" x14ac:dyDescent="0.15">
      <c r="A303" s="141"/>
      <c r="B303" s="148">
        <v>300</v>
      </c>
      <c r="C303" s="164"/>
      <c r="D303" s="152"/>
      <c r="E303" s="152" t="s">
        <v>367</v>
      </c>
      <c r="F303" s="152" t="s">
        <v>367</v>
      </c>
      <c r="G303" s="152"/>
      <c r="H303" s="152"/>
      <c r="I303" s="152"/>
      <c r="J303" s="152">
        <v>1899</v>
      </c>
      <c r="K303" s="152">
        <v>12</v>
      </c>
    </row>
    <row r="304" spans="1:11" ht="13.5" customHeight="1" x14ac:dyDescent="0.15">
      <c r="A304" s="141"/>
      <c r="B304" s="148">
        <v>301</v>
      </c>
      <c r="C304" s="163"/>
      <c r="D304" s="151"/>
      <c r="E304" s="151" t="s">
        <v>367</v>
      </c>
      <c r="F304" s="151" t="s">
        <v>367</v>
      </c>
      <c r="G304" s="151"/>
      <c r="H304" s="151"/>
      <c r="I304" s="151"/>
      <c r="J304" s="151">
        <v>1899</v>
      </c>
      <c r="K304" s="151">
        <v>12</v>
      </c>
    </row>
    <row r="305" spans="1:11" ht="13.5" customHeight="1" x14ac:dyDescent="0.15">
      <c r="A305" s="141"/>
      <c r="B305" s="148">
        <v>302</v>
      </c>
      <c r="C305" s="164"/>
      <c r="D305" s="152"/>
      <c r="E305" s="152" t="s">
        <v>367</v>
      </c>
      <c r="F305" s="152" t="s">
        <v>367</v>
      </c>
      <c r="G305" s="152"/>
      <c r="H305" s="152"/>
      <c r="I305" s="152"/>
      <c r="J305" s="152">
        <v>1899</v>
      </c>
      <c r="K305" s="152">
        <v>12</v>
      </c>
    </row>
    <row r="306" spans="1:11" ht="13.5" customHeight="1" x14ac:dyDescent="0.15">
      <c r="A306" s="141"/>
      <c r="B306" s="148">
        <v>303</v>
      </c>
      <c r="C306" s="163"/>
      <c r="D306" s="151"/>
      <c r="E306" s="151" t="s">
        <v>367</v>
      </c>
      <c r="F306" s="151" t="s">
        <v>367</v>
      </c>
      <c r="G306" s="151"/>
      <c r="H306" s="151"/>
      <c r="I306" s="151"/>
      <c r="J306" s="151">
        <v>1899</v>
      </c>
      <c r="K306" s="151">
        <v>12</v>
      </c>
    </row>
    <row r="307" spans="1:11" ht="13.5" customHeight="1" x14ac:dyDescent="0.15">
      <c r="A307" s="141"/>
      <c r="B307" s="148">
        <v>304</v>
      </c>
      <c r="C307" s="164"/>
      <c r="D307" s="152"/>
      <c r="E307" s="152" t="s">
        <v>367</v>
      </c>
      <c r="F307" s="152" t="s">
        <v>367</v>
      </c>
      <c r="G307" s="152"/>
      <c r="H307" s="152"/>
      <c r="I307" s="152"/>
      <c r="J307" s="152">
        <v>1899</v>
      </c>
      <c r="K307" s="152">
        <v>12</v>
      </c>
    </row>
    <row r="308" spans="1:11" ht="13.5" customHeight="1" x14ac:dyDescent="0.15">
      <c r="A308" s="141"/>
      <c r="B308" s="148">
        <v>305</v>
      </c>
      <c r="C308" s="163"/>
      <c r="D308" s="151"/>
      <c r="E308" s="151" t="s">
        <v>367</v>
      </c>
      <c r="F308" s="151" t="s">
        <v>367</v>
      </c>
      <c r="G308" s="151"/>
      <c r="H308" s="151"/>
      <c r="I308" s="151"/>
      <c r="J308" s="151">
        <v>1899</v>
      </c>
      <c r="K308" s="151">
        <v>12</v>
      </c>
    </row>
    <row r="309" spans="1:11" ht="13.5" customHeight="1" x14ac:dyDescent="0.15">
      <c r="A309" s="141"/>
      <c r="B309" s="148">
        <v>306</v>
      </c>
      <c r="C309" s="164"/>
      <c r="D309" s="152"/>
      <c r="E309" s="152" t="s">
        <v>367</v>
      </c>
      <c r="F309" s="152" t="s">
        <v>367</v>
      </c>
      <c r="G309" s="152"/>
      <c r="H309" s="152"/>
      <c r="I309" s="152"/>
      <c r="J309" s="152">
        <v>1899</v>
      </c>
      <c r="K309" s="152">
        <v>12</v>
      </c>
    </row>
    <row r="310" spans="1:11" ht="13.5" customHeight="1" x14ac:dyDescent="0.15">
      <c r="A310" s="141"/>
      <c r="B310" s="148">
        <v>307</v>
      </c>
      <c r="C310" s="163"/>
      <c r="D310" s="151"/>
      <c r="E310" s="151" t="s">
        <v>367</v>
      </c>
      <c r="F310" s="151" t="s">
        <v>367</v>
      </c>
      <c r="G310" s="151"/>
      <c r="H310" s="151"/>
      <c r="I310" s="151"/>
      <c r="J310" s="151">
        <v>1899</v>
      </c>
      <c r="K310" s="151">
        <v>12</v>
      </c>
    </row>
    <row r="311" spans="1:11" ht="13.5" customHeight="1" x14ac:dyDescent="0.15">
      <c r="A311" s="141"/>
      <c r="B311" s="148">
        <v>308</v>
      </c>
      <c r="C311" s="164"/>
      <c r="D311" s="152"/>
      <c r="E311" s="152" t="s">
        <v>367</v>
      </c>
      <c r="F311" s="152" t="s">
        <v>367</v>
      </c>
      <c r="G311" s="152"/>
      <c r="H311" s="152"/>
      <c r="I311" s="152"/>
      <c r="J311" s="152">
        <v>1899</v>
      </c>
      <c r="K311" s="152">
        <v>12</v>
      </c>
    </row>
    <row r="312" spans="1:11" ht="13.5" customHeight="1" x14ac:dyDescent="0.15">
      <c r="A312" s="141"/>
      <c r="B312" s="148">
        <v>309</v>
      </c>
      <c r="C312" s="163"/>
      <c r="D312" s="151"/>
      <c r="E312" s="151" t="s">
        <v>367</v>
      </c>
      <c r="F312" s="151" t="s">
        <v>367</v>
      </c>
      <c r="G312" s="151"/>
      <c r="H312" s="151"/>
      <c r="I312" s="151"/>
      <c r="J312" s="151">
        <v>1899</v>
      </c>
      <c r="K312" s="151">
        <v>12</v>
      </c>
    </row>
    <row r="313" spans="1:11" ht="13.5" customHeight="1" x14ac:dyDescent="0.15">
      <c r="A313" s="141"/>
      <c r="B313" s="148">
        <v>310</v>
      </c>
      <c r="C313" s="164"/>
      <c r="D313" s="152"/>
      <c r="E313" s="152" t="s">
        <v>367</v>
      </c>
      <c r="F313" s="152" t="s">
        <v>367</v>
      </c>
      <c r="G313" s="152"/>
      <c r="H313" s="152"/>
      <c r="I313" s="152"/>
      <c r="J313" s="152">
        <v>1899</v>
      </c>
      <c r="K313" s="152">
        <v>12</v>
      </c>
    </row>
    <row r="314" spans="1:11" ht="13.5" customHeight="1" x14ac:dyDescent="0.15">
      <c r="A314" s="141"/>
      <c r="B314" s="148">
        <v>311</v>
      </c>
      <c r="C314" s="163"/>
      <c r="D314" s="151"/>
      <c r="E314" s="151" t="s">
        <v>367</v>
      </c>
      <c r="F314" s="151" t="s">
        <v>367</v>
      </c>
      <c r="G314" s="151"/>
      <c r="H314" s="151"/>
      <c r="I314" s="151"/>
      <c r="J314" s="151">
        <v>1899</v>
      </c>
      <c r="K314" s="151">
        <v>12</v>
      </c>
    </row>
    <row r="315" spans="1:11" ht="13.5" customHeight="1" x14ac:dyDescent="0.15">
      <c r="A315" s="141"/>
      <c r="B315" s="148">
        <v>312</v>
      </c>
      <c r="C315" s="164"/>
      <c r="D315" s="152"/>
      <c r="E315" s="152" t="s">
        <v>367</v>
      </c>
      <c r="F315" s="152" t="s">
        <v>367</v>
      </c>
      <c r="G315" s="152"/>
      <c r="H315" s="152"/>
      <c r="I315" s="152"/>
      <c r="J315" s="152">
        <v>1899</v>
      </c>
      <c r="K315" s="152">
        <v>12</v>
      </c>
    </row>
    <row r="316" spans="1:11" ht="13.5" customHeight="1" x14ac:dyDescent="0.15">
      <c r="A316" s="141"/>
      <c r="B316" s="148">
        <v>313</v>
      </c>
      <c r="C316" s="163"/>
      <c r="D316" s="151"/>
      <c r="E316" s="151" t="s">
        <v>367</v>
      </c>
      <c r="F316" s="151" t="s">
        <v>367</v>
      </c>
      <c r="G316" s="151"/>
      <c r="H316" s="151"/>
      <c r="I316" s="151"/>
      <c r="J316" s="151">
        <v>1899</v>
      </c>
      <c r="K316" s="151">
        <v>12</v>
      </c>
    </row>
    <row r="317" spans="1:11" ht="13.5" customHeight="1" x14ac:dyDescent="0.15">
      <c r="A317" s="141"/>
      <c r="B317" s="148">
        <v>314</v>
      </c>
      <c r="C317" s="164"/>
      <c r="D317" s="152"/>
      <c r="E317" s="152" t="s">
        <v>367</v>
      </c>
      <c r="F317" s="152" t="s">
        <v>367</v>
      </c>
      <c r="G317" s="152"/>
      <c r="H317" s="152"/>
      <c r="I317" s="152"/>
      <c r="J317" s="152">
        <v>1899</v>
      </c>
      <c r="K317" s="152">
        <v>12</v>
      </c>
    </row>
    <row r="318" spans="1:11" ht="13.5" customHeight="1" x14ac:dyDescent="0.15">
      <c r="A318" s="141"/>
      <c r="B318" s="148">
        <v>315</v>
      </c>
      <c r="C318" s="163"/>
      <c r="D318" s="151"/>
      <c r="E318" s="151" t="s">
        <v>367</v>
      </c>
      <c r="F318" s="151" t="s">
        <v>367</v>
      </c>
      <c r="G318" s="151"/>
      <c r="H318" s="151"/>
      <c r="I318" s="151"/>
      <c r="J318" s="151">
        <v>1899</v>
      </c>
      <c r="K318" s="151">
        <v>12</v>
      </c>
    </row>
    <row r="319" spans="1:11" ht="13.5" customHeight="1" x14ac:dyDescent="0.15">
      <c r="A319" s="141"/>
      <c r="B319" s="148">
        <v>316</v>
      </c>
      <c r="C319" s="164"/>
      <c r="D319" s="152"/>
      <c r="E319" s="152" t="s">
        <v>367</v>
      </c>
      <c r="F319" s="152" t="s">
        <v>367</v>
      </c>
      <c r="G319" s="152"/>
      <c r="H319" s="152"/>
      <c r="I319" s="152"/>
      <c r="J319" s="152">
        <v>1899</v>
      </c>
      <c r="K319" s="152">
        <v>12</v>
      </c>
    </row>
    <row r="320" spans="1:11" ht="13.5" customHeight="1" x14ac:dyDescent="0.15">
      <c r="A320" s="141"/>
      <c r="B320" s="148">
        <v>317</v>
      </c>
      <c r="C320" s="163"/>
      <c r="D320" s="151"/>
      <c r="E320" s="151" t="s">
        <v>367</v>
      </c>
      <c r="F320" s="151" t="s">
        <v>367</v>
      </c>
      <c r="G320" s="151"/>
      <c r="H320" s="151"/>
      <c r="I320" s="151"/>
      <c r="J320" s="151">
        <v>1899</v>
      </c>
      <c r="K320" s="151">
        <v>12</v>
      </c>
    </row>
    <row r="321" spans="1:11" ht="13.5" customHeight="1" x14ac:dyDescent="0.15">
      <c r="A321" s="141"/>
      <c r="B321" s="148">
        <v>318</v>
      </c>
      <c r="C321" s="164"/>
      <c r="D321" s="152"/>
      <c r="E321" s="152" t="s">
        <v>367</v>
      </c>
      <c r="F321" s="152" t="s">
        <v>367</v>
      </c>
      <c r="G321" s="152"/>
      <c r="H321" s="152"/>
      <c r="I321" s="152"/>
      <c r="J321" s="152">
        <v>1899</v>
      </c>
      <c r="K321" s="152">
        <v>12</v>
      </c>
    </row>
    <row r="322" spans="1:11" ht="13.5" customHeight="1" x14ac:dyDescent="0.15">
      <c r="A322" s="141"/>
      <c r="B322" s="148">
        <v>319</v>
      </c>
      <c r="C322" s="163"/>
      <c r="D322" s="151"/>
      <c r="E322" s="151" t="s">
        <v>367</v>
      </c>
      <c r="F322" s="151" t="s">
        <v>367</v>
      </c>
      <c r="G322" s="151"/>
      <c r="H322" s="151"/>
      <c r="I322" s="151"/>
      <c r="J322" s="151">
        <v>1899</v>
      </c>
      <c r="K322" s="151">
        <v>12</v>
      </c>
    </row>
    <row r="323" spans="1:11" ht="13.5" customHeight="1" x14ac:dyDescent="0.15">
      <c r="A323" s="141"/>
      <c r="B323" s="148">
        <v>320</v>
      </c>
      <c r="C323" s="164"/>
      <c r="D323" s="152"/>
      <c r="E323" s="152" t="s">
        <v>367</v>
      </c>
      <c r="F323" s="152" t="s">
        <v>367</v>
      </c>
      <c r="G323" s="152"/>
      <c r="H323" s="152"/>
      <c r="I323" s="152"/>
      <c r="J323" s="152">
        <v>1899</v>
      </c>
      <c r="K323" s="152">
        <v>12</v>
      </c>
    </row>
    <row r="324" spans="1:11" ht="13.5" customHeight="1" x14ac:dyDescent="0.15">
      <c r="A324" s="141"/>
      <c r="B324" s="148">
        <v>321</v>
      </c>
      <c r="C324" s="163"/>
      <c r="D324" s="151"/>
      <c r="E324" s="151" t="s">
        <v>367</v>
      </c>
      <c r="F324" s="151" t="s">
        <v>367</v>
      </c>
      <c r="G324" s="151"/>
      <c r="H324" s="151"/>
      <c r="I324" s="151"/>
      <c r="J324" s="151">
        <v>1899</v>
      </c>
      <c r="K324" s="151">
        <v>12</v>
      </c>
    </row>
    <row r="325" spans="1:11" ht="13.5" customHeight="1" x14ac:dyDescent="0.15">
      <c r="A325" s="141"/>
      <c r="B325" s="148">
        <v>322</v>
      </c>
      <c r="C325" s="164"/>
      <c r="D325" s="152"/>
      <c r="E325" s="152" t="s">
        <v>367</v>
      </c>
      <c r="F325" s="152" t="s">
        <v>367</v>
      </c>
      <c r="G325" s="152"/>
      <c r="H325" s="152"/>
      <c r="I325" s="152"/>
      <c r="J325" s="152">
        <v>1899</v>
      </c>
      <c r="K325" s="152">
        <v>12</v>
      </c>
    </row>
    <row r="326" spans="1:11" ht="13.5" customHeight="1" x14ac:dyDescent="0.15">
      <c r="A326" s="141"/>
      <c r="B326" s="148">
        <v>323</v>
      </c>
      <c r="C326" s="163"/>
      <c r="D326" s="151"/>
      <c r="E326" s="151" t="s">
        <v>367</v>
      </c>
      <c r="F326" s="151" t="s">
        <v>367</v>
      </c>
      <c r="G326" s="151"/>
      <c r="H326" s="151"/>
      <c r="I326" s="151"/>
      <c r="J326" s="151">
        <v>1899</v>
      </c>
      <c r="K326" s="151">
        <v>12</v>
      </c>
    </row>
    <row r="327" spans="1:11" ht="13.5" customHeight="1" x14ac:dyDescent="0.15">
      <c r="A327" s="141"/>
      <c r="B327" s="148">
        <v>324</v>
      </c>
      <c r="C327" s="164"/>
      <c r="D327" s="152"/>
      <c r="E327" s="152" t="s">
        <v>367</v>
      </c>
      <c r="F327" s="152" t="s">
        <v>367</v>
      </c>
      <c r="G327" s="152"/>
      <c r="H327" s="152"/>
      <c r="I327" s="152"/>
      <c r="J327" s="152">
        <v>1899</v>
      </c>
      <c r="K327" s="152">
        <v>12</v>
      </c>
    </row>
    <row r="328" spans="1:11" ht="13.5" customHeight="1" x14ac:dyDescent="0.15">
      <c r="A328" s="141"/>
      <c r="B328" s="148">
        <v>325</v>
      </c>
      <c r="C328" s="163"/>
      <c r="D328" s="151"/>
      <c r="E328" s="151" t="s">
        <v>367</v>
      </c>
      <c r="F328" s="151" t="s">
        <v>367</v>
      </c>
      <c r="G328" s="151"/>
      <c r="H328" s="151"/>
      <c r="I328" s="151"/>
      <c r="J328" s="151">
        <v>1899</v>
      </c>
      <c r="K328" s="151">
        <v>12</v>
      </c>
    </row>
    <row r="329" spans="1:11" ht="13.5" customHeight="1" x14ac:dyDescent="0.15">
      <c r="A329" s="141"/>
      <c r="B329" s="148">
        <v>326</v>
      </c>
      <c r="C329" s="164"/>
      <c r="D329" s="152"/>
      <c r="E329" s="152" t="s">
        <v>367</v>
      </c>
      <c r="F329" s="152" t="s">
        <v>367</v>
      </c>
      <c r="G329" s="152"/>
      <c r="H329" s="152"/>
      <c r="I329" s="152"/>
      <c r="J329" s="152">
        <v>1899</v>
      </c>
      <c r="K329" s="152">
        <v>12</v>
      </c>
    </row>
    <row r="330" spans="1:11" ht="13.5" customHeight="1" x14ac:dyDescent="0.15">
      <c r="A330" s="141"/>
      <c r="B330" s="148">
        <v>327</v>
      </c>
      <c r="C330" s="163"/>
      <c r="D330" s="151"/>
      <c r="E330" s="151" t="s">
        <v>367</v>
      </c>
      <c r="F330" s="151" t="s">
        <v>367</v>
      </c>
      <c r="G330" s="151"/>
      <c r="H330" s="151"/>
      <c r="I330" s="151"/>
      <c r="J330" s="151">
        <v>1899</v>
      </c>
      <c r="K330" s="151">
        <v>12</v>
      </c>
    </row>
    <row r="331" spans="1:11" ht="13.5" customHeight="1" x14ac:dyDescent="0.15">
      <c r="A331" s="141"/>
      <c r="B331" s="148">
        <v>328</v>
      </c>
      <c r="C331" s="164"/>
      <c r="D331" s="152"/>
      <c r="E331" s="152" t="s">
        <v>367</v>
      </c>
      <c r="F331" s="152" t="s">
        <v>367</v>
      </c>
      <c r="G331" s="152"/>
      <c r="H331" s="152"/>
      <c r="I331" s="152"/>
      <c r="J331" s="152">
        <v>1899</v>
      </c>
      <c r="K331" s="152">
        <v>12</v>
      </c>
    </row>
    <row r="332" spans="1:11" ht="13.5" customHeight="1" x14ac:dyDescent="0.15">
      <c r="A332" s="141"/>
      <c r="B332" s="148">
        <v>329</v>
      </c>
      <c r="C332" s="163"/>
      <c r="D332" s="151"/>
      <c r="E332" s="151" t="s">
        <v>367</v>
      </c>
      <c r="F332" s="151" t="s">
        <v>367</v>
      </c>
      <c r="G332" s="151"/>
      <c r="H332" s="151"/>
      <c r="I332" s="151"/>
      <c r="J332" s="151">
        <v>1899</v>
      </c>
      <c r="K332" s="151">
        <v>12</v>
      </c>
    </row>
    <row r="333" spans="1:11" ht="13.5" customHeight="1" x14ac:dyDescent="0.15">
      <c r="A333" s="141"/>
      <c r="B333" s="148">
        <v>330</v>
      </c>
      <c r="C333" s="164"/>
      <c r="D333" s="152"/>
      <c r="E333" s="152" t="s">
        <v>367</v>
      </c>
      <c r="F333" s="152" t="s">
        <v>367</v>
      </c>
      <c r="G333" s="152"/>
      <c r="H333" s="152"/>
      <c r="I333" s="152"/>
      <c r="J333" s="152">
        <v>1899</v>
      </c>
      <c r="K333" s="152">
        <v>12</v>
      </c>
    </row>
    <row r="334" spans="1:11" ht="13.5" customHeight="1" x14ac:dyDescent="0.15">
      <c r="A334" s="141"/>
      <c r="B334" s="148">
        <v>331</v>
      </c>
      <c r="C334" s="163"/>
      <c r="D334" s="151"/>
      <c r="E334" s="151" t="s">
        <v>367</v>
      </c>
      <c r="F334" s="151" t="s">
        <v>367</v>
      </c>
      <c r="G334" s="151"/>
      <c r="H334" s="151"/>
      <c r="I334" s="151"/>
      <c r="J334" s="151">
        <v>1899</v>
      </c>
      <c r="K334" s="151">
        <v>12</v>
      </c>
    </row>
    <row r="335" spans="1:11" ht="13.5" customHeight="1" x14ac:dyDescent="0.15">
      <c r="A335" s="141"/>
      <c r="B335" s="148">
        <v>332</v>
      </c>
      <c r="C335" s="164"/>
      <c r="D335" s="152"/>
      <c r="E335" s="152" t="s">
        <v>367</v>
      </c>
      <c r="F335" s="152" t="s">
        <v>367</v>
      </c>
      <c r="G335" s="152"/>
      <c r="H335" s="152"/>
      <c r="I335" s="152"/>
      <c r="J335" s="152">
        <v>1899</v>
      </c>
      <c r="K335" s="152">
        <v>12</v>
      </c>
    </row>
    <row r="336" spans="1:11" ht="13.5" customHeight="1" x14ac:dyDescent="0.15">
      <c r="A336" s="141"/>
      <c r="B336" s="148">
        <v>333</v>
      </c>
      <c r="C336" s="163"/>
      <c r="D336" s="151"/>
      <c r="E336" s="151" t="s">
        <v>367</v>
      </c>
      <c r="F336" s="151" t="s">
        <v>367</v>
      </c>
      <c r="G336" s="151"/>
      <c r="H336" s="151"/>
      <c r="I336" s="151"/>
      <c r="J336" s="151">
        <v>1899</v>
      </c>
      <c r="K336" s="151">
        <v>12</v>
      </c>
    </row>
    <row r="337" spans="1:11" ht="13.5" customHeight="1" x14ac:dyDescent="0.15">
      <c r="A337" s="141"/>
      <c r="B337" s="148">
        <v>334</v>
      </c>
      <c r="C337" s="164"/>
      <c r="D337" s="152"/>
      <c r="E337" s="152" t="s">
        <v>367</v>
      </c>
      <c r="F337" s="152" t="s">
        <v>367</v>
      </c>
      <c r="G337" s="152"/>
      <c r="H337" s="152"/>
      <c r="I337" s="152"/>
      <c r="J337" s="152">
        <v>1899</v>
      </c>
      <c r="K337" s="152">
        <v>12</v>
      </c>
    </row>
    <row r="338" spans="1:11" ht="13.5" customHeight="1" x14ac:dyDescent="0.15">
      <c r="A338" s="141"/>
      <c r="B338" s="148">
        <v>335</v>
      </c>
      <c r="C338" s="163"/>
      <c r="D338" s="151"/>
      <c r="E338" s="151" t="s">
        <v>367</v>
      </c>
      <c r="F338" s="151" t="s">
        <v>367</v>
      </c>
      <c r="G338" s="151"/>
      <c r="H338" s="151"/>
      <c r="I338" s="151"/>
      <c r="J338" s="151">
        <v>1899</v>
      </c>
      <c r="K338" s="151">
        <v>12</v>
      </c>
    </row>
    <row r="339" spans="1:11" ht="13.5" customHeight="1" x14ac:dyDescent="0.15">
      <c r="A339" s="141"/>
      <c r="B339" s="148">
        <v>336</v>
      </c>
      <c r="C339" s="164"/>
      <c r="D339" s="152"/>
      <c r="E339" s="152" t="s">
        <v>367</v>
      </c>
      <c r="F339" s="152" t="s">
        <v>367</v>
      </c>
      <c r="G339" s="152"/>
      <c r="H339" s="152"/>
      <c r="I339" s="152"/>
      <c r="J339" s="152">
        <v>1899</v>
      </c>
      <c r="K339" s="152">
        <v>12</v>
      </c>
    </row>
    <row r="340" spans="1:11" ht="13.5" customHeight="1" x14ac:dyDescent="0.15">
      <c r="A340" s="141"/>
      <c r="B340" s="148">
        <v>337</v>
      </c>
      <c r="C340" s="163"/>
      <c r="D340" s="151"/>
      <c r="E340" s="151" t="s">
        <v>367</v>
      </c>
      <c r="F340" s="151" t="s">
        <v>367</v>
      </c>
      <c r="G340" s="151"/>
      <c r="H340" s="151"/>
      <c r="I340" s="151"/>
      <c r="J340" s="151">
        <v>1899</v>
      </c>
      <c r="K340" s="151">
        <v>12</v>
      </c>
    </row>
    <row r="341" spans="1:11" ht="13.5" customHeight="1" x14ac:dyDescent="0.15">
      <c r="A341" s="141"/>
      <c r="B341" s="148">
        <v>338</v>
      </c>
      <c r="C341" s="164"/>
      <c r="D341" s="152"/>
      <c r="E341" s="152" t="s">
        <v>367</v>
      </c>
      <c r="F341" s="152" t="s">
        <v>367</v>
      </c>
      <c r="G341" s="152"/>
      <c r="H341" s="152"/>
      <c r="I341" s="152"/>
      <c r="J341" s="152">
        <v>1899</v>
      </c>
      <c r="K341" s="152">
        <v>12</v>
      </c>
    </row>
    <row r="342" spans="1:11" ht="13.5" customHeight="1" x14ac:dyDescent="0.15">
      <c r="A342" s="141"/>
      <c r="B342" s="148">
        <v>339</v>
      </c>
      <c r="C342" s="163"/>
      <c r="D342" s="151"/>
      <c r="E342" s="151" t="s">
        <v>367</v>
      </c>
      <c r="F342" s="151" t="s">
        <v>367</v>
      </c>
      <c r="G342" s="151"/>
      <c r="H342" s="151"/>
      <c r="I342" s="151"/>
      <c r="J342" s="151">
        <v>1899</v>
      </c>
      <c r="K342" s="151">
        <v>12</v>
      </c>
    </row>
    <row r="343" spans="1:11" ht="13.5" customHeight="1" x14ac:dyDescent="0.15">
      <c r="A343" s="141"/>
      <c r="B343" s="148">
        <v>340</v>
      </c>
      <c r="C343" s="164"/>
      <c r="D343" s="152"/>
      <c r="E343" s="152" t="s">
        <v>367</v>
      </c>
      <c r="F343" s="152" t="s">
        <v>367</v>
      </c>
      <c r="G343" s="152"/>
      <c r="H343" s="152"/>
      <c r="I343" s="152"/>
      <c r="J343" s="152">
        <v>1899</v>
      </c>
      <c r="K343" s="152">
        <v>12</v>
      </c>
    </row>
    <row r="344" spans="1:11" ht="13.5" customHeight="1" x14ac:dyDescent="0.15">
      <c r="A344" s="141"/>
      <c r="B344" s="148">
        <v>341</v>
      </c>
      <c r="C344" s="163"/>
      <c r="D344" s="151"/>
      <c r="E344" s="151" t="s">
        <v>367</v>
      </c>
      <c r="F344" s="151" t="s">
        <v>367</v>
      </c>
      <c r="G344" s="151"/>
      <c r="H344" s="151"/>
      <c r="I344" s="151"/>
      <c r="J344" s="151">
        <v>1899</v>
      </c>
      <c r="K344" s="151">
        <v>12</v>
      </c>
    </row>
    <row r="345" spans="1:11" ht="13.5" customHeight="1" x14ac:dyDescent="0.15">
      <c r="A345" s="141"/>
      <c r="B345" s="148">
        <v>342</v>
      </c>
      <c r="C345" s="164"/>
      <c r="D345" s="152"/>
      <c r="E345" s="152" t="s">
        <v>367</v>
      </c>
      <c r="F345" s="152" t="s">
        <v>367</v>
      </c>
      <c r="G345" s="152"/>
      <c r="H345" s="152"/>
      <c r="I345" s="152"/>
      <c r="J345" s="152">
        <v>1899</v>
      </c>
      <c r="K345" s="152">
        <v>12</v>
      </c>
    </row>
    <row r="346" spans="1:11" ht="13.5" customHeight="1" x14ac:dyDescent="0.15">
      <c r="A346" s="141"/>
      <c r="B346" s="148">
        <v>343</v>
      </c>
      <c r="C346" s="163"/>
      <c r="D346" s="151"/>
      <c r="E346" s="151" t="s">
        <v>367</v>
      </c>
      <c r="F346" s="151" t="s">
        <v>367</v>
      </c>
      <c r="G346" s="151"/>
      <c r="H346" s="151"/>
      <c r="I346" s="151"/>
      <c r="J346" s="151">
        <v>1899</v>
      </c>
      <c r="K346" s="151">
        <v>12</v>
      </c>
    </row>
    <row r="347" spans="1:11" ht="13.5" customHeight="1" x14ac:dyDescent="0.15">
      <c r="A347" s="141"/>
      <c r="B347" s="148">
        <v>344</v>
      </c>
      <c r="C347" s="164"/>
      <c r="D347" s="152"/>
      <c r="E347" s="152" t="s">
        <v>367</v>
      </c>
      <c r="F347" s="152" t="s">
        <v>367</v>
      </c>
      <c r="G347" s="152"/>
      <c r="H347" s="152"/>
      <c r="I347" s="152"/>
      <c r="J347" s="152">
        <v>1899</v>
      </c>
      <c r="K347" s="152">
        <v>12</v>
      </c>
    </row>
    <row r="348" spans="1:11" ht="13.5" customHeight="1" x14ac:dyDescent="0.15">
      <c r="A348" s="141"/>
      <c r="B348" s="148">
        <v>345</v>
      </c>
      <c r="C348" s="163"/>
      <c r="D348" s="151"/>
      <c r="E348" s="151" t="s">
        <v>367</v>
      </c>
      <c r="F348" s="151" t="s">
        <v>367</v>
      </c>
      <c r="G348" s="151"/>
      <c r="H348" s="151"/>
      <c r="I348" s="151"/>
      <c r="J348" s="151">
        <v>1899</v>
      </c>
      <c r="K348" s="151">
        <v>12</v>
      </c>
    </row>
    <row r="349" spans="1:11" ht="13.5" customHeight="1" x14ac:dyDescent="0.15">
      <c r="A349" s="141"/>
      <c r="B349" s="148">
        <v>346</v>
      </c>
      <c r="C349" s="164"/>
      <c r="D349" s="152"/>
      <c r="E349" s="152" t="s">
        <v>367</v>
      </c>
      <c r="F349" s="152" t="s">
        <v>367</v>
      </c>
      <c r="G349" s="152"/>
      <c r="H349" s="152"/>
      <c r="I349" s="152"/>
      <c r="J349" s="152">
        <v>1899</v>
      </c>
      <c r="K349" s="152">
        <v>12</v>
      </c>
    </row>
    <row r="350" spans="1:11" ht="13.5" customHeight="1" x14ac:dyDescent="0.15">
      <c r="A350" s="141"/>
      <c r="B350" s="148">
        <v>347</v>
      </c>
      <c r="C350" s="163"/>
      <c r="D350" s="151"/>
      <c r="E350" s="151" t="s">
        <v>367</v>
      </c>
      <c r="F350" s="151" t="s">
        <v>367</v>
      </c>
      <c r="G350" s="151"/>
      <c r="H350" s="151"/>
      <c r="I350" s="151"/>
      <c r="J350" s="151">
        <v>1899</v>
      </c>
      <c r="K350" s="151">
        <v>12</v>
      </c>
    </row>
    <row r="351" spans="1:11" ht="13.5" customHeight="1" x14ac:dyDescent="0.15">
      <c r="A351" s="141"/>
      <c r="B351" s="148">
        <v>348</v>
      </c>
      <c r="C351" s="164"/>
      <c r="D351" s="152"/>
      <c r="E351" s="152" t="s">
        <v>367</v>
      </c>
      <c r="F351" s="152" t="s">
        <v>367</v>
      </c>
      <c r="G351" s="152"/>
      <c r="H351" s="152"/>
      <c r="I351" s="152"/>
      <c r="J351" s="152">
        <v>1899</v>
      </c>
      <c r="K351" s="152">
        <v>12</v>
      </c>
    </row>
    <row r="352" spans="1:11" ht="13.5" customHeight="1" x14ac:dyDescent="0.15">
      <c r="A352" s="141"/>
      <c r="B352" s="148">
        <v>349</v>
      </c>
      <c r="C352" s="163"/>
      <c r="D352" s="151"/>
      <c r="E352" s="151" t="s">
        <v>367</v>
      </c>
      <c r="F352" s="151" t="s">
        <v>367</v>
      </c>
      <c r="G352" s="151"/>
      <c r="H352" s="151"/>
      <c r="I352" s="151"/>
      <c r="J352" s="151">
        <v>1899</v>
      </c>
      <c r="K352" s="151">
        <v>12</v>
      </c>
    </row>
    <row r="353" spans="1:11" ht="13.5" customHeight="1" x14ac:dyDescent="0.15">
      <c r="A353" s="141"/>
      <c r="B353" s="148">
        <v>350</v>
      </c>
      <c r="C353" s="164"/>
      <c r="D353" s="152"/>
      <c r="E353" s="152" t="s">
        <v>367</v>
      </c>
      <c r="F353" s="152" t="s">
        <v>367</v>
      </c>
      <c r="G353" s="152"/>
      <c r="H353" s="152"/>
      <c r="I353" s="152"/>
      <c r="J353" s="152">
        <v>1899</v>
      </c>
      <c r="K353" s="152">
        <v>12</v>
      </c>
    </row>
    <row r="354" spans="1:11" ht="13.5" customHeight="1" x14ac:dyDescent="0.15">
      <c r="A354" s="141"/>
      <c r="B354" s="148">
        <v>351</v>
      </c>
      <c r="C354" s="163"/>
      <c r="D354" s="151"/>
      <c r="E354" s="151" t="s">
        <v>367</v>
      </c>
      <c r="F354" s="151" t="s">
        <v>367</v>
      </c>
      <c r="G354" s="151"/>
      <c r="H354" s="151"/>
      <c r="I354" s="151"/>
      <c r="J354" s="151">
        <v>1899</v>
      </c>
      <c r="K354" s="151">
        <v>12</v>
      </c>
    </row>
    <row r="355" spans="1:11" ht="13.5" customHeight="1" x14ac:dyDescent="0.15">
      <c r="A355" s="141"/>
      <c r="B355" s="148">
        <v>352</v>
      </c>
      <c r="C355" s="164"/>
      <c r="D355" s="152"/>
      <c r="E355" s="152" t="s">
        <v>367</v>
      </c>
      <c r="F355" s="152" t="s">
        <v>367</v>
      </c>
      <c r="G355" s="152"/>
      <c r="H355" s="152"/>
      <c r="I355" s="152"/>
      <c r="J355" s="152">
        <v>1899</v>
      </c>
      <c r="K355" s="152">
        <v>12</v>
      </c>
    </row>
    <row r="356" spans="1:11" ht="13.5" customHeight="1" x14ac:dyDescent="0.15">
      <c r="A356" s="141"/>
      <c r="B356" s="148">
        <v>353</v>
      </c>
      <c r="C356" s="163"/>
      <c r="D356" s="151"/>
      <c r="E356" s="151" t="s">
        <v>367</v>
      </c>
      <c r="F356" s="151" t="s">
        <v>367</v>
      </c>
      <c r="G356" s="151"/>
      <c r="H356" s="151"/>
      <c r="I356" s="151"/>
      <c r="J356" s="151">
        <v>1899</v>
      </c>
      <c r="K356" s="151">
        <v>12</v>
      </c>
    </row>
    <row r="357" spans="1:11" ht="13.5" customHeight="1" x14ac:dyDescent="0.15">
      <c r="A357" s="141"/>
      <c r="B357" s="148">
        <v>354</v>
      </c>
      <c r="C357" s="164"/>
      <c r="D357" s="152"/>
      <c r="E357" s="152" t="s">
        <v>367</v>
      </c>
      <c r="F357" s="152" t="s">
        <v>367</v>
      </c>
      <c r="G357" s="152"/>
      <c r="H357" s="152"/>
      <c r="I357" s="152"/>
      <c r="J357" s="152">
        <v>1899</v>
      </c>
      <c r="K357" s="152">
        <v>12</v>
      </c>
    </row>
    <row r="358" spans="1:11" ht="13.5" customHeight="1" x14ac:dyDescent="0.15">
      <c r="A358" s="141"/>
      <c r="B358" s="148">
        <v>355</v>
      </c>
      <c r="C358" s="163"/>
      <c r="D358" s="151"/>
      <c r="E358" s="151" t="s">
        <v>367</v>
      </c>
      <c r="F358" s="151" t="s">
        <v>367</v>
      </c>
      <c r="G358" s="151"/>
      <c r="H358" s="151"/>
      <c r="I358" s="151"/>
      <c r="J358" s="151">
        <v>1899</v>
      </c>
      <c r="K358" s="151">
        <v>12</v>
      </c>
    </row>
    <row r="359" spans="1:11" ht="13.5" customHeight="1" x14ac:dyDescent="0.15">
      <c r="A359" s="141"/>
      <c r="B359" s="148">
        <v>356</v>
      </c>
      <c r="C359" s="164"/>
      <c r="D359" s="152"/>
      <c r="E359" s="152" t="s">
        <v>367</v>
      </c>
      <c r="F359" s="152" t="s">
        <v>367</v>
      </c>
      <c r="G359" s="152"/>
      <c r="H359" s="152"/>
      <c r="I359" s="152"/>
      <c r="J359" s="152">
        <v>1899</v>
      </c>
      <c r="K359" s="152">
        <v>12</v>
      </c>
    </row>
    <row r="360" spans="1:11" ht="13.5" customHeight="1" x14ac:dyDescent="0.15">
      <c r="A360" s="141"/>
      <c r="B360" s="148">
        <v>357</v>
      </c>
      <c r="C360" s="163"/>
      <c r="D360" s="151"/>
      <c r="E360" s="151" t="s">
        <v>367</v>
      </c>
      <c r="F360" s="151" t="s">
        <v>367</v>
      </c>
      <c r="G360" s="151"/>
      <c r="H360" s="151"/>
      <c r="I360" s="151"/>
      <c r="J360" s="151">
        <v>1899</v>
      </c>
      <c r="K360" s="151">
        <v>12</v>
      </c>
    </row>
    <row r="361" spans="1:11" ht="13.5" customHeight="1" x14ac:dyDescent="0.15">
      <c r="A361" s="141"/>
      <c r="B361" s="148">
        <v>358</v>
      </c>
      <c r="C361" s="164"/>
      <c r="D361" s="152"/>
      <c r="E361" s="152" t="s">
        <v>367</v>
      </c>
      <c r="F361" s="152" t="s">
        <v>367</v>
      </c>
      <c r="G361" s="152"/>
      <c r="H361" s="152"/>
      <c r="I361" s="152"/>
      <c r="J361" s="152">
        <v>1899</v>
      </c>
      <c r="K361" s="152">
        <v>12</v>
      </c>
    </row>
    <row r="362" spans="1:11" ht="13.5" customHeight="1" x14ac:dyDescent="0.15">
      <c r="A362" s="141"/>
      <c r="B362" s="148">
        <v>359</v>
      </c>
      <c r="C362" s="163"/>
      <c r="D362" s="151"/>
      <c r="E362" s="151" t="s">
        <v>367</v>
      </c>
      <c r="F362" s="151" t="s">
        <v>367</v>
      </c>
      <c r="G362" s="151"/>
      <c r="H362" s="151"/>
      <c r="I362" s="151"/>
      <c r="J362" s="151">
        <v>1899</v>
      </c>
      <c r="K362" s="151">
        <v>12</v>
      </c>
    </row>
    <row r="363" spans="1:11" ht="13.5" customHeight="1" x14ac:dyDescent="0.15">
      <c r="A363" s="141"/>
      <c r="B363" s="148">
        <v>360</v>
      </c>
      <c r="C363" s="164"/>
      <c r="D363" s="152"/>
      <c r="E363" s="152" t="s">
        <v>367</v>
      </c>
      <c r="F363" s="152" t="s">
        <v>367</v>
      </c>
      <c r="G363" s="152"/>
      <c r="H363" s="152"/>
      <c r="I363" s="152"/>
      <c r="J363" s="152">
        <v>1899</v>
      </c>
      <c r="K363" s="152">
        <v>12</v>
      </c>
    </row>
    <row r="364" spans="1:11" ht="13.5" customHeight="1" x14ac:dyDescent="0.15">
      <c r="A364" s="141"/>
      <c r="B364" s="148">
        <v>361</v>
      </c>
      <c r="C364" s="163"/>
      <c r="D364" s="151"/>
      <c r="E364" s="151" t="s">
        <v>367</v>
      </c>
      <c r="F364" s="151" t="s">
        <v>367</v>
      </c>
      <c r="G364" s="151"/>
      <c r="H364" s="151"/>
      <c r="I364" s="151"/>
      <c r="J364" s="151">
        <v>1899</v>
      </c>
      <c r="K364" s="151">
        <v>12</v>
      </c>
    </row>
    <row r="365" spans="1:11" ht="13.5" customHeight="1" x14ac:dyDescent="0.15">
      <c r="A365" s="141"/>
      <c r="B365" s="148">
        <v>362</v>
      </c>
      <c r="C365" s="164"/>
      <c r="D365" s="152"/>
      <c r="E365" s="152" t="s">
        <v>367</v>
      </c>
      <c r="F365" s="152" t="s">
        <v>367</v>
      </c>
      <c r="G365" s="152"/>
      <c r="H365" s="152"/>
      <c r="I365" s="152"/>
      <c r="J365" s="152">
        <v>1899</v>
      </c>
      <c r="K365" s="152">
        <v>12</v>
      </c>
    </row>
    <row r="366" spans="1:11" ht="13.5" customHeight="1" x14ac:dyDescent="0.15">
      <c r="A366" s="141"/>
      <c r="B366" s="148">
        <v>363</v>
      </c>
      <c r="C366" s="163"/>
      <c r="D366" s="151"/>
      <c r="E366" s="151" t="s">
        <v>367</v>
      </c>
      <c r="F366" s="151" t="s">
        <v>367</v>
      </c>
      <c r="G366" s="151"/>
      <c r="H366" s="151"/>
      <c r="I366" s="151"/>
      <c r="J366" s="151">
        <v>1899</v>
      </c>
      <c r="K366" s="151">
        <v>12</v>
      </c>
    </row>
    <row r="367" spans="1:11" ht="13.5" customHeight="1" x14ac:dyDescent="0.15">
      <c r="A367" s="141"/>
      <c r="B367" s="148">
        <v>364</v>
      </c>
      <c r="C367" s="164"/>
      <c r="D367" s="152"/>
      <c r="E367" s="152" t="s">
        <v>367</v>
      </c>
      <c r="F367" s="152" t="s">
        <v>367</v>
      </c>
      <c r="G367" s="152"/>
      <c r="H367" s="152"/>
      <c r="I367" s="152"/>
      <c r="J367" s="152">
        <v>1899</v>
      </c>
      <c r="K367" s="152">
        <v>12</v>
      </c>
    </row>
    <row r="368" spans="1:11" ht="13.5" customHeight="1" x14ac:dyDescent="0.15">
      <c r="A368" s="141"/>
      <c r="B368" s="148">
        <v>365</v>
      </c>
      <c r="C368" s="163"/>
      <c r="D368" s="151"/>
      <c r="E368" s="151" t="s">
        <v>367</v>
      </c>
      <c r="F368" s="151" t="s">
        <v>367</v>
      </c>
      <c r="G368" s="151"/>
      <c r="H368" s="151"/>
      <c r="I368" s="151"/>
      <c r="J368" s="151">
        <v>1899</v>
      </c>
      <c r="K368" s="151">
        <v>12</v>
      </c>
    </row>
    <row r="369" spans="1:11" ht="13.5" customHeight="1" x14ac:dyDescent="0.15">
      <c r="A369" s="141"/>
      <c r="B369" s="148">
        <v>366</v>
      </c>
      <c r="C369" s="164"/>
      <c r="D369" s="152"/>
      <c r="E369" s="152" t="s">
        <v>367</v>
      </c>
      <c r="F369" s="152" t="s">
        <v>367</v>
      </c>
      <c r="G369" s="152"/>
      <c r="H369" s="152"/>
      <c r="I369" s="152"/>
      <c r="J369" s="152">
        <v>1899</v>
      </c>
      <c r="K369" s="152">
        <v>12</v>
      </c>
    </row>
    <row r="370" spans="1:11" ht="13.5" customHeight="1" x14ac:dyDescent="0.15">
      <c r="A370" s="141"/>
      <c r="B370" s="148">
        <v>367</v>
      </c>
      <c r="C370" s="163"/>
      <c r="D370" s="151"/>
      <c r="E370" s="151" t="s">
        <v>367</v>
      </c>
      <c r="F370" s="151" t="s">
        <v>367</v>
      </c>
      <c r="G370" s="151"/>
      <c r="H370" s="151"/>
      <c r="I370" s="151"/>
      <c r="J370" s="151">
        <v>1899</v>
      </c>
      <c r="K370" s="151">
        <v>12</v>
      </c>
    </row>
    <row r="371" spans="1:11" ht="13.5" customHeight="1" x14ac:dyDescent="0.15">
      <c r="A371" s="141"/>
      <c r="B371" s="148">
        <v>368</v>
      </c>
      <c r="C371" s="164"/>
      <c r="D371" s="152"/>
      <c r="E371" s="152" t="s">
        <v>367</v>
      </c>
      <c r="F371" s="152" t="s">
        <v>367</v>
      </c>
      <c r="G371" s="152"/>
      <c r="H371" s="152"/>
      <c r="I371" s="152"/>
      <c r="J371" s="152">
        <v>1899</v>
      </c>
      <c r="K371" s="152">
        <v>12</v>
      </c>
    </row>
    <row r="372" spans="1:11" ht="13.5" customHeight="1" x14ac:dyDescent="0.15">
      <c r="A372" s="141"/>
      <c r="B372" s="148">
        <v>369</v>
      </c>
      <c r="C372" s="163"/>
      <c r="D372" s="151"/>
      <c r="E372" s="151" t="s">
        <v>367</v>
      </c>
      <c r="F372" s="151" t="s">
        <v>367</v>
      </c>
      <c r="G372" s="151"/>
      <c r="H372" s="151"/>
      <c r="I372" s="151"/>
      <c r="J372" s="151">
        <v>1899</v>
      </c>
      <c r="K372" s="151">
        <v>12</v>
      </c>
    </row>
    <row r="373" spans="1:11" ht="13.5" customHeight="1" x14ac:dyDescent="0.15">
      <c r="A373" s="141"/>
      <c r="B373" s="148">
        <v>370</v>
      </c>
      <c r="C373" s="164"/>
      <c r="D373" s="152"/>
      <c r="E373" s="152" t="s">
        <v>367</v>
      </c>
      <c r="F373" s="152" t="s">
        <v>367</v>
      </c>
      <c r="G373" s="152"/>
      <c r="H373" s="152"/>
      <c r="I373" s="152"/>
      <c r="J373" s="152">
        <v>1899</v>
      </c>
      <c r="K373" s="152">
        <v>12</v>
      </c>
    </row>
    <row r="374" spans="1:11" ht="13.5" customHeight="1" x14ac:dyDescent="0.15">
      <c r="A374" s="141"/>
      <c r="B374" s="148">
        <v>371</v>
      </c>
      <c r="C374" s="163"/>
      <c r="D374" s="151"/>
      <c r="E374" s="151" t="s">
        <v>367</v>
      </c>
      <c r="F374" s="151" t="s">
        <v>367</v>
      </c>
      <c r="G374" s="151"/>
      <c r="H374" s="151"/>
      <c r="I374" s="151"/>
      <c r="J374" s="151">
        <v>1899</v>
      </c>
      <c r="K374" s="151">
        <v>12</v>
      </c>
    </row>
    <row r="375" spans="1:11" ht="13.5" customHeight="1" x14ac:dyDescent="0.15">
      <c r="A375" s="141"/>
      <c r="B375" s="148">
        <v>372</v>
      </c>
      <c r="C375" s="164"/>
      <c r="D375" s="152"/>
      <c r="E375" s="152" t="s">
        <v>367</v>
      </c>
      <c r="F375" s="152" t="s">
        <v>367</v>
      </c>
      <c r="G375" s="152"/>
      <c r="H375" s="152"/>
      <c r="I375" s="152"/>
      <c r="J375" s="152">
        <v>1899</v>
      </c>
      <c r="K375" s="152">
        <v>12</v>
      </c>
    </row>
    <row r="376" spans="1:11" ht="13.5" customHeight="1" x14ac:dyDescent="0.15">
      <c r="A376" s="141"/>
      <c r="B376" s="148">
        <v>373</v>
      </c>
      <c r="C376" s="163"/>
      <c r="D376" s="151"/>
      <c r="E376" s="151" t="s">
        <v>367</v>
      </c>
      <c r="F376" s="151" t="s">
        <v>367</v>
      </c>
      <c r="G376" s="151"/>
      <c r="H376" s="151"/>
      <c r="I376" s="151"/>
      <c r="J376" s="151">
        <v>1899</v>
      </c>
      <c r="K376" s="151">
        <v>12</v>
      </c>
    </row>
    <row r="377" spans="1:11" ht="13.5" customHeight="1" x14ac:dyDescent="0.15">
      <c r="A377" s="141"/>
      <c r="B377" s="148">
        <v>374</v>
      </c>
      <c r="C377" s="164"/>
      <c r="D377" s="152"/>
      <c r="E377" s="152" t="s">
        <v>367</v>
      </c>
      <c r="F377" s="152" t="s">
        <v>367</v>
      </c>
      <c r="G377" s="152"/>
      <c r="H377" s="152"/>
      <c r="I377" s="152"/>
      <c r="J377" s="152">
        <v>1899</v>
      </c>
      <c r="K377" s="152">
        <v>12</v>
      </c>
    </row>
    <row r="378" spans="1:11" ht="13.5" customHeight="1" x14ac:dyDescent="0.15">
      <c r="A378" s="141"/>
      <c r="B378" s="148">
        <v>375</v>
      </c>
      <c r="C378" s="163"/>
      <c r="D378" s="151"/>
      <c r="E378" s="151" t="s">
        <v>367</v>
      </c>
      <c r="F378" s="151" t="s">
        <v>367</v>
      </c>
      <c r="G378" s="151"/>
      <c r="H378" s="151"/>
      <c r="I378" s="151"/>
      <c r="J378" s="151">
        <v>1899</v>
      </c>
      <c r="K378" s="151">
        <v>12</v>
      </c>
    </row>
    <row r="379" spans="1:11" ht="13.5" customHeight="1" x14ac:dyDescent="0.15">
      <c r="A379" s="141"/>
      <c r="B379" s="148">
        <v>376</v>
      </c>
      <c r="C379" s="164"/>
      <c r="D379" s="152"/>
      <c r="E379" s="152" t="s">
        <v>367</v>
      </c>
      <c r="F379" s="152" t="s">
        <v>367</v>
      </c>
      <c r="G379" s="152"/>
      <c r="H379" s="152"/>
      <c r="I379" s="152"/>
      <c r="J379" s="152">
        <v>1899</v>
      </c>
      <c r="K379" s="152">
        <v>12</v>
      </c>
    </row>
    <row r="380" spans="1:11" ht="13.5" customHeight="1" x14ac:dyDescent="0.15">
      <c r="A380" s="141"/>
      <c r="B380" s="148">
        <v>377</v>
      </c>
      <c r="C380" s="163"/>
      <c r="D380" s="151"/>
      <c r="E380" s="151" t="s">
        <v>367</v>
      </c>
      <c r="F380" s="151" t="s">
        <v>367</v>
      </c>
      <c r="G380" s="151"/>
      <c r="H380" s="151"/>
      <c r="I380" s="151"/>
      <c r="J380" s="151">
        <v>1899</v>
      </c>
      <c r="K380" s="151">
        <v>12</v>
      </c>
    </row>
    <row r="381" spans="1:11" ht="13.5" customHeight="1" x14ac:dyDescent="0.15">
      <c r="A381" s="141"/>
      <c r="B381" s="148">
        <v>378</v>
      </c>
      <c r="C381" s="164"/>
      <c r="D381" s="152"/>
      <c r="E381" s="152" t="s">
        <v>367</v>
      </c>
      <c r="F381" s="152" t="s">
        <v>367</v>
      </c>
      <c r="G381" s="152"/>
      <c r="H381" s="152"/>
      <c r="I381" s="152"/>
      <c r="J381" s="152">
        <v>1899</v>
      </c>
      <c r="K381" s="152">
        <v>12</v>
      </c>
    </row>
    <row r="382" spans="1:11" ht="13.5" customHeight="1" x14ac:dyDescent="0.15">
      <c r="A382" s="141"/>
      <c r="B382" s="148">
        <v>379</v>
      </c>
      <c r="C382" s="163"/>
      <c r="D382" s="151"/>
      <c r="E382" s="151" t="s">
        <v>367</v>
      </c>
      <c r="F382" s="151" t="s">
        <v>367</v>
      </c>
      <c r="G382" s="151"/>
      <c r="H382" s="151"/>
      <c r="I382" s="151"/>
      <c r="J382" s="151">
        <v>1899</v>
      </c>
      <c r="K382" s="151">
        <v>12</v>
      </c>
    </row>
    <row r="383" spans="1:11" ht="13.5" customHeight="1" x14ac:dyDescent="0.15">
      <c r="A383" s="141"/>
      <c r="B383" s="148">
        <v>380</v>
      </c>
      <c r="C383" s="164"/>
      <c r="D383" s="152"/>
      <c r="E383" s="152" t="s">
        <v>367</v>
      </c>
      <c r="F383" s="152" t="s">
        <v>367</v>
      </c>
      <c r="G383" s="152"/>
      <c r="H383" s="152"/>
      <c r="I383" s="152"/>
      <c r="J383" s="152">
        <v>1899</v>
      </c>
      <c r="K383" s="152">
        <v>12</v>
      </c>
    </row>
    <row r="384" spans="1:11" ht="13.5" customHeight="1" x14ac:dyDescent="0.15">
      <c r="A384" s="141"/>
      <c r="B384" s="148">
        <v>381</v>
      </c>
      <c r="C384" s="163"/>
      <c r="D384" s="151"/>
      <c r="E384" s="151" t="s">
        <v>367</v>
      </c>
      <c r="F384" s="151" t="s">
        <v>367</v>
      </c>
      <c r="G384" s="151"/>
      <c r="H384" s="151"/>
      <c r="I384" s="151"/>
      <c r="J384" s="151">
        <v>1899</v>
      </c>
      <c r="K384" s="151">
        <v>12</v>
      </c>
    </row>
    <row r="385" spans="1:11" ht="13.5" customHeight="1" x14ac:dyDescent="0.15">
      <c r="A385" s="141"/>
      <c r="B385" s="148">
        <v>382</v>
      </c>
      <c r="C385" s="164"/>
      <c r="D385" s="152"/>
      <c r="E385" s="152" t="s">
        <v>367</v>
      </c>
      <c r="F385" s="152" t="s">
        <v>367</v>
      </c>
      <c r="G385" s="152"/>
      <c r="H385" s="152"/>
      <c r="I385" s="152"/>
      <c r="J385" s="152">
        <v>1899</v>
      </c>
      <c r="K385" s="152">
        <v>12</v>
      </c>
    </row>
    <row r="386" spans="1:11" ht="13.5" customHeight="1" x14ac:dyDescent="0.15">
      <c r="A386" s="141"/>
      <c r="B386" s="148">
        <v>383</v>
      </c>
      <c r="C386" s="163"/>
      <c r="D386" s="151"/>
      <c r="E386" s="151" t="s">
        <v>367</v>
      </c>
      <c r="F386" s="151" t="s">
        <v>367</v>
      </c>
      <c r="G386" s="151"/>
      <c r="H386" s="151"/>
      <c r="I386" s="151"/>
      <c r="J386" s="151">
        <v>1899</v>
      </c>
      <c r="K386" s="151">
        <v>12</v>
      </c>
    </row>
    <row r="387" spans="1:11" ht="13.5" customHeight="1" x14ac:dyDescent="0.15">
      <c r="A387" s="141"/>
      <c r="B387" s="148">
        <v>384</v>
      </c>
      <c r="C387" s="164"/>
      <c r="D387" s="152"/>
      <c r="E387" s="152" t="s">
        <v>367</v>
      </c>
      <c r="F387" s="152" t="s">
        <v>367</v>
      </c>
      <c r="G387" s="152"/>
      <c r="H387" s="152"/>
      <c r="I387" s="152"/>
      <c r="J387" s="152">
        <v>1899</v>
      </c>
      <c r="K387" s="152">
        <v>12</v>
      </c>
    </row>
    <row r="388" spans="1:11" ht="13.5" customHeight="1" x14ac:dyDescent="0.15">
      <c r="A388" s="141"/>
      <c r="B388" s="148">
        <v>385</v>
      </c>
      <c r="C388" s="163"/>
      <c r="D388" s="151"/>
      <c r="E388" s="151" t="s">
        <v>367</v>
      </c>
      <c r="F388" s="151" t="s">
        <v>367</v>
      </c>
      <c r="G388" s="151"/>
      <c r="H388" s="151"/>
      <c r="I388" s="151"/>
      <c r="J388" s="151">
        <v>1899</v>
      </c>
      <c r="K388" s="151">
        <v>12</v>
      </c>
    </row>
    <row r="389" spans="1:11" ht="13.5" customHeight="1" x14ac:dyDescent="0.15">
      <c r="A389" s="141"/>
      <c r="B389" s="148">
        <v>386</v>
      </c>
      <c r="C389" s="164"/>
      <c r="D389" s="152"/>
      <c r="E389" s="152" t="s">
        <v>367</v>
      </c>
      <c r="F389" s="152" t="s">
        <v>367</v>
      </c>
      <c r="G389" s="152"/>
      <c r="H389" s="152"/>
      <c r="I389" s="152"/>
      <c r="J389" s="152">
        <v>1899</v>
      </c>
      <c r="K389" s="152">
        <v>12</v>
      </c>
    </row>
    <row r="390" spans="1:11" ht="13.5" customHeight="1" x14ac:dyDescent="0.15">
      <c r="A390" s="141"/>
      <c r="B390" s="148">
        <v>387</v>
      </c>
      <c r="C390" s="163"/>
      <c r="D390" s="151"/>
      <c r="E390" s="151" t="s">
        <v>367</v>
      </c>
      <c r="F390" s="151" t="s">
        <v>367</v>
      </c>
      <c r="G390" s="151"/>
      <c r="H390" s="151"/>
      <c r="I390" s="151"/>
      <c r="J390" s="151">
        <v>1899</v>
      </c>
      <c r="K390" s="151">
        <v>12</v>
      </c>
    </row>
    <row r="391" spans="1:11" ht="13.5" customHeight="1" x14ac:dyDescent="0.15">
      <c r="A391" s="141"/>
      <c r="B391" s="148">
        <v>388</v>
      </c>
      <c r="C391" s="164"/>
      <c r="D391" s="152"/>
      <c r="E391" s="152" t="s">
        <v>367</v>
      </c>
      <c r="F391" s="152" t="s">
        <v>367</v>
      </c>
      <c r="G391" s="152"/>
      <c r="H391" s="152"/>
      <c r="I391" s="152"/>
      <c r="J391" s="152">
        <v>1899</v>
      </c>
      <c r="K391" s="152">
        <v>12</v>
      </c>
    </row>
    <row r="392" spans="1:11" ht="13.5" customHeight="1" x14ac:dyDescent="0.15">
      <c r="A392" s="141"/>
      <c r="B392" s="148">
        <v>389</v>
      </c>
      <c r="C392" s="163"/>
      <c r="D392" s="151"/>
      <c r="E392" s="151" t="s">
        <v>367</v>
      </c>
      <c r="F392" s="151" t="s">
        <v>367</v>
      </c>
      <c r="G392" s="151"/>
      <c r="H392" s="151"/>
      <c r="I392" s="151"/>
      <c r="J392" s="151">
        <v>1899</v>
      </c>
      <c r="K392" s="151">
        <v>12</v>
      </c>
    </row>
    <row r="393" spans="1:11" ht="13.5" customHeight="1" x14ac:dyDescent="0.15">
      <c r="A393" s="141"/>
      <c r="B393" s="148">
        <v>390</v>
      </c>
      <c r="C393" s="164"/>
      <c r="D393" s="152"/>
      <c r="E393" s="152" t="s">
        <v>367</v>
      </c>
      <c r="F393" s="152" t="s">
        <v>367</v>
      </c>
      <c r="G393" s="152"/>
      <c r="H393" s="152"/>
      <c r="I393" s="152"/>
      <c r="J393" s="152">
        <v>1899</v>
      </c>
      <c r="K393" s="152">
        <v>12</v>
      </c>
    </row>
    <row r="394" spans="1:11" ht="13.5" customHeight="1" x14ac:dyDescent="0.15">
      <c r="A394" s="141"/>
      <c r="B394" s="148">
        <v>391</v>
      </c>
      <c r="C394" s="163"/>
      <c r="D394" s="151"/>
      <c r="E394" s="151" t="s">
        <v>367</v>
      </c>
      <c r="F394" s="151" t="s">
        <v>367</v>
      </c>
      <c r="G394" s="151"/>
      <c r="H394" s="151"/>
      <c r="I394" s="151"/>
      <c r="J394" s="151">
        <v>1899</v>
      </c>
      <c r="K394" s="151">
        <v>12</v>
      </c>
    </row>
    <row r="395" spans="1:11" ht="13.5" customHeight="1" x14ac:dyDescent="0.15">
      <c r="A395" s="141"/>
      <c r="B395" s="148">
        <v>392</v>
      </c>
      <c r="C395" s="164"/>
      <c r="D395" s="152"/>
      <c r="E395" s="152" t="s">
        <v>367</v>
      </c>
      <c r="F395" s="152" t="s">
        <v>367</v>
      </c>
      <c r="G395" s="152"/>
      <c r="H395" s="152"/>
      <c r="I395" s="152"/>
      <c r="J395" s="152">
        <v>1899</v>
      </c>
      <c r="K395" s="152">
        <v>12</v>
      </c>
    </row>
    <row r="396" spans="1:11" ht="13.5" customHeight="1" x14ac:dyDescent="0.15">
      <c r="A396" s="141"/>
      <c r="B396" s="148">
        <v>393</v>
      </c>
      <c r="C396" s="163"/>
      <c r="D396" s="151"/>
      <c r="E396" s="151" t="s">
        <v>367</v>
      </c>
      <c r="F396" s="151" t="s">
        <v>367</v>
      </c>
      <c r="G396" s="151"/>
      <c r="H396" s="151"/>
      <c r="I396" s="151"/>
      <c r="J396" s="151">
        <v>1899</v>
      </c>
      <c r="K396" s="151">
        <v>12</v>
      </c>
    </row>
    <row r="397" spans="1:11" ht="13.5" customHeight="1" x14ac:dyDescent="0.15">
      <c r="A397" s="141"/>
      <c r="B397" s="148">
        <v>394</v>
      </c>
      <c r="C397" s="164"/>
      <c r="D397" s="152"/>
      <c r="E397" s="152" t="s">
        <v>367</v>
      </c>
      <c r="F397" s="152" t="s">
        <v>367</v>
      </c>
      <c r="G397" s="152"/>
      <c r="H397" s="152"/>
      <c r="I397" s="152"/>
      <c r="J397" s="152">
        <v>1899</v>
      </c>
      <c r="K397" s="152">
        <v>12</v>
      </c>
    </row>
    <row r="398" spans="1:11" ht="13.5" customHeight="1" x14ac:dyDescent="0.15">
      <c r="A398" s="141"/>
      <c r="B398" s="148">
        <v>395</v>
      </c>
      <c r="C398" s="163"/>
      <c r="D398" s="151"/>
      <c r="E398" s="151" t="s">
        <v>367</v>
      </c>
      <c r="F398" s="151" t="s">
        <v>367</v>
      </c>
      <c r="G398" s="151"/>
      <c r="H398" s="151"/>
      <c r="I398" s="151"/>
      <c r="J398" s="151">
        <v>1899</v>
      </c>
      <c r="K398" s="151">
        <v>12</v>
      </c>
    </row>
    <row r="399" spans="1:11" ht="13.5" customHeight="1" x14ac:dyDescent="0.15">
      <c r="A399" s="141"/>
      <c r="B399" s="148">
        <v>396</v>
      </c>
      <c r="C399" s="164"/>
      <c r="D399" s="152"/>
      <c r="E399" s="152" t="s">
        <v>367</v>
      </c>
      <c r="F399" s="152" t="s">
        <v>367</v>
      </c>
      <c r="G399" s="152"/>
      <c r="H399" s="152"/>
      <c r="I399" s="152"/>
      <c r="J399" s="152">
        <v>1899</v>
      </c>
      <c r="K399" s="152">
        <v>12</v>
      </c>
    </row>
    <row r="400" spans="1:11" ht="13.5" customHeight="1" x14ac:dyDescent="0.15">
      <c r="A400" s="141"/>
      <c r="B400" s="148">
        <v>397</v>
      </c>
      <c r="C400" s="163"/>
      <c r="D400" s="151"/>
      <c r="E400" s="151" t="s">
        <v>367</v>
      </c>
      <c r="F400" s="151" t="s">
        <v>367</v>
      </c>
      <c r="G400" s="151"/>
      <c r="H400" s="151"/>
      <c r="I400" s="151"/>
      <c r="J400" s="151">
        <v>1899</v>
      </c>
      <c r="K400" s="151">
        <v>12</v>
      </c>
    </row>
    <row r="401" spans="1:11" ht="13.5" customHeight="1" x14ac:dyDescent="0.15">
      <c r="A401" s="141"/>
      <c r="B401" s="148">
        <v>398</v>
      </c>
      <c r="C401" s="164"/>
      <c r="D401" s="152"/>
      <c r="E401" s="152" t="s">
        <v>367</v>
      </c>
      <c r="F401" s="152" t="s">
        <v>367</v>
      </c>
      <c r="G401" s="152"/>
      <c r="H401" s="152"/>
      <c r="I401" s="152"/>
      <c r="J401" s="152">
        <v>1899</v>
      </c>
      <c r="K401" s="152">
        <v>12</v>
      </c>
    </row>
    <row r="402" spans="1:11" ht="13.5" customHeight="1" x14ac:dyDescent="0.15">
      <c r="A402" s="141"/>
      <c r="B402" s="148">
        <v>399</v>
      </c>
      <c r="C402" s="163"/>
      <c r="D402" s="151"/>
      <c r="E402" s="151" t="s">
        <v>367</v>
      </c>
      <c r="F402" s="151" t="s">
        <v>367</v>
      </c>
      <c r="G402" s="151"/>
      <c r="H402" s="151"/>
      <c r="I402" s="151"/>
      <c r="J402" s="151">
        <v>1899</v>
      </c>
      <c r="K402" s="151">
        <v>12</v>
      </c>
    </row>
    <row r="403" spans="1:11" ht="13.5" customHeight="1" x14ac:dyDescent="0.15">
      <c r="A403" s="141"/>
      <c r="B403" s="148">
        <v>400</v>
      </c>
      <c r="C403" s="164"/>
      <c r="D403" s="152"/>
      <c r="E403" s="152" t="s">
        <v>367</v>
      </c>
      <c r="F403" s="152" t="s">
        <v>367</v>
      </c>
      <c r="G403" s="152"/>
      <c r="H403" s="152"/>
      <c r="I403" s="152"/>
      <c r="J403" s="152">
        <v>1899</v>
      </c>
      <c r="K403" s="152">
        <v>12</v>
      </c>
    </row>
    <row r="404" spans="1:11" ht="13.5" customHeight="1" x14ac:dyDescent="0.15">
      <c r="A404" s="141"/>
      <c r="B404" s="148">
        <v>401</v>
      </c>
      <c r="C404" s="163"/>
      <c r="D404" s="151"/>
      <c r="E404" s="151" t="s">
        <v>367</v>
      </c>
      <c r="F404" s="151" t="s">
        <v>367</v>
      </c>
      <c r="G404" s="151"/>
      <c r="H404" s="151"/>
      <c r="I404" s="151"/>
      <c r="J404" s="151">
        <v>1899</v>
      </c>
      <c r="K404" s="151">
        <v>12</v>
      </c>
    </row>
    <row r="405" spans="1:11" ht="13.5" customHeight="1" x14ac:dyDescent="0.15">
      <c r="A405" s="141"/>
      <c r="B405" s="148">
        <v>402</v>
      </c>
      <c r="C405" s="164"/>
      <c r="D405" s="152"/>
      <c r="E405" s="152" t="s">
        <v>367</v>
      </c>
      <c r="F405" s="152" t="s">
        <v>367</v>
      </c>
      <c r="G405" s="152"/>
      <c r="H405" s="152"/>
      <c r="I405" s="152"/>
      <c r="J405" s="152">
        <v>1899</v>
      </c>
      <c r="K405" s="152">
        <v>12</v>
      </c>
    </row>
    <row r="406" spans="1:11" ht="13.5" customHeight="1" x14ac:dyDescent="0.15">
      <c r="A406" s="141"/>
      <c r="B406" s="148">
        <v>403</v>
      </c>
      <c r="C406" s="163"/>
      <c r="D406" s="151"/>
      <c r="E406" s="151" t="s">
        <v>367</v>
      </c>
      <c r="F406" s="151" t="s">
        <v>367</v>
      </c>
      <c r="G406" s="151"/>
      <c r="H406" s="151"/>
      <c r="I406" s="151"/>
      <c r="J406" s="151">
        <v>1899</v>
      </c>
      <c r="K406" s="151">
        <v>12</v>
      </c>
    </row>
    <row r="407" spans="1:11" ht="13.5" customHeight="1" x14ac:dyDescent="0.15">
      <c r="A407" s="141"/>
      <c r="B407" s="148">
        <v>404</v>
      </c>
      <c r="C407" s="164"/>
      <c r="D407" s="152"/>
      <c r="E407" s="152" t="s">
        <v>367</v>
      </c>
      <c r="F407" s="152" t="s">
        <v>367</v>
      </c>
      <c r="G407" s="152"/>
      <c r="H407" s="152"/>
      <c r="I407" s="152"/>
      <c r="J407" s="152">
        <v>1899</v>
      </c>
      <c r="K407" s="152">
        <v>12</v>
      </c>
    </row>
    <row r="408" spans="1:11" ht="13.5" customHeight="1" x14ac:dyDescent="0.15">
      <c r="A408" s="141"/>
      <c r="B408" s="148">
        <v>405</v>
      </c>
      <c r="C408" s="163"/>
      <c r="D408" s="151"/>
      <c r="E408" s="151" t="s">
        <v>367</v>
      </c>
      <c r="F408" s="151" t="s">
        <v>367</v>
      </c>
      <c r="G408" s="151"/>
      <c r="H408" s="151"/>
      <c r="I408" s="151"/>
      <c r="J408" s="151">
        <v>1899</v>
      </c>
      <c r="K408" s="151">
        <v>12</v>
      </c>
    </row>
    <row r="409" spans="1:11" ht="13.5" customHeight="1" x14ac:dyDescent="0.15">
      <c r="A409" s="141"/>
      <c r="B409" s="148">
        <v>406</v>
      </c>
      <c r="C409" s="164"/>
      <c r="D409" s="152"/>
      <c r="E409" s="152" t="s">
        <v>367</v>
      </c>
      <c r="F409" s="152" t="s">
        <v>367</v>
      </c>
      <c r="G409" s="152"/>
      <c r="H409" s="152"/>
      <c r="I409" s="152"/>
      <c r="J409" s="152">
        <v>1899</v>
      </c>
      <c r="K409" s="152">
        <v>12</v>
      </c>
    </row>
    <row r="410" spans="1:11" ht="13.5" customHeight="1" x14ac:dyDescent="0.15">
      <c r="A410" s="141"/>
      <c r="B410" s="148">
        <v>407</v>
      </c>
      <c r="C410" s="163"/>
      <c r="D410" s="151"/>
      <c r="E410" s="151" t="s">
        <v>367</v>
      </c>
      <c r="F410" s="151" t="s">
        <v>367</v>
      </c>
      <c r="G410" s="151"/>
      <c r="H410" s="151"/>
      <c r="I410" s="151"/>
      <c r="J410" s="151">
        <v>1899</v>
      </c>
      <c r="K410" s="151">
        <v>12</v>
      </c>
    </row>
    <row r="411" spans="1:11" ht="13.5" customHeight="1" x14ac:dyDescent="0.15">
      <c r="A411" s="141"/>
      <c r="B411" s="148">
        <v>408</v>
      </c>
      <c r="C411" s="164"/>
      <c r="D411" s="152"/>
      <c r="E411" s="152" t="s">
        <v>367</v>
      </c>
      <c r="F411" s="152" t="s">
        <v>367</v>
      </c>
      <c r="G411" s="152"/>
      <c r="H411" s="152"/>
      <c r="I411" s="152"/>
      <c r="J411" s="152">
        <v>1899</v>
      </c>
      <c r="K411" s="152">
        <v>12</v>
      </c>
    </row>
    <row r="412" spans="1:11" ht="13.5" customHeight="1" x14ac:dyDescent="0.15">
      <c r="A412" s="141"/>
      <c r="B412" s="148">
        <v>409</v>
      </c>
      <c r="C412" s="163"/>
      <c r="D412" s="151"/>
      <c r="E412" s="151" t="s">
        <v>367</v>
      </c>
      <c r="F412" s="151" t="s">
        <v>367</v>
      </c>
      <c r="G412" s="151"/>
      <c r="H412" s="151"/>
      <c r="I412" s="151"/>
      <c r="J412" s="151">
        <v>1899</v>
      </c>
      <c r="K412" s="151">
        <v>12</v>
      </c>
    </row>
    <row r="413" spans="1:11" ht="13.5" customHeight="1" x14ac:dyDescent="0.15">
      <c r="A413" s="141"/>
      <c r="B413" s="148">
        <v>410</v>
      </c>
      <c r="C413" s="164"/>
      <c r="D413" s="152"/>
      <c r="E413" s="152" t="s">
        <v>367</v>
      </c>
      <c r="F413" s="152" t="s">
        <v>367</v>
      </c>
      <c r="G413" s="152"/>
      <c r="H413" s="152"/>
      <c r="I413" s="152"/>
      <c r="J413" s="152">
        <v>1899</v>
      </c>
      <c r="K413" s="152">
        <v>12</v>
      </c>
    </row>
    <row r="414" spans="1:11" ht="13.5" customHeight="1" x14ac:dyDescent="0.15">
      <c r="A414" s="141"/>
      <c r="B414" s="148">
        <v>411</v>
      </c>
      <c r="C414" s="163"/>
      <c r="D414" s="151"/>
      <c r="E414" s="151" t="s">
        <v>367</v>
      </c>
      <c r="F414" s="151" t="s">
        <v>367</v>
      </c>
      <c r="G414" s="151"/>
      <c r="H414" s="151"/>
      <c r="I414" s="151"/>
      <c r="J414" s="151">
        <v>1899</v>
      </c>
      <c r="K414" s="151">
        <v>12</v>
      </c>
    </row>
    <row r="415" spans="1:11" ht="13.5" customHeight="1" x14ac:dyDescent="0.15">
      <c r="A415" s="141"/>
      <c r="B415" s="148">
        <v>412</v>
      </c>
      <c r="C415" s="164"/>
      <c r="D415" s="152"/>
      <c r="E415" s="152" t="s">
        <v>367</v>
      </c>
      <c r="F415" s="152" t="s">
        <v>367</v>
      </c>
      <c r="G415" s="152"/>
      <c r="H415" s="152"/>
      <c r="I415" s="152"/>
      <c r="J415" s="152">
        <v>1899</v>
      </c>
      <c r="K415" s="152">
        <v>12</v>
      </c>
    </row>
    <row r="416" spans="1:11" ht="13.5" customHeight="1" x14ac:dyDescent="0.15">
      <c r="A416" s="141"/>
      <c r="B416" s="148">
        <v>413</v>
      </c>
      <c r="C416" s="163"/>
      <c r="D416" s="151"/>
      <c r="E416" s="151" t="s">
        <v>367</v>
      </c>
      <c r="F416" s="151" t="s">
        <v>367</v>
      </c>
      <c r="G416" s="151"/>
      <c r="H416" s="151"/>
      <c r="I416" s="151"/>
      <c r="J416" s="151">
        <v>1899</v>
      </c>
      <c r="K416" s="151">
        <v>12</v>
      </c>
    </row>
    <row r="417" spans="1:11" ht="13.5" customHeight="1" x14ac:dyDescent="0.15">
      <c r="A417" s="141"/>
      <c r="B417" s="148">
        <v>414</v>
      </c>
      <c r="C417" s="164"/>
      <c r="D417" s="152"/>
      <c r="E417" s="152" t="s">
        <v>367</v>
      </c>
      <c r="F417" s="152" t="s">
        <v>367</v>
      </c>
      <c r="G417" s="152"/>
      <c r="H417" s="152"/>
      <c r="I417" s="152"/>
      <c r="J417" s="152">
        <v>1899</v>
      </c>
      <c r="K417" s="152">
        <v>12</v>
      </c>
    </row>
    <row r="418" spans="1:11" ht="13.5" customHeight="1" x14ac:dyDescent="0.15">
      <c r="A418" s="141"/>
      <c r="B418" s="148">
        <v>415</v>
      </c>
      <c r="C418" s="163"/>
      <c r="D418" s="151"/>
      <c r="E418" s="151" t="s">
        <v>367</v>
      </c>
      <c r="F418" s="151" t="s">
        <v>367</v>
      </c>
      <c r="G418" s="151"/>
      <c r="H418" s="151"/>
      <c r="I418" s="151"/>
      <c r="J418" s="151">
        <v>1899</v>
      </c>
      <c r="K418" s="151">
        <v>12</v>
      </c>
    </row>
    <row r="419" spans="1:11" ht="13.5" customHeight="1" x14ac:dyDescent="0.15">
      <c r="A419" s="141"/>
      <c r="B419" s="148">
        <v>416</v>
      </c>
      <c r="C419" s="164"/>
      <c r="D419" s="152"/>
      <c r="E419" s="152" t="s">
        <v>367</v>
      </c>
      <c r="F419" s="152" t="s">
        <v>367</v>
      </c>
      <c r="G419" s="152"/>
      <c r="H419" s="152"/>
      <c r="I419" s="152"/>
      <c r="J419" s="152">
        <v>1899</v>
      </c>
      <c r="K419" s="152">
        <v>12</v>
      </c>
    </row>
    <row r="420" spans="1:11" ht="13.5" customHeight="1" x14ac:dyDescent="0.15">
      <c r="A420" s="141"/>
      <c r="B420" s="148">
        <v>417</v>
      </c>
      <c r="C420" s="163"/>
      <c r="D420" s="151"/>
      <c r="E420" s="151" t="s">
        <v>367</v>
      </c>
      <c r="F420" s="151" t="s">
        <v>367</v>
      </c>
      <c r="G420" s="151"/>
      <c r="H420" s="151"/>
      <c r="I420" s="151"/>
      <c r="J420" s="151">
        <v>1899</v>
      </c>
      <c r="K420" s="151">
        <v>12</v>
      </c>
    </row>
    <row r="421" spans="1:11" ht="13.5" customHeight="1" x14ac:dyDescent="0.15">
      <c r="A421" s="141"/>
      <c r="B421" s="148">
        <v>418</v>
      </c>
      <c r="C421" s="164"/>
      <c r="D421" s="152"/>
      <c r="E421" s="152" t="s">
        <v>367</v>
      </c>
      <c r="F421" s="152" t="s">
        <v>367</v>
      </c>
      <c r="G421" s="152"/>
      <c r="H421" s="152"/>
      <c r="I421" s="152"/>
      <c r="J421" s="152">
        <v>1899</v>
      </c>
      <c r="K421" s="152">
        <v>12</v>
      </c>
    </row>
    <row r="422" spans="1:11" ht="13.5" customHeight="1" x14ac:dyDescent="0.15">
      <c r="A422" s="141"/>
      <c r="B422" s="148">
        <v>419</v>
      </c>
      <c r="C422" s="163"/>
      <c r="D422" s="151"/>
      <c r="E422" s="151" t="s">
        <v>367</v>
      </c>
      <c r="F422" s="151" t="s">
        <v>367</v>
      </c>
      <c r="G422" s="151"/>
      <c r="H422" s="151"/>
      <c r="I422" s="151"/>
      <c r="J422" s="151">
        <v>1899</v>
      </c>
      <c r="K422" s="151">
        <v>12</v>
      </c>
    </row>
    <row r="423" spans="1:11" ht="13.5" customHeight="1" x14ac:dyDescent="0.15">
      <c r="A423" s="141"/>
      <c r="B423" s="148">
        <v>420</v>
      </c>
      <c r="C423" s="164"/>
      <c r="D423" s="152"/>
      <c r="E423" s="152" t="s">
        <v>367</v>
      </c>
      <c r="F423" s="152" t="s">
        <v>367</v>
      </c>
      <c r="G423" s="152"/>
      <c r="H423" s="152"/>
      <c r="I423" s="152"/>
      <c r="J423" s="152">
        <v>1899</v>
      </c>
      <c r="K423" s="152">
        <v>12</v>
      </c>
    </row>
    <row r="424" spans="1:11" ht="13.5" customHeight="1" x14ac:dyDescent="0.15">
      <c r="A424" s="141"/>
      <c r="B424" s="148">
        <v>421</v>
      </c>
      <c r="C424" s="163"/>
      <c r="D424" s="151"/>
      <c r="E424" s="151" t="s">
        <v>367</v>
      </c>
      <c r="F424" s="151" t="s">
        <v>367</v>
      </c>
      <c r="G424" s="151"/>
      <c r="H424" s="151"/>
      <c r="I424" s="151"/>
      <c r="J424" s="151">
        <v>1899</v>
      </c>
      <c r="K424" s="151">
        <v>12</v>
      </c>
    </row>
    <row r="425" spans="1:11" ht="13.5" customHeight="1" x14ac:dyDescent="0.15">
      <c r="A425" s="141"/>
      <c r="B425" s="148">
        <v>422</v>
      </c>
      <c r="C425" s="164"/>
      <c r="D425" s="152"/>
      <c r="E425" s="152" t="s">
        <v>367</v>
      </c>
      <c r="F425" s="152" t="s">
        <v>367</v>
      </c>
      <c r="G425" s="152"/>
      <c r="H425" s="152"/>
      <c r="I425" s="152"/>
      <c r="J425" s="152">
        <v>1899</v>
      </c>
      <c r="K425" s="152">
        <v>12</v>
      </c>
    </row>
    <row r="426" spans="1:11" ht="13.5" customHeight="1" x14ac:dyDescent="0.15">
      <c r="A426" s="141"/>
      <c r="B426" s="148">
        <v>423</v>
      </c>
      <c r="C426" s="163"/>
      <c r="D426" s="151"/>
      <c r="E426" s="151" t="s">
        <v>367</v>
      </c>
      <c r="F426" s="151" t="s">
        <v>367</v>
      </c>
      <c r="G426" s="151"/>
      <c r="H426" s="151"/>
      <c r="I426" s="151"/>
      <c r="J426" s="151">
        <v>1899</v>
      </c>
      <c r="K426" s="151">
        <v>12</v>
      </c>
    </row>
    <row r="427" spans="1:11" ht="13.5" customHeight="1" x14ac:dyDescent="0.15">
      <c r="A427" s="141"/>
      <c r="B427" s="148">
        <v>424</v>
      </c>
      <c r="C427" s="164"/>
      <c r="D427" s="152"/>
      <c r="E427" s="152" t="s">
        <v>367</v>
      </c>
      <c r="F427" s="152" t="s">
        <v>367</v>
      </c>
      <c r="G427" s="152"/>
      <c r="H427" s="152"/>
      <c r="I427" s="152"/>
      <c r="J427" s="152">
        <v>1899</v>
      </c>
      <c r="K427" s="152">
        <v>12</v>
      </c>
    </row>
    <row r="428" spans="1:11" ht="13.5" customHeight="1" x14ac:dyDescent="0.15">
      <c r="A428" s="141"/>
      <c r="B428" s="148">
        <v>425</v>
      </c>
      <c r="C428" s="163"/>
      <c r="D428" s="151"/>
      <c r="E428" s="151" t="s">
        <v>367</v>
      </c>
      <c r="F428" s="151" t="s">
        <v>367</v>
      </c>
      <c r="G428" s="151"/>
      <c r="H428" s="151"/>
      <c r="I428" s="151"/>
      <c r="J428" s="151">
        <v>1899</v>
      </c>
      <c r="K428" s="151">
        <v>12</v>
      </c>
    </row>
    <row r="429" spans="1:11" ht="13.5" customHeight="1" x14ac:dyDescent="0.15">
      <c r="A429" s="141"/>
      <c r="B429" s="148">
        <v>426</v>
      </c>
      <c r="C429" s="164"/>
      <c r="D429" s="152"/>
      <c r="E429" s="152" t="s">
        <v>367</v>
      </c>
      <c r="F429" s="152" t="s">
        <v>367</v>
      </c>
      <c r="G429" s="152"/>
      <c r="H429" s="152"/>
      <c r="I429" s="152"/>
      <c r="J429" s="152">
        <v>1899</v>
      </c>
      <c r="K429" s="152">
        <v>12</v>
      </c>
    </row>
    <row r="430" spans="1:11" ht="13.5" customHeight="1" x14ac:dyDescent="0.15">
      <c r="A430" s="141"/>
      <c r="B430" s="148">
        <v>427</v>
      </c>
      <c r="C430" s="163"/>
      <c r="D430" s="151"/>
      <c r="E430" s="151" t="s">
        <v>367</v>
      </c>
      <c r="F430" s="151" t="s">
        <v>367</v>
      </c>
      <c r="G430" s="151"/>
      <c r="H430" s="151"/>
      <c r="I430" s="151"/>
      <c r="J430" s="151">
        <v>1899</v>
      </c>
      <c r="K430" s="151">
        <v>12</v>
      </c>
    </row>
    <row r="431" spans="1:11" ht="13.5" customHeight="1" x14ac:dyDescent="0.15">
      <c r="A431" s="141"/>
      <c r="B431" s="148">
        <v>428</v>
      </c>
      <c r="C431" s="164"/>
      <c r="D431" s="152"/>
      <c r="E431" s="152" t="s">
        <v>367</v>
      </c>
      <c r="F431" s="152" t="s">
        <v>367</v>
      </c>
      <c r="G431" s="152"/>
      <c r="H431" s="152"/>
      <c r="I431" s="152"/>
      <c r="J431" s="152">
        <v>1899</v>
      </c>
      <c r="K431" s="152">
        <v>12</v>
      </c>
    </row>
    <row r="432" spans="1:11" ht="13.5" customHeight="1" x14ac:dyDescent="0.15">
      <c r="A432" s="141"/>
      <c r="B432" s="148">
        <v>429</v>
      </c>
      <c r="C432" s="163"/>
      <c r="D432" s="151"/>
      <c r="E432" s="151" t="s">
        <v>367</v>
      </c>
      <c r="F432" s="151" t="s">
        <v>367</v>
      </c>
      <c r="G432" s="151"/>
      <c r="H432" s="151"/>
      <c r="I432" s="151"/>
      <c r="J432" s="151">
        <v>1899</v>
      </c>
      <c r="K432" s="151">
        <v>12</v>
      </c>
    </row>
    <row r="433" spans="1:11" ht="13.5" customHeight="1" x14ac:dyDescent="0.15">
      <c r="A433" s="141"/>
      <c r="B433" s="148">
        <v>430</v>
      </c>
      <c r="C433" s="164"/>
      <c r="D433" s="152"/>
      <c r="E433" s="152" t="s">
        <v>367</v>
      </c>
      <c r="F433" s="152" t="s">
        <v>367</v>
      </c>
      <c r="G433" s="152"/>
      <c r="H433" s="152"/>
      <c r="I433" s="152"/>
      <c r="J433" s="152">
        <v>1899</v>
      </c>
      <c r="K433" s="152">
        <v>12</v>
      </c>
    </row>
    <row r="434" spans="1:11" ht="13.5" customHeight="1" x14ac:dyDescent="0.15">
      <c r="A434" s="141"/>
      <c r="B434" s="148">
        <v>431</v>
      </c>
      <c r="C434" s="163"/>
      <c r="D434" s="151"/>
      <c r="E434" s="151" t="s">
        <v>367</v>
      </c>
      <c r="F434" s="151" t="s">
        <v>367</v>
      </c>
      <c r="G434" s="151"/>
      <c r="H434" s="151"/>
      <c r="I434" s="151"/>
      <c r="J434" s="151">
        <v>1899</v>
      </c>
      <c r="K434" s="151">
        <v>12</v>
      </c>
    </row>
    <row r="435" spans="1:11" ht="13.5" customHeight="1" x14ac:dyDescent="0.15">
      <c r="A435" s="141"/>
      <c r="B435" s="148">
        <v>432</v>
      </c>
      <c r="C435" s="164"/>
      <c r="D435" s="152"/>
      <c r="E435" s="152" t="s">
        <v>367</v>
      </c>
      <c r="F435" s="152" t="s">
        <v>367</v>
      </c>
      <c r="G435" s="152"/>
      <c r="H435" s="152"/>
      <c r="I435" s="152"/>
      <c r="J435" s="152">
        <v>1899</v>
      </c>
      <c r="K435" s="152">
        <v>12</v>
      </c>
    </row>
    <row r="436" spans="1:11" ht="13.5" customHeight="1" x14ac:dyDescent="0.15">
      <c r="A436" s="141"/>
      <c r="B436" s="148">
        <v>433</v>
      </c>
      <c r="C436" s="163"/>
      <c r="D436" s="151"/>
      <c r="E436" s="151" t="s">
        <v>367</v>
      </c>
      <c r="F436" s="151" t="s">
        <v>367</v>
      </c>
      <c r="G436" s="151"/>
      <c r="H436" s="151"/>
      <c r="I436" s="151"/>
      <c r="J436" s="151">
        <v>1899</v>
      </c>
      <c r="K436" s="151">
        <v>12</v>
      </c>
    </row>
    <row r="437" spans="1:11" ht="13.5" customHeight="1" x14ac:dyDescent="0.15">
      <c r="A437" s="141"/>
      <c r="B437" s="148">
        <v>434</v>
      </c>
      <c r="C437" s="164"/>
      <c r="D437" s="152"/>
      <c r="E437" s="152" t="s">
        <v>367</v>
      </c>
      <c r="F437" s="152" t="s">
        <v>367</v>
      </c>
      <c r="G437" s="152"/>
      <c r="H437" s="152"/>
      <c r="I437" s="152"/>
      <c r="J437" s="152">
        <v>1899</v>
      </c>
      <c r="K437" s="152">
        <v>12</v>
      </c>
    </row>
    <row r="438" spans="1:11" ht="13.5" customHeight="1" x14ac:dyDescent="0.15">
      <c r="A438" s="141"/>
      <c r="B438" s="148">
        <v>435</v>
      </c>
      <c r="C438" s="163"/>
      <c r="D438" s="151"/>
      <c r="E438" s="151" t="s">
        <v>367</v>
      </c>
      <c r="F438" s="151" t="s">
        <v>367</v>
      </c>
      <c r="G438" s="151"/>
      <c r="H438" s="151"/>
      <c r="I438" s="151"/>
      <c r="J438" s="151">
        <v>1899</v>
      </c>
      <c r="K438" s="151">
        <v>12</v>
      </c>
    </row>
    <row r="439" spans="1:11" ht="13.5" customHeight="1" x14ac:dyDescent="0.15">
      <c r="A439" s="141"/>
      <c r="B439" s="148">
        <v>436</v>
      </c>
      <c r="C439" s="164"/>
      <c r="D439" s="152"/>
      <c r="E439" s="152" t="s">
        <v>367</v>
      </c>
      <c r="F439" s="152" t="s">
        <v>367</v>
      </c>
      <c r="G439" s="152"/>
      <c r="H439" s="152"/>
      <c r="I439" s="152"/>
      <c r="J439" s="152">
        <v>1899</v>
      </c>
      <c r="K439" s="152">
        <v>12</v>
      </c>
    </row>
    <row r="440" spans="1:11" ht="13.5" customHeight="1" x14ac:dyDescent="0.15">
      <c r="A440" s="141"/>
      <c r="B440" s="148">
        <v>437</v>
      </c>
      <c r="C440" s="163"/>
      <c r="D440" s="151"/>
      <c r="E440" s="151" t="s">
        <v>367</v>
      </c>
      <c r="F440" s="151" t="s">
        <v>367</v>
      </c>
      <c r="G440" s="151"/>
      <c r="H440" s="151"/>
      <c r="I440" s="151"/>
      <c r="J440" s="151">
        <v>1899</v>
      </c>
      <c r="K440" s="151">
        <v>12</v>
      </c>
    </row>
    <row r="441" spans="1:11" ht="13.5" customHeight="1" x14ac:dyDescent="0.15">
      <c r="A441" s="141"/>
      <c r="B441" s="148">
        <v>438</v>
      </c>
      <c r="C441" s="164"/>
      <c r="D441" s="152"/>
      <c r="E441" s="152" t="s">
        <v>367</v>
      </c>
      <c r="F441" s="152" t="s">
        <v>367</v>
      </c>
      <c r="G441" s="152"/>
      <c r="H441" s="152"/>
      <c r="I441" s="152"/>
      <c r="J441" s="152">
        <v>1899</v>
      </c>
      <c r="K441" s="152">
        <v>12</v>
      </c>
    </row>
    <row r="442" spans="1:11" ht="13.5" customHeight="1" x14ac:dyDescent="0.15">
      <c r="A442" s="141"/>
      <c r="B442" s="148">
        <v>439</v>
      </c>
      <c r="C442" s="163"/>
      <c r="D442" s="151"/>
      <c r="E442" s="151" t="s">
        <v>367</v>
      </c>
      <c r="F442" s="151" t="s">
        <v>367</v>
      </c>
      <c r="G442" s="151"/>
      <c r="H442" s="151"/>
      <c r="I442" s="151"/>
      <c r="J442" s="151">
        <v>1899</v>
      </c>
      <c r="K442" s="151">
        <v>12</v>
      </c>
    </row>
    <row r="443" spans="1:11" ht="13.5" customHeight="1" x14ac:dyDescent="0.15">
      <c r="A443" s="141"/>
      <c r="B443" s="148">
        <v>440</v>
      </c>
      <c r="C443" s="164"/>
      <c r="D443" s="152"/>
      <c r="E443" s="152" t="s">
        <v>367</v>
      </c>
      <c r="F443" s="152" t="s">
        <v>367</v>
      </c>
      <c r="G443" s="152"/>
      <c r="H443" s="152"/>
      <c r="I443" s="152"/>
      <c r="J443" s="152">
        <v>1899</v>
      </c>
      <c r="K443" s="152">
        <v>12</v>
      </c>
    </row>
    <row r="444" spans="1:11" ht="13.5" customHeight="1" x14ac:dyDescent="0.15">
      <c r="A444" s="141"/>
      <c r="B444" s="148">
        <v>441</v>
      </c>
      <c r="C444" s="163"/>
      <c r="D444" s="151"/>
      <c r="E444" s="151" t="s">
        <v>367</v>
      </c>
      <c r="F444" s="151" t="s">
        <v>367</v>
      </c>
      <c r="G444" s="151"/>
      <c r="H444" s="151"/>
      <c r="I444" s="151"/>
      <c r="J444" s="151">
        <v>1899</v>
      </c>
      <c r="K444" s="151">
        <v>12</v>
      </c>
    </row>
    <row r="445" spans="1:11" ht="13.5" customHeight="1" x14ac:dyDescent="0.15">
      <c r="A445" s="141"/>
      <c r="B445" s="148">
        <v>442</v>
      </c>
      <c r="C445" s="164"/>
      <c r="D445" s="152"/>
      <c r="E445" s="152" t="s">
        <v>367</v>
      </c>
      <c r="F445" s="152" t="s">
        <v>367</v>
      </c>
      <c r="G445" s="152"/>
      <c r="H445" s="152"/>
      <c r="I445" s="152"/>
      <c r="J445" s="152">
        <v>1899</v>
      </c>
      <c r="K445" s="152">
        <v>12</v>
      </c>
    </row>
    <row r="446" spans="1:11" ht="13.5" customHeight="1" x14ac:dyDescent="0.15">
      <c r="A446" s="141"/>
      <c r="B446" s="148">
        <v>443</v>
      </c>
      <c r="C446" s="163"/>
      <c r="D446" s="151"/>
      <c r="E446" s="151" t="s">
        <v>367</v>
      </c>
      <c r="F446" s="151" t="s">
        <v>367</v>
      </c>
      <c r="G446" s="151"/>
      <c r="H446" s="151"/>
      <c r="I446" s="151"/>
      <c r="J446" s="151">
        <v>1899</v>
      </c>
      <c r="K446" s="151">
        <v>12</v>
      </c>
    </row>
    <row r="447" spans="1:11" ht="13.5" customHeight="1" x14ac:dyDescent="0.15">
      <c r="A447" s="141"/>
      <c r="B447" s="148">
        <v>444</v>
      </c>
      <c r="C447" s="164"/>
      <c r="D447" s="152"/>
      <c r="E447" s="152" t="s">
        <v>367</v>
      </c>
      <c r="F447" s="152" t="s">
        <v>367</v>
      </c>
      <c r="G447" s="152"/>
      <c r="H447" s="152"/>
      <c r="I447" s="152"/>
      <c r="J447" s="152">
        <v>1899</v>
      </c>
      <c r="K447" s="152">
        <v>12</v>
      </c>
    </row>
    <row r="448" spans="1:11" ht="13.5" customHeight="1" x14ac:dyDescent="0.15">
      <c r="A448" s="141"/>
      <c r="B448" s="148">
        <v>445</v>
      </c>
      <c r="C448" s="163"/>
      <c r="D448" s="151"/>
      <c r="E448" s="151" t="s">
        <v>367</v>
      </c>
      <c r="F448" s="151" t="s">
        <v>367</v>
      </c>
      <c r="G448" s="151"/>
      <c r="H448" s="151"/>
      <c r="I448" s="151"/>
      <c r="J448" s="151">
        <v>1899</v>
      </c>
      <c r="K448" s="151">
        <v>12</v>
      </c>
    </row>
    <row r="449" spans="1:11" ht="13.5" customHeight="1" x14ac:dyDescent="0.15">
      <c r="A449" s="141"/>
      <c r="B449" s="148">
        <v>446</v>
      </c>
      <c r="C449" s="164"/>
      <c r="D449" s="152"/>
      <c r="E449" s="152" t="s">
        <v>367</v>
      </c>
      <c r="F449" s="152" t="s">
        <v>367</v>
      </c>
      <c r="G449" s="152"/>
      <c r="H449" s="152"/>
      <c r="I449" s="152"/>
      <c r="J449" s="152">
        <v>1899</v>
      </c>
      <c r="K449" s="152">
        <v>12</v>
      </c>
    </row>
    <row r="450" spans="1:11" ht="13.5" customHeight="1" x14ac:dyDescent="0.15">
      <c r="A450" s="141"/>
      <c r="B450" s="148">
        <v>447</v>
      </c>
      <c r="C450" s="163"/>
      <c r="D450" s="151"/>
      <c r="E450" s="151" t="s">
        <v>367</v>
      </c>
      <c r="F450" s="151" t="s">
        <v>367</v>
      </c>
      <c r="G450" s="151"/>
      <c r="H450" s="151"/>
      <c r="I450" s="151"/>
      <c r="J450" s="151">
        <v>1899</v>
      </c>
      <c r="K450" s="151">
        <v>12</v>
      </c>
    </row>
    <row r="451" spans="1:11" ht="13.5" customHeight="1" x14ac:dyDescent="0.15">
      <c r="A451" s="141"/>
      <c r="B451" s="148">
        <v>448</v>
      </c>
      <c r="C451" s="164"/>
      <c r="D451" s="152"/>
      <c r="E451" s="152" t="s">
        <v>367</v>
      </c>
      <c r="F451" s="152" t="s">
        <v>367</v>
      </c>
      <c r="G451" s="152"/>
      <c r="H451" s="152"/>
      <c r="I451" s="152"/>
      <c r="J451" s="152">
        <v>1899</v>
      </c>
      <c r="K451" s="152">
        <v>12</v>
      </c>
    </row>
    <row r="452" spans="1:11" ht="13.5" customHeight="1" x14ac:dyDescent="0.15">
      <c r="A452" s="141"/>
      <c r="B452" s="148">
        <v>449</v>
      </c>
      <c r="C452" s="163"/>
      <c r="D452" s="151"/>
      <c r="E452" s="151" t="s">
        <v>367</v>
      </c>
      <c r="F452" s="151" t="s">
        <v>367</v>
      </c>
      <c r="G452" s="151"/>
      <c r="H452" s="151"/>
      <c r="I452" s="151"/>
      <c r="J452" s="151">
        <v>1899</v>
      </c>
      <c r="K452" s="151">
        <v>12</v>
      </c>
    </row>
    <row r="453" spans="1:11" ht="13.5" customHeight="1" x14ac:dyDescent="0.15">
      <c r="A453" s="141"/>
      <c r="B453" s="148">
        <v>450</v>
      </c>
      <c r="C453" s="164"/>
      <c r="D453" s="152"/>
      <c r="E453" s="152" t="s">
        <v>367</v>
      </c>
      <c r="F453" s="152" t="s">
        <v>367</v>
      </c>
      <c r="G453" s="152"/>
      <c r="H453" s="152"/>
      <c r="I453" s="152"/>
      <c r="J453" s="152">
        <v>1899</v>
      </c>
      <c r="K453" s="152">
        <v>12</v>
      </c>
    </row>
    <row r="454" spans="1:11" ht="13.5" customHeight="1" x14ac:dyDescent="0.15">
      <c r="A454" s="141"/>
      <c r="B454" s="148">
        <v>451</v>
      </c>
      <c r="C454" s="163"/>
      <c r="D454" s="151"/>
      <c r="E454" s="151" t="s">
        <v>367</v>
      </c>
      <c r="F454" s="151" t="s">
        <v>367</v>
      </c>
      <c r="G454" s="151"/>
      <c r="H454" s="151"/>
      <c r="I454" s="151"/>
      <c r="J454" s="151">
        <v>1899</v>
      </c>
      <c r="K454" s="151">
        <v>12</v>
      </c>
    </row>
    <row r="455" spans="1:11" ht="13.5" customHeight="1" x14ac:dyDescent="0.15">
      <c r="A455" s="141"/>
      <c r="B455" s="148">
        <v>452</v>
      </c>
      <c r="C455" s="164"/>
      <c r="D455" s="152"/>
      <c r="E455" s="152" t="s">
        <v>367</v>
      </c>
      <c r="F455" s="152" t="s">
        <v>367</v>
      </c>
      <c r="G455" s="152"/>
      <c r="H455" s="152"/>
      <c r="I455" s="152"/>
      <c r="J455" s="152">
        <v>1899</v>
      </c>
      <c r="K455" s="152">
        <v>12</v>
      </c>
    </row>
    <row r="456" spans="1:11" ht="13.5" customHeight="1" x14ac:dyDescent="0.15">
      <c r="A456" s="141"/>
      <c r="B456" s="148">
        <v>453</v>
      </c>
      <c r="C456" s="163"/>
      <c r="D456" s="151"/>
      <c r="E456" s="151" t="s">
        <v>367</v>
      </c>
      <c r="F456" s="151" t="s">
        <v>367</v>
      </c>
      <c r="G456" s="151"/>
      <c r="H456" s="151"/>
      <c r="I456" s="151"/>
      <c r="J456" s="151">
        <v>1899</v>
      </c>
      <c r="K456" s="151">
        <v>12</v>
      </c>
    </row>
    <row r="457" spans="1:11" ht="13.5" customHeight="1" x14ac:dyDescent="0.15">
      <c r="A457" s="141"/>
      <c r="B457" s="148">
        <v>454</v>
      </c>
      <c r="C457" s="164"/>
      <c r="D457" s="152"/>
      <c r="E457" s="152" t="s">
        <v>367</v>
      </c>
      <c r="F457" s="152" t="s">
        <v>367</v>
      </c>
      <c r="G457" s="152"/>
      <c r="H457" s="152"/>
      <c r="I457" s="152"/>
      <c r="J457" s="152">
        <v>1899</v>
      </c>
      <c r="K457" s="152">
        <v>12</v>
      </c>
    </row>
    <row r="458" spans="1:11" ht="13.5" customHeight="1" x14ac:dyDescent="0.15">
      <c r="A458" s="141"/>
      <c r="B458" s="148">
        <v>455</v>
      </c>
      <c r="C458" s="163"/>
      <c r="D458" s="151"/>
      <c r="E458" s="151" t="s">
        <v>367</v>
      </c>
      <c r="F458" s="151" t="s">
        <v>367</v>
      </c>
      <c r="G458" s="151"/>
      <c r="H458" s="151"/>
      <c r="I458" s="151"/>
      <c r="J458" s="151">
        <v>1899</v>
      </c>
      <c r="K458" s="151">
        <v>12</v>
      </c>
    </row>
    <row r="459" spans="1:11" ht="13.5" customHeight="1" x14ac:dyDescent="0.15">
      <c r="A459" s="141"/>
      <c r="B459" s="148">
        <v>456</v>
      </c>
      <c r="C459" s="164"/>
      <c r="D459" s="152"/>
      <c r="E459" s="152" t="s">
        <v>367</v>
      </c>
      <c r="F459" s="152" t="s">
        <v>367</v>
      </c>
      <c r="G459" s="152"/>
      <c r="H459" s="152"/>
      <c r="I459" s="152"/>
      <c r="J459" s="152">
        <v>1899</v>
      </c>
      <c r="K459" s="152">
        <v>12</v>
      </c>
    </row>
    <row r="460" spans="1:11" ht="13.5" customHeight="1" x14ac:dyDescent="0.15">
      <c r="A460" s="141"/>
      <c r="B460" s="148">
        <v>457</v>
      </c>
      <c r="C460" s="163"/>
      <c r="D460" s="151"/>
      <c r="E460" s="151" t="s">
        <v>367</v>
      </c>
      <c r="F460" s="151" t="s">
        <v>367</v>
      </c>
      <c r="G460" s="151"/>
      <c r="H460" s="151"/>
      <c r="I460" s="151"/>
      <c r="J460" s="151">
        <v>1899</v>
      </c>
      <c r="K460" s="151">
        <v>12</v>
      </c>
    </row>
    <row r="461" spans="1:11" ht="13.5" customHeight="1" x14ac:dyDescent="0.15">
      <c r="A461" s="141"/>
      <c r="B461" s="148">
        <v>458</v>
      </c>
      <c r="C461" s="164"/>
      <c r="D461" s="152"/>
      <c r="E461" s="152" t="s">
        <v>367</v>
      </c>
      <c r="F461" s="152" t="s">
        <v>367</v>
      </c>
      <c r="G461" s="152"/>
      <c r="H461" s="152"/>
      <c r="I461" s="152"/>
      <c r="J461" s="152">
        <v>1899</v>
      </c>
      <c r="K461" s="152">
        <v>12</v>
      </c>
    </row>
    <row r="462" spans="1:11" ht="13.5" customHeight="1" x14ac:dyDescent="0.15">
      <c r="A462" s="141"/>
      <c r="B462" s="148">
        <v>459</v>
      </c>
      <c r="C462" s="163"/>
      <c r="D462" s="151"/>
      <c r="E462" s="151" t="s">
        <v>367</v>
      </c>
      <c r="F462" s="151" t="s">
        <v>367</v>
      </c>
      <c r="G462" s="151"/>
      <c r="H462" s="151"/>
      <c r="I462" s="151"/>
      <c r="J462" s="151">
        <v>1899</v>
      </c>
      <c r="K462" s="151">
        <v>12</v>
      </c>
    </row>
    <row r="463" spans="1:11" ht="13.5" customHeight="1" x14ac:dyDescent="0.15">
      <c r="A463" s="141"/>
      <c r="B463" s="148">
        <v>460</v>
      </c>
      <c r="C463" s="164"/>
      <c r="D463" s="152"/>
      <c r="E463" s="152" t="s">
        <v>367</v>
      </c>
      <c r="F463" s="152" t="s">
        <v>367</v>
      </c>
      <c r="G463" s="152"/>
      <c r="H463" s="152"/>
      <c r="I463" s="152"/>
      <c r="J463" s="152">
        <v>1899</v>
      </c>
      <c r="K463" s="152">
        <v>12</v>
      </c>
    </row>
    <row r="464" spans="1:11" ht="13.5" customHeight="1" x14ac:dyDescent="0.15">
      <c r="A464" s="141"/>
      <c r="B464" s="148">
        <v>461</v>
      </c>
      <c r="C464" s="163"/>
      <c r="D464" s="151"/>
      <c r="E464" s="151" t="s">
        <v>367</v>
      </c>
      <c r="F464" s="151" t="s">
        <v>367</v>
      </c>
      <c r="G464" s="151"/>
      <c r="H464" s="151"/>
      <c r="I464" s="151"/>
      <c r="J464" s="151">
        <v>1899</v>
      </c>
      <c r="K464" s="151">
        <v>12</v>
      </c>
    </row>
    <row r="465" spans="1:11" ht="13.5" customHeight="1" x14ac:dyDescent="0.15">
      <c r="A465" s="141"/>
      <c r="B465" s="148">
        <v>462</v>
      </c>
      <c r="C465" s="164"/>
      <c r="D465" s="152"/>
      <c r="E465" s="152" t="s">
        <v>367</v>
      </c>
      <c r="F465" s="152" t="s">
        <v>367</v>
      </c>
      <c r="G465" s="152"/>
      <c r="H465" s="152"/>
      <c r="I465" s="152"/>
      <c r="J465" s="152">
        <v>1899</v>
      </c>
      <c r="K465" s="152">
        <v>12</v>
      </c>
    </row>
    <row r="466" spans="1:11" ht="13.5" customHeight="1" x14ac:dyDescent="0.15">
      <c r="A466" s="141"/>
      <c r="B466" s="148">
        <v>463</v>
      </c>
      <c r="C466" s="163"/>
      <c r="D466" s="151"/>
      <c r="E466" s="151" t="s">
        <v>367</v>
      </c>
      <c r="F466" s="151" t="s">
        <v>367</v>
      </c>
      <c r="G466" s="151"/>
      <c r="H466" s="151"/>
      <c r="I466" s="151"/>
      <c r="J466" s="151">
        <v>1899</v>
      </c>
      <c r="K466" s="151">
        <v>12</v>
      </c>
    </row>
    <row r="467" spans="1:11" ht="13.5" customHeight="1" x14ac:dyDescent="0.15">
      <c r="A467" s="141"/>
      <c r="B467" s="148">
        <v>464</v>
      </c>
      <c r="C467" s="164"/>
      <c r="D467" s="152"/>
      <c r="E467" s="152" t="s">
        <v>367</v>
      </c>
      <c r="F467" s="152" t="s">
        <v>367</v>
      </c>
      <c r="G467" s="152"/>
      <c r="H467" s="152"/>
      <c r="I467" s="152"/>
      <c r="J467" s="152">
        <v>1899</v>
      </c>
      <c r="K467" s="152">
        <v>12</v>
      </c>
    </row>
    <row r="468" spans="1:11" ht="13.5" customHeight="1" x14ac:dyDescent="0.15">
      <c r="A468" s="141"/>
      <c r="B468" s="148">
        <v>465</v>
      </c>
      <c r="C468" s="163"/>
      <c r="D468" s="151"/>
      <c r="E468" s="151" t="s">
        <v>367</v>
      </c>
      <c r="F468" s="151" t="s">
        <v>367</v>
      </c>
      <c r="G468" s="151"/>
      <c r="H468" s="151"/>
      <c r="I468" s="151"/>
      <c r="J468" s="151">
        <v>1899</v>
      </c>
      <c r="K468" s="151">
        <v>12</v>
      </c>
    </row>
    <row r="469" spans="1:11" ht="13.5" customHeight="1" x14ac:dyDescent="0.15">
      <c r="A469" s="141"/>
      <c r="B469" s="148">
        <v>466</v>
      </c>
      <c r="C469" s="164"/>
      <c r="D469" s="152"/>
      <c r="E469" s="152" t="s">
        <v>367</v>
      </c>
      <c r="F469" s="152" t="s">
        <v>367</v>
      </c>
      <c r="G469" s="152"/>
      <c r="H469" s="152"/>
      <c r="I469" s="152"/>
      <c r="J469" s="152">
        <v>1899</v>
      </c>
      <c r="K469" s="152">
        <v>12</v>
      </c>
    </row>
    <row r="470" spans="1:11" ht="13.5" customHeight="1" x14ac:dyDescent="0.15">
      <c r="A470" s="141"/>
      <c r="B470" s="148">
        <v>467</v>
      </c>
      <c r="C470" s="163"/>
      <c r="D470" s="151"/>
      <c r="E470" s="151" t="s">
        <v>367</v>
      </c>
      <c r="F470" s="151" t="s">
        <v>367</v>
      </c>
      <c r="G470" s="151"/>
      <c r="H470" s="151"/>
      <c r="I470" s="151"/>
      <c r="J470" s="151">
        <v>1899</v>
      </c>
      <c r="K470" s="151">
        <v>12</v>
      </c>
    </row>
    <row r="471" spans="1:11" ht="13.5" customHeight="1" x14ac:dyDescent="0.15">
      <c r="A471" s="141"/>
      <c r="B471" s="148">
        <v>468</v>
      </c>
      <c r="C471" s="164"/>
      <c r="D471" s="152"/>
      <c r="E471" s="152" t="s">
        <v>367</v>
      </c>
      <c r="F471" s="152" t="s">
        <v>367</v>
      </c>
      <c r="G471" s="152"/>
      <c r="H471" s="152"/>
      <c r="I471" s="152"/>
      <c r="J471" s="152">
        <v>1899</v>
      </c>
      <c r="K471" s="152">
        <v>12</v>
      </c>
    </row>
    <row r="472" spans="1:11" ht="13.5" customHeight="1" x14ac:dyDescent="0.15">
      <c r="A472" s="141"/>
      <c r="B472" s="148">
        <v>469</v>
      </c>
      <c r="C472" s="163"/>
      <c r="D472" s="151"/>
      <c r="E472" s="151" t="s">
        <v>367</v>
      </c>
      <c r="F472" s="151" t="s">
        <v>367</v>
      </c>
      <c r="G472" s="151"/>
      <c r="H472" s="151"/>
      <c r="I472" s="151"/>
      <c r="J472" s="151">
        <v>1899</v>
      </c>
      <c r="K472" s="151">
        <v>12</v>
      </c>
    </row>
    <row r="473" spans="1:11" ht="13.5" customHeight="1" x14ac:dyDescent="0.15">
      <c r="A473" s="141"/>
      <c r="B473" s="148">
        <v>470</v>
      </c>
      <c r="C473" s="164"/>
      <c r="D473" s="152"/>
      <c r="E473" s="152" t="s">
        <v>367</v>
      </c>
      <c r="F473" s="152" t="s">
        <v>367</v>
      </c>
      <c r="G473" s="152"/>
      <c r="H473" s="152"/>
      <c r="I473" s="152"/>
      <c r="J473" s="152">
        <v>1899</v>
      </c>
      <c r="K473" s="152">
        <v>12</v>
      </c>
    </row>
    <row r="474" spans="1:11" ht="13.5" customHeight="1" x14ac:dyDescent="0.15">
      <c r="A474" s="141"/>
      <c r="B474" s="148">
        <v>471</v>
      </c>
      <c r="C474" s="163"/>
      <c r="D474" s="151"/>
      <c r="E474" s="151" t="s">
        <v>367</v>
      </c>
      <c r="F474" s="151" t="s">
        <v>367</v>
      </c>
      <c r="G474" s="151"/>
      <c r="H474" s="151"/>
      <c r="I474" s="151"/>
      <c r="J474" s="151">
        <v>1899</v>
      </c>
      <c r="K474" s="151">
        <v>12</v>
      </c>
    </row>
    <row r="475" spans="1:11" ht="13.5" customHeight="1" x14ac:dyDescent="0.15">
      <c r="A475" s="141"/>
      <c r="B475" s="148">
        <v>472</v>
      </c>
      <c r="C475" s="164"/>
      <c r="D475" s="152"/>
      <c r="E475" s="152" t="s">
        <v>367</v>
      </c>
      <c r="F475" s="152" t="s">
        <v>367</v>
      </c>
      <c r="G475" s="152"/>
      <c r="H475" s="152"/>
      <c r="I475" s="152"/>
      <c r="J475" s="152">
        <v>1899</v>
      </c>
      <c r="K475" s="152">
        <v>12</v>
      </c>
    </row>
    <row r="476" spans="1:11" ht="13.5" customHeight="1" x14ac:dyDescent="0.15">
      <c r="A476" s="141"/>
      <c r="B476" s="148">
        <v>473</v>
      </c>
      <c r="C476" s="163"/>
      <c r="D476" s="151"/>
      <c r="E476" s="151" t="s">
        <v>367</v>
      </c>
      <c r="F476" s="151" t="s">
        <v>367</v>
      </c>
      <c r="G476" s="151"/>
      <c r="H476" s="151"/>
      <c r="I476" s="151"/>
      <c r="J476" s="151">
        <v>1899</v>
      </c>
      <c r="K476" s="151">
        <v>12</v>
      </c>
    </row>
    <row r="477" spans="1:11" ht="13.5" customHeight="1" x14ac:dyDescent="0.15">
      <c r="A477" s="141"/>
      <c r="B477" s="148">
        <v>474</v>
      </c>
      <c r="C477" s="164"/>
      <c r="D477" s="152"/>
      <c r="E477" s="152" t="s">
        <v>367</v>
      </c>
      <c r="F477" s="152" t="s">
        <v>367</v>
      </c>
      <c r="G477" s="152"/>
      <c r="H477" s="152"/>
      <c r="I477" s="152"/>
      <c r="J477" s="152">
        <v>1899</v>
      </c>
      <c r="K477" s="152">
        <v>12</v>
      </c>
    </row>
    <row r="478" spans="1:11" ht="13.5" customHeight="1" x14ac:dyDescent="0.15">
      <c r="A478" s="141"/>
      <c r="B478" s="148">
        <v>475</v>
      </c>
      <c r="C478" s="163"/>
      <c r="D478" s="151"/>
      <c r="E478" s="151" t="s">
        <v>367</v>
      </c>
      <c r="F478" s="151" t="s">
        <v>367</v>
      </c>
      <c r="G478" s="151"/>
      <c r="H478" s="151"/>
      <c r="I478" s="151"/>
      <c r="J478" s="151">
        <v>1899</v>
      </c>
      <c r="K478" s="151">
        <v>12</v>
      </c>
    </row>
    <row r="479" spans="1:11" ht="13.5" customHeight="1" x14ac:dyDescent="0.15">
      <c r="A479" s="141"/>
      <c r="B479" s="148">
        <v>476</v>
      </c>
      <c r="C479" s="164"/>
      <c r="D479" s="152"/>
      <c r="E479" s="152" t="s">
        <v>367</v>
      </c>
      <c r="F479" s="152" t="s">
        <v>367</v>
      </c>
      <c r="G479" s="152"/>
      <c r="H479" s="152"/>
      <c r="I479" s="152"/>
      <c r="J479" s="152">
        <v>1899</v>
      </c>
      <c r="K479" s="152">
        <v>12</v>
      </c>
    </row>
    <row r="480" spans="1:11" ht="13.5" customHeight="1" x14ac:dyDescent="0.15">
      <c r="A480" s="141"/>
      <c r="B480" s="148">
        <v>477</v>
      </c>
      <c r="C480" s="163"/>
      <c r="D480" s="151"/>
      <c r="E480" s="151" t="s">
        <v>367</v>
      </c>
      <c r="F480" s="151" t="s">
        <v>367</v>
      </c>
      <c r="G480" s="151"/>
      <c r="H480" s="151"/>
      <c r="I480" s="151"/>
      <c r="J480" s="151">
        <v>1899</v>
      </c>
      <c r="K480" s="151">
        <v>12</v>
      </c>
    </row>
    <row r="481" spans="1:11" ht="13.5" customHeight="1" x14ac:dyDescent="0.15">
      <c r="A481" s="141"/>
      <c r="B481" s="148">
        <v>478</v>
      </c>
      <c r="C481" s="164"/>
      <c r="D481" s="152"/>
      <c r="E481" s="152" t="s">
        <v>367</v>
      </c>
      <c r="F481" s="152" t="s">
        <v>367</v>
      </c>
      <c r="G481" s="152"/>
      <c r="H481" s="152"/>
      <c r="I481" s="152"/>
      <c r="J481" s="152">
        <v>1899</v>
      </c>
      <c r="K481" s="152">
        <v>12</v>
      </c>
    </row>
    <row r="482" spans="1:11" ht="13.5" customHeight="1" x14ac:dyDescent="0.15">
      <c r="A482" s="141"/>
      <c r="B482" s="148">
        <v>479</v>
      </c>
      <c r="C482" s="163"/>
      <c r="D482" s="151"/>
      <c r="E482" s="151" t="s">
        <v>367</v>
      </c>
      <c r="F482" s="151" t="s">
        <v>367</v>
      </c>
      <c r="G482" s="151"/>
      <c r="H482" s="151"/>
      <c r="I482" s="151"/>
      <c r="J482" s="151">
        <v>1899</v>
      </c>
      <c r="K482" s="151">
        <v>12</v>
      </c>
    </row>
    <row r="483" spans="1:11" ht="13.5" customHeight="1" x14ac:dyDescent="0.15">
      <c r="A483" s="141"/>
      <c r="B483" s="148">
        <v>480</v>
      </c>
      <c r="C483" s="164"/>
      <c r="D483" s="152"/>
      <c r="E483" s="152" t="s">
        <v>367</v>
      </c>
      <c r="F483" s="152" t="s">
        <v>367</v>
      </c>
      <c r="G483" s="152"/>
      <c r="H483" s="152"/>
      <c r="I483" s="152"/>
      <c r="J483" s="152">
        <v>1899</v>
      </c>
      <c r="K483" s="152">
        <v>12</v>
      </c>
    </row>
    <row r="484" spans="1:11" ht="13.5" customHeight="1" x14ac:dyDescent="0.15">
      <c r="A484" s="141"/>
      <c r="B484" s="148">
        <v>481</v>
      </c>
      <c r="C484" s="163"/>
      <c r="D484" s="151"/>
      <c r="E484" s="151" t="s">
        <v>367</v>
      </c>
      <c r="F484" s="151" t="s">
        <v>367</v>
      </c>
      <c r="G484" s="151"/>
      <c r="H484" s="151"/>
      <c r="I484" s="151"/>
      <c r="J484" s="151">
        <v>1899</v>
      </c>
      <c r="K484" s="151">
        <v>12</v>
      </c>
    </row>
    <row r="485" spans="1:11" ht="13.5" customHeight="1" x14ac:dyDescent="0.15">
      <c r="A485" s="141"/>
      <c r="B485" s="148">
        <v>482</v>
      </c>
      <c r="C485" s="164"/>
      <c r="D485" s="152"/>
      <c r="E485" s="152" t="s">
        <v>367</v>
      </c>
      <c r="F485" s="152" t="s">
        <v>367</v>
      </c>
      <c r="G485" s="152"/>
      <c r="H485" s="152"/>
      <c r="I485" s="152"/>
      <c r="J485" s="152">
        <v>1899</v>
      </c>
      <c r="K485" s="152">
        <v>12</v>
      </c>
    </row>
    <row r="486" spans="1:11" ht="13.5" customHeight="1" x14ac:dyDescent="0.15">
      <c r="A486" s="141"/>
      <c r="B486" s="148">
        <v>483</v>
      </c>
      <c r="C486" s="163"/>
      <c r="D486" s="151"/>
      <c r="E486" s="151" t="s">
        <v>367</v>
      </c>
      <c r="F486" s="151" t="s">
        <v>367</v>
      </c>
      <c r="G486" s="151"/>
      <c r="H486" s="151"/>
      <c r="I486" s="151"/>
      <c r="J486" s="151">
        <v>1899</v>
      </c>
      <c r="K486" s="151">
        <v>12</v>
      </c>
    </row>
    <row r="487" spans="1:11" ht="13.5" customHeight="1" x14ac:dyDescent="0.15">
      <c r="A487" s="141"/>
      <c r="B487" s="148">
        <v>484</v>
      </c>
      <c r="C487" s="164"/>
      <c r="D487" s="152"/>
      <c r="E487" s="152" t="s">
        <v>367</v>
      </c>
      <c r="F487" s="152" t="s">
        <v>367</v>
      </c>
      <c r="G487" s="152"/>
      <c r="H487" s="152"/>
      <c r="I487" s="152"/>
      <c r="J487" s="152">
        <v>1899</v>
      </c>
      <c r="K487" s="152">
        <v>12</v>
      </c>
    </row>
    <row r="488" spans="1:11" ht="13.5" customHeight="1" x14ac:dyDescent="0.15">
      <c r="A488" s="141"/>
      <c r="B488" s="148">
        <v>485</v>
      </c>
      <c r="C488" s="163"/>
      <c r="D488" s="151"/>
      <c r="E488" s="151" t="s">
        <v>367</v>
      </c>
      <c r="F488" s="151" t="s">
        <v>367</v>
      </c>
      <c r="G488" s="151"/>
      <c r="H488" s="151"/>
      <c r="I488" s="151"/>
      <c r="J488" s="151">
        <v>1899</v>
      </c>
      <c r="K488" s="151">
        <v>12</v>
      </c>
    </row>
    <row r="489" spans="1:11" ht="13.5" customHeight="1" x14ac:dyDescent="0.15">
      <c r="A489" s="141"/>
      <c r="B489" s="148">
        <v>486</v>
      </c>
      <c r="C489" s="164"/>
      <c r="D489" s="152"/>
      <c r="E489" s="152" t="s">
        <v>367</v>
      </c>
      <c r="F489" s="152" t="s">
        <v>367</v>
      </c>
      <c r="G489" s="152"/>
      <c r="H489" s="152"/>
      <c r="I489" s="152"/>
      <c r="J489" s="152">
        <v>1899</v>
      </c>
      <c r="K489" s="152">
        <v>12</v>
      </c>
    </row>
    <row r="490" spans="1:11" ht="13.5" customHeight="1" x14ac:dyDescent="0.15">
      <c r="A490" s="141"/>
      <c r="B490" s="148">
        <v>487</v>
      </c>
      <c r="C490" s="163"/>
      <c r="D490" s="151"/>
      <c r="E490" s="151" t="s">
        <v>367</v>
      </c>
      <c r="F490" s="151" t="s">
        <v>367</v>
      </c>
      <c r="G490" s="151"/>
      <c r="H490" s="151"/>
      <c r="I490" s="151"/>
      <c r="J490" s="151">
        <v>1899</v>
      </c>
      <c r="K490" s="151">
        <v>12</v>
      </c>
    </row>
    <row r="491" spans="1:11" ht="13.5" customHeight="1" x14ac:dyDescent="0.15">
      <c r="A491" s="141"/>
      <c r="B491" s="148">
        <v>488</v>
      </c>
      <c r="C491" s="164"/>
      <c r="D491" s="152"/>
      <c r="E491" s="152" t="s">
        <v>367</v>
      </c>
      <c r="F491" s="152" t="s">
        <v>367</v>
      </c>
      <c r="G491" s="152"/>
      <c r="H491" s="152"/>
      <c r="I491" s="152"/>
      <c r="J491" s="152">
        <v>1899</v>
      </c>
      <c r="K491" s="152">
        <v>12</v>
      </c>
    </row>
    <row r="492" spans="1:11" ht="13.5" customHeight="1" x14ac:dyDescent="0.15">
      <c r="A492" s="141"/>
      <c r="B492" s="148">
        <v>489</v>
      </c>
      <c r="C492" s="163"/>
      <c r="D492" s="151"/>
      <c r="E492" s="151" t="s">
        <v>367</v>
      </c>
      <c r="F492" s="151" t="s">
        <v>367</v>
      </c>
      <c r="G492" s="151"/>
      <c r="H492" s="151"/>
      <c r="I492" s="151"/>
      <c r="J492" s="151">
        <v>1899</v>
      </c>
      <c r="K492" s="151">
        <v>12</v>
      </c>
    </row>
    <row r="493" spans="1:11" ht="13.5" customHeight="1" x14ac:dyDescent="0.15">
      <c r="A493" s="141"/>
      <c r="B493" s="148">
        <v>490</v>
      </c>
      <c r="C493" s="164"/>
      <c r="D493" s="152"/>
      <c r="E493" s="152" t="s">
        <v>367</v>
      </c>
      <c r="F493" s="152" t="s">
        <v>367</v>
      </c>
      <c r="G493" s="152"/>
      <c r="H493" s="152"/>
      <c r="I493" s="152"/>
      <c r="J493" s="152">
        <v>1899</v>
      </c>
      <c r="K493" s="152">
        <v>12</v>
      </c>
    </row>
    <row r="494" spans="1:11" ht="13.5" customHeight="1" x14ac:dyDescent="0.15">
      <c r="A494" s="141"/>
      <c r="B494" s="148">
        <v>491</v>
      </c>
      <c r="C494" s="163"/>
      <c r="D494" s="151"/>
      <c r="E494" s="151" t="s">
        <v>367</v>
      </c>
      <c r="F494" s="151" t="s">
        <v>367</v>
      </c>
      <c r="G494" s="151"/>
      <c r="H494" s="151"/>
      <c r="I494" s="151"/>
      <c r="J494" s="151">
        <v>1899</v>
      </c>
      <c r="K494" s="151">
        <v>12</v>
      </c>
    </row>
    <row r="495" spans="1:11" ht="13.5" customHeight="1" x14ac:dyDescent="0.15">
      <c r="A495" s="141"/>
      <c r="B495" s="148">
        <v>492</v>
      </c>
      <c r="C495" s="164"/>
      <c r="D495" s="152"/>
      <c r="E495" s="152" t="s">
        <v>367</v>
      </c>
      <c r="F495" s="152" t="s">
        <v>367</v>
      </c>
      <c r="G495" s="152"/>
      <c r="H495" s="152"/>
      <c r="I495" s="152"/>
      <c r="J495" s="152">
        <v>1899</v>
      </c>
      <c r="K495" s="152">
        <v>12</v>
      </c>
    </row>
    <row r="496" spans="1:11" ht="13.5" customHeight="1" x14ac:dyDescent="0.15">
      <c r="A496" s="141"/>
      <c r="B496" s="148">
        <v>493</v>
      </c>
      <c r="C496" s="163"/>
      <c r="D496" s="151"/>
      <c r="E496" s="151" t="s">
        <v>367</v>
      </c>
      <c r="F496" s="151" t="s">
        <v>367</v>
      </c>
      <c r="G496" s="151"/>
      <c r="H496" s="151"/>
      <c r="I496" s="151"/>
      <c r="J496" s="151">
        <v>1899</v>
      </c>
      <c r="K496" s="151">
        <v>12</v>
      </c>
    </row>
    <row r="497" spans="1:11" ht="13.5" customHeight="1" x14ac:dyDescent="0.15">
      <c r="A497" s="141"/>
      <c r="B497" s="148">
        <v>494</v>
      </c>
      <c r="C497" s="164"/>
      <c r="D497" s="152"/>
      <c r="E497" s="152" t="s">
        <v>367</v>
      </c>
      <c r="F497" s="152" t="s">
        <v>367</v>
      </c>
      <c r="G497" s="152"/>
      <c r="H497" s="152"/>
      <c r="I497" s="152"/>
      <c r="J497" s="152">
        <v>1899</v>
      </c>
      <c r="K497" s="152">
        <v>12</v>
      </c>
    </row>
    <row r="498" spans="1:11" ht="13.5" customHeight="1" x14ac:dyDescent="0.15">
      <c r="A498" s="141"/>
      <c r="B498" s="148">
        <v>495</v>
      </c>
      <c r="C498" s="163"/>
      <c r="D498" s="151"/>
      <c r="E498" s="151" t="s">
        <v>367</v>
      </c>
      <c r="F498" s="151" t="s">
        <v>367</v>
      </c>
      <c r="G498" s="151"/>
      <c r="H498" s="151"/>
      <c r="I498" s="151"/>
      <c r="J498" s="151">
        <v>1899</v>
      </c>
      <c r="K498" s="151">
        <v>12</v>
      </c>
    </row>
    <row r="499" spans="1:11" ht="13.5" customHeight="1" x14ac:dyDescent="0.15">
      <c r="A499" s="141"/>
      <c r="B499" s="148">
        <v>496</v>
      </c>
      <c r="C499" s="164"/>
      <c r="D499" s="152"/>
      <c r="E499" s="152" t="s">
        <v>367</v>
      </c>
      <c r="F499" s="152" t="s">
        <v>367</v>
      </c>
      <c r="G499" s="152"/>
      <c r="H499" s="152"/>
      <c r="I499" s="152"/>
      <c r="J499" s="152">
        <v>1899</v>
      </c>
      <c r="K499" s="152">
        <v>12</v>
      </c>
    </row>
    <row r="500" spans="1:11" ht="13.5" customHeight="1" x14ac:dyDescent="0.15">
      <c r="A500" s="141"/>
      <c r="B500" s="148">
        <v>497</v>
      </c>
      <c r="C500" s="163"/>
      <c r="D500" s="151"/>
      <c r="E500" s="151" t="s">
        <v>367</v>
      </c>
      <c r="F500" s="151" t="s">
        <v>367</v>
      </c>
      <c r="G500" s="151"/>
      <c r="H500" s="151"/>
      <c r="I500" s="151"/>
      <c r="J500" s="151">
        <v>1899</v>
      </c>
      <c r="K500" s="151">
        <v>12</v>
      </c>
    </row>
    <row r="501" spans="1:11" ht="13.5" customHeight="1" x14ac:dyDescent="0.15">
      <c r="A501" s="141"/>
      <c r="B501" s="148">
        <v>498</v>
      </c>
      <c r="C501" s="164"/>
      <c r="D501" s="152"/>
      <c r="E501" s="152" t="s">
        <v>367</v>
      </c>
      <c r="F501" s="152" t="s">
        <v>367</v>
      </c>
      <c r="G501" s="152"/>
      <c r="H501" s="152"/>
      <c r="I501" s="152"/>
      <c r="J501" s="152">
        <v>1899</v>
      </c>
      <c r="K501" s="152">
        <v>12</v>
      </c>
    </row>
    <row r="502" spans="1:11" ht="13.5" customHeight="1" x14ac:dyDescent="0.15">
      <c r="A502" s="141"/>
      <c r="B502" s="148">
        <v>499</v>
      </c>
      <c r="C502" s="163"/>
      <c r="D502" s="151"/>
      <c r="E502" s="151" t="s">
        <v>367</v>
      </c>
      <c r="F502" s="151" t="s">
        <v>367</v>
      </c>
      <c r="G502" s="151"/>
      <c r="H502" s="151"/>
      <c r="I502" s="151"/>
      <c r="J502" s="151">
        <v>1899</v>
      </c>
      <c r="K502" s="151">
        <v>12</v>
      </c>
    </row>
    <row r="503" spans="1:11" ht="13.5" customHeight="1" x14ac:dyDescent="0.15">
      <c r="A503" s="141"/>
      <c r="B503" s="148">
        <v>500</v>
      </c>
      <c r="C503" s="164"/>
      <c r="D503" s="152"/>
      <c r="E503" s="152" t="s">
        <v>367</v>
      </c>
      <c r="F503" s="152" t="s">
        <v>367</v>
      </c>
      <c r="G503" s="152"/>
      <c r="H503" s="152"/>
      <c r="I503" s="152"/>
      <c r="J503" s="152">
        <v>1899</v>
      </c>
      <c r="K503" s="152">
        <v>12</v>
      </c>
    </row>
    <row r="504" spans="1:11" ht="13.5" customHeight="1" x14ac:dyDescent="0.15">
      <c r="A504" s="141"/>
      <c r="B504" s="148">
        <v>501</v>
      </c>
      <c r="C504" s="163"/>
      <c r="D504" s="151"/>
      <c r="E504" s="151" t="s">
        <v>367</v>
      </c>
      <c r="F504" s="151" t="s">
        <v>367</v>
      </c>
      <c r="G504" s="151"/>
      <c r="H504" s="151"/>
      <c r="I504" s="151"/>
      <c r="J504" s="151">
        <v>1899</v>
      </c>
      <c r="K504" s="151">
        <v>12</v>
      </c>
    </row>
    <row r="505" spans="1:11" ht="13.5" customHeight="1" x14ac:dyDescent="0.15">
      <c r="A505" s="141"/>
      <c r="B505" s="148">
        <v>502</v>
      </c>
      <c r="C505" s="164"/>
      <c r="D505" s="152"/>
      <c r="E505" s="152" t="s">
        <v>367</v>
      </c>
      <c r="F505" s="152" t="s">
        <v>367</v>
      </c>
      <c r="G505" s="152"/>
      <c r="H505" s="152"/>
      <c r="I505" s="152"/>
      <c r="J505" s="152">
        <v>1899</v>
      </c>
      <c r="K505" s="152">
        <v>12</v>
      </c>
    </row>
    <row r="506" spans="1:11" ht="13.5" customHeight="1" x14ac:dyDescent="0.15">
      <c r="A506" s="141"/>
      <c r="B506" s="148">
        <v>503</v>
      </c>
      <c r="C506" s="163"/>
      <c r="D506" s="151"/>
      <c r="E506" s="151" t="s">
        <v>367</v>
      </c>
      <c r="F506" s="151" t="s">
        <v>367</v>
      </c>
      <c r="G506" s="151"/>
      <c r="H506" s="151"/>
      <c r="I506" s="151"/>
      <c r="J506" s="151">
        <v>1899</v>
      </c>
      <c r="K506" s="151">
        <v>12</v>
      </c>
    </row>
    <row r="507" spans="1:11" ht="13.5" customHeight="1" x14ac:dyDescent="0.15">
      <c r="A507" s="141"/>
      <c r="B507" s="148">
        <v>504</v>
      </c>
      <c r="C507" s="164"/>
      <c r="D507" s="152"/>
      <c r="E507" s="152" t="s">
        <v>367</v>
      </c>
      <c r="F507" s="152" t="s">
        <v>367</v>
      </c>
      <c r="G507" s="152"/>
      <c r="H507" s="152"/>
      <c r="I507" s="152"/>
      <c r="J507" s="152">
        <v>1899</v>
      </c>
      <c r="K507" s="152">
        <v>12</v>
      </c>
    </row>
    <row r="508" spans="1:11" ht="13.5" customHeight="1" x14ac:dyDescent="0.15">
      <c r="A508" s="141"/>
      <c r="B508" s="148">
        <v>505</v>
      </c>
      <c r="C508" s="163"/>
      <c r="D508" s="151"/>
      <c r="E508" s="151" t="s">
        <v>367</v>
      </c>
      <c r="F508" s="151" t="s">
        <v>367</v>
      </c>
      <c r="G508" s="151"/>
      <c r="H508" s="151"/>
      <c r="I508" s="151"/>
      <c r="J508" s="151">
        <v>1899</v>
      </c>
      <c r="K508" s="151">
        <v>12</v>
      </c>
    </row>
    <row r="509" spans="1:11" ht="13.5" customHeight="1" x14ac:dyDescent="0.15">
      <c r="A509" s="141"/>
      <c r="B509" s="148">
        <v>506</v>
      </c>
      <c r="C509" s="164"/>
      <c r="D509" s="152"/>
      <c r="E509" s="152" t="s">
        <v>367</v>
      </c>
      <c r="F509" s="152" t="s">
        <v>367</v>
      </c>
      <c r="G509" s="152"/>
      <c r="H509" s="152"/>
      <c r="I509" s="152"/>
      <c r="J509" s="152">
        <v>1899</v>
      </c>
      <c r="K509" s="152">
        <v>12</v>
      </c>
    </row>
    <row r="510" spans="1:11" ht="13.5" customHeight="1" x14ac:dyDescent="0.15">
      <c r="A510" s="141"/>
      <c r="B510" s="148">
        <v>507</v>
      </c>
      <c r="C510" s="163"/>
      <c r="D510" s="151"/>
      <c r="E510" s="151" t="s">
        <v>367</v>
      </c>
      <c r="F510" s="151" t="s">
        <v>367</v>
      </c>
      <c r="G510" s="151"/>
      <c r="H510" s="151"/>
      <c r="I510" s="151"/>
      <c r="J510" s="151">
        <v>1899</v>
      </c>
      <c r="K510" s="151">
        <v>12</v>
      </c>
    </row>
    <row r="511" spans="1:11" ht="13.5" customHeight="1" x14ac:dyDescent="0.15">
      <c r="A511" s="141"/>
      <c r="B511" s="148">
        <v>508</v>
      </c>
      <c r="C511" s="164"/>
      <c r="D511" s="152"/>
      <c r="E511" s="152" t="s">
        <v>367</v>
      </c>
      <c r="F511" s="152" t="s">
        <v>367</v>
      </c>
      <c r="G511" s="152"/>
      <c r="H511" s="152"/>
      <c r="I511" s="152"/>
      <c r="J511" s="152">
        <v>1899</v>
      </c>
      <c r="K511" s="152">
        <v>12</v>
      </c>
    </row>
    <row r="512" spans="1:11" ht="13.5" customHeight="1" x14ac:dyDescent="0.15">
      <c r="A512" s="141"/>
      <c r="B512" s="148">
        <v>509</v>
      </c>
      <c r="C512" s="163"/>
      <c r="D512" s="151"/>
      <c r="E512" s="151" t="s">
        <v>367</v>
      </c>
      <c r="F512" s="151" t="s">
        <v>367</v>
      </c>
      <c r="G512" s="151"/>
      <c r="H512" s="151"/>
      <c r="I512" s="151"/>
      <c r="J512" s="151">
        <v>1899</v>
      </c>
      <c r="K512" s="151">
        <v>12</v>
      </c>
    </row>
    <row r="513" spans="1:11" ht="13.5" customHeight="1" x14ac:dyDescent="0.15">
      <c r="A513" s="141"/>
      <c r="B513" s="148">
        <v>510</v>
      </c>
      <c r="C513" s="164"/>
      <c r="D513" s="152"/>
      <c r="E513" s="152" t="s">
        <v>367</v>
      </c>
      <c r="F513" s="152" t="s">
        <v>367</v>
      </c>
      <c r="G513" s="152"/>
      <c r="H513" s="152"/>
      <c r="I513" s="152"/>
      <c r="J513" s="152">
        <v>1899</v>
      </c>
      <c r="K513" s="152">
        <v>12</v>
      </c>
    </row>
    <row r="514" spans="1:11" ht="13.5" customHeight="1" x14ac:dyDescent="0.15">
      <c r="A514" s="141"/>
      <c r="B514" s="148">
        <v>511</v>
      </c>
      <c r="C514" s="163"/>
      <c r="D514" s="151"/>
      <c r="E514" s="151" t="s">
        <v>367</v>
      </c>
      <c r="F514" s="151" t="s">
        <v>367</v>
      </c>
      <c r="G514" s="151"/>
      <c r="H514" s="151"/>
      <c r="I514" s="151"/>
      <c r="J514" s="151">
        <v>1899</v>
      </c>
      <c r="K514" s="151">
        <v>12</v>
      </c>
    </row>
    <row r="515" spans="1:11" ht="13.5" customHeight="1" x14ac:dyDescent="0.15">
      <c r="A515" s="141"/>
      <c r="B515" s="148">
        <v>512</v>
      </c>
      <c r="C515" s="164"/>
      <c r="D515" s="152"/>
      <c r="E515" s="152" t="s">
        <v>367</v>
      </c>
      <c r="F515" s="152" t="s">
        <v>367</v>
      </c>
      <c r="G515" s="152"/>
      <c r="H515" s="152"/>
      <c r="I515" s="152"/>
      <c r="J515" s="152">
        <v>1899</v>
      </c>
      <c r="K515" s="152">
        <v>12</v>
      </c>
    </row>
    <row r="516" spans="1:11" ht="13.5" customHeight="1" x14ac:dyDescent="0.15">
      <c r="A516" s="141"/>
      <c r="B516" s="148">
        <v>513</v>
      </c>
      <c r="C516" s="163"/>
      <c r="D516" s="151"/>
      <c r="E516" s="151" t="s">
        <v>367</v>
      </c>
      <c r="F516" s="151" t="s">
        <v>367</v>
      </c>
      <c r="G516" s="151"/>
      <c r="H516" s="151"/>
      <c r="I516" s="151"/>
      <c r="J516" s="151">
        <v>1899</v>
      </c>
      <c r="K516" s="151">
        <v>12</v>
      </c>
    </row>
    <row r="517" spans="1:11" ht="13.5" customHeight="1" x14ac:dyDescent="0.15">
      <c r="A517" s="141"/>
      <c r="B517" s="148">
        <v>514</v>
      </c>
      <c r="C517" s="164"/>
      <c r="D517" s="152"/>
      <c r="E517" s="152" t="s">
        <v>367</v>
      </c>
      <c r="F517" s="152" t="s">
        <v>367</v>
      </c>
      <c r="G517" s="152"/>
      <c r="H517" s="152"/>
      <c r="I517" s="152"/>
      <c r="J517" s="152">
        <v>1899</v>
      </c>
      <c r="K517" s="152">
        <v>12</v>
      </c>
    </row>
    <row r="518" spans="1:11" ht="13.5" customHeight="1" x14ac:dyDescent="0.15">
      <c r="A518" s="141"/>
      <c r="B518" s="148">
        <v>515</v>
      </c>
      <c r="C518" s="163"/>
      <c r="D518" s="151"/>
      <c r="E518" s="151" t="s">
        <v>367</v>
      </c>
      <c r="F518" s="151" t="s">
        <v>367</v>
      </c>
      <c r="G518" s="151"/>
      <c r="H518" s="151"/>
      <c r="I518" s="151"/>
      <c r="J518" s="151">
        <v>1899</v>
      </c>
      <c r="K518" s="151">
        <v>12</v>
      </c>
    </row>
    <row r="519" spans="1:11" ht="13.5" customHeight="1" x14ac:dyDescent="0.15">
      <c r="A519" s="141"/>
      <c r="B519" s="148">
        <v>516</v>
      </c>
      <c r="C519" s="164"/>
      <c r="D519" s="152"/>
      <c r="E519" s="152" t="s">
        <v>367</v>
      </c>
      <c r="F519" s="152" t="s">
        <v>367</v>
      </c>
      <c r="G519" s="152"/>
      <c r="H519" s="152"/>
      <c r="I519" s="152"/>
      <c r="J519" s="152">
        <v>1899</v>
      </c>
      <c r="K519" s="152">
        <v>12</v>
      </c>
    </row>
    <row r="520" spans="1:11" ht="13.5" customHeight="1" x14ac:dyDescent="0.15">
      <c r="A520" s="141"/>
      <c r="B520" s="148">
        <v>517</v>
      </c>
      <c r="C520" s="163"/>
      <c r="D520" s="151"/>
      <c r="E520" s="151" t="s">
        <v>367</v>
      </c>
      <c r="F520" s="151" t="s">
        <v>367</v>
      </c>
      <c r="G520" s="151"/>
      <c r="H520" s="151"/>
      <c r="I520" s="151"/>
      <c r="J520" s="151">
        <v>1899</v>
      </c>
      <c r="K520" s="151">
        <v>12</v>
      </c>
    </row>
    <row r="521" spans="1:11" ht="13.5" customHeight="1" x14ac:dyDescent="0.15">
      <c r="A521" s="141"/>
      <c r="B521" s="148">
        <v>518</v>
      </c>
      <c r="C521" s="164"/>
      <c r="D521" s="152"/>
      <c r="E521" s="152" t="s">
        <v>367</v>
      </c>
      <c r="F521" s="152" t="s">
        <v>367</v>
      </c>
      <c r="G521" s="152"/>
      <c r="H521" s="152"/>
      <c r="I521" s="152"/>
      <c r="J521" s="152">
        <v>1899</v>
      </c>
      <c r="K521" s="152">
        <v>12</v>
      </c>
    </row>
    <row r="522" spans="1:11" ht="13.5" customHeight="1" x14ac:dyDescent="0.15">
      <c r="A522" s="141"/>
      <c r="B522" s="148">
        <v>519</v>
      </c>
      <c r="C522" s="163"/>
      <c r="D522" s="151"/>
      <c r="E522" s="151" t="s">
        <v>367</v>
      </c>
      <c r="F522" s="151" t="s">
        <v>367</v>
      </c>
      <c r="G522" s="151"/>
      <c r="H522" s="151"/>
      <c r="I522" s="151"/>
      <c r="J522" s="151">
        <v>1899</v>
      </c>
      <c r="K522" s="151">
        <v>12</v>
      </c>
    </row>
    <row r="523" spans="1:11" ht="13.5" customHeight="1" x14ac:dyDescent="0.15">
      <c r="A523" s="141"/>
      <c r="B523" s="148">
        <v>520</v>
      </c>
      <c r="C523" s="164"/>
      <c r="D523" s="152"/>
      <c r="E523" s="152" t="s">
        <v>367</v>
      </c>
      <c r="F523" s="152" t="s">
        <v>367</v>
      </c>
      <c r="G523" s="152"/>
      <c r="H523" s="152"/>
      <c r="I523" s="152"/>
      <c r="J523" s="152">
        <v>1899</v>
      </c>
      <c r="K523" s="152">
        <v>12</v>
      </c>
    </row>
    <row r="524" spans="1:11" ht="13.5" customHeight="1" x14ac:dyDescent="0.15">
      <c r="A524" s="141"/>
      <c r="B524" s="148">
        <v>521</v>
      </c>
      <c r="C524" s="163"/>
      <c r="D524" s="151"/>
      <c r="E524" s="151" t="s">
        <v>367</v>
      </c>
      <c r="F524" s="151" t="s">
        <v>367</v>
      </c>
      <c r="G524" s="151"/>
      <c r="H524" s="151"/>
      <c r="I524" s="151"/>
      <c r="J524" s="151">
        <v>1899</v>
      </c>
      <c r="K524" s="151">
        <v>12</v>
      </c>
    </row>
    <row r="525" spans="1:11" ht="13.5" customHeight="1" x14ac:dyDescent="0.15">
      <c r="A525" s="141"/>
      <c r="B525" s="148">
        <v>522</v>
      </c>
      <c r="C525" s="164"/>
      <c r="D525" s="152"/>
      <c r="E525" s="152" t="s">
        <v>367</v>
      </c>
      <c r="F525" s="152" t="s">
        <v>367</v>
      </c>
      <c r="G525" s="152"/>
      <c r="H525" s="152"/>
      <c r="I525" s="152"/>
      <c r="J525" s="152">
        <v>1899</v>
      </c>
      <c r="K525" s="152">
        <v>12</v>
      </c>
    </row>
    <row r="526" spans="1:11" ht="13.5" customHeight="1" x14ac:dyDescent="0.15">
      <c r="A526" s="141"/>
      <c r="B526" s="148">
        <v>523</v>
      </c>
      <c r="C526" s="163"/>
      <c r="D526" s="151"/>
      <c r="E526" s="151" t="s">
        <v>367</v>
      </c>
      <c r="F526" s="151" t="s">
        <v>367</v>
      </c>
      <c r="G526" s="151"/>
      <c r="H526" s="151"/>
      <c r="I526" s="151"/>
      <c r="J526" s="151">
        <v>1899</v>
      </c>
      <c r="K526" s="151">
        <v>12</v>
      </c>
    </row>
    <row r="527" spans="1:11" ht="13.5" customHeight="1" x14ac:dyDescent="0.15">
      <c r="A527" s="141"/>
      <c r="B527" s="148">
        <v>524</v>
      </c>
      <c r="C527" s="164"/>
      <c r="D527" s="152"/>
      <c r="E527" s="152" t="s">
        <v>367</v>
      </c>
      <c r="F527" s="152" t="s">
        <v>367</v>
      </c>
      <c r="G527" s="152"/>
      <c r="H527" s="152"/>
      <c r="I527" s="152"/>
      <c r="J527" s="152">
        <v>1899</v>
      </c>
      <c r="K527" s="152">
        <v>12</v>
      </c>
    </row>
    <row r="528" spans="1:11" ht="13.5" customHeight="1" x14ac:dyDescent="0.15">
      <c r="A528" s="141"/>
      <c r="B528" s="148">
        <v>525</v>
      </c>
      <c r="C528" s="163"/>
      <c r="D528" s="151"/>
      <c r="E528" s="151" t="s">
        <v>367</v>
      </c>
      <c r="F528" s="151" t="s">
        <v>367</v>
      </c>
      <c r="G528" s="151"/>
      <c r="H528" s="151"/>
      <c r="I528" s="151"/>
      <c r="J528" s="151">
        <v>1899</v>
      </c>
      <c r="K528" s="151">
        <v>12</v>
      </c>
    </row>
    <row r="529" spans="1:11" ht="13.5" customHeight="1" x14ac:dyDescent="0.15">
      <c r="A529" s="141"/>
      <c r="B529" s="148">
        <v>526</v>
      </c>
      <c r="C529" s="164"/>
      <c r="D529" s="152"/>
      <c r="E529" s="152" t="s">
        <v>367</v>
      </c>
      <c r="F529" s="152" t="s">
        <v>367</v>
      </c>
      <c r="G529" s="152"/>
      <c r="H529" s="152"/>
      <c r="I529" s="152"/>
      <c r="J529" s="152">
        <v>1899</v>
      </c>
      <c r="K529" s="152">
        <v>12</v>
      </c>
    </row>
    <row r="530" spans="1:11" ht="13.5" customHeight="1" x14ac:dyDescent="0.15">
      <c r="A530" s="141"/>
      <c r="B530" s="148">
        <v>527</v>
      </c>
      <c r="C530" s="163"/>
      <c r="D530" s="151"/>
      <c r="E530" s="151" t="s">
        <v>367</v>
      </c>
      <c r="F530" s="151" t="s">
        <v>367</v>
      </c>
      <c r="G530" s="151"/>
      <c r="H530" s="151"/>
      <c r="I530" s="151"/>
      <c r="J530" s="151">
        <v>1899</v>
      </c>
      <c r="K530" s="151">
        <v>12</v>
      </c>
    </row>
    <row r="531" spans="1:11" ht="13.5" customHeight="1" x14ac:dyDescent="0.15">
      <c r="A531" s="141"/>
      <c r="B531" s="148">
        <v>528</v>
      </c>
      <c r="C531" s="164"/>
      <c r="D531" s="152"/>
      <c r="E531" s="152" t="s">
        <v>367</v>
      </c>
      <c r="F531" s="152" t="s">
        <v>367</v>
      </c>
      <c r="G531" s="152"/>
      <c r="H531" s="152"/>
      <c r="I531" s="152"/>
      <c r="J531" s="152">
        <v>1899</v>
      </c>
      <c r="K531" s="152">
        <v>12</v>
      </c>
    </row>
    <row r="532" spans="1:11" ht="13.5" customHeight="1" x14ac:dyDescent="0.15">
      <c r="A532" s="141"/>
      <c r="B532" s="148">
        <v>529</v>
      </c>
      <c r="C532" s="163"/>
      <c r="D532" s="151"/>
      <c r="E532" s="151" t="s">
        <v>367</v>
      </c>
      <c r="F532" s="151" t="s">
        <v>367</v>
      </c>
      <c r="G532" s="151"/>
      <c r="H532" s="151"/>
      <c r="I532" s="151"/>
      <c r="J532" s="151">
        <v>1899</v>
      </c>
      <c r="K532" s="151">
        <v>12</v>
      </c>
    </row>
    <row r="533" spans="1:11" ht="13.5" customHeight="1" x14ac:dyDescent="0.15">
      <c r="A533" s="141"/>
      <c r="B533" s="148">
        <v>530</v>
      </c>
      <c r="C533" s="164"/>
      <c r="D533" s="152"/>
      <c r="E533" s="152" t="s">
        <v>367</v>
      </c>
      <c r="F533" s="152" t="s">
        <v>367</v>
      </c>
      <c r="G533" s="152"/>
      <c r="H533" s="152"/>
      <c r="I533" s="152"/>
      <c r="J533" s="152">
        <v>1899</v>
      </c>
      <c r="K533" s="152">
        <v>12</v>
      </c>
    </row>
    <row r="534" spans="1:11" ht="13.5" customHeight="1" x14ac:dyDescent="0.15">
      <c r="A534" s="141"/>
      <c r="B534" s="148">
        <v>531</v>
      </c>
      <c r="C534" s="163"/>
      <c r="D534" s="151"/>
      <c r="E534" s="151" t="s">
        <v>367</v>
      </c>
      <c r="F534" s="151" t="s">
        <v>367</v>
      </c>
      <c r="G534" s="151"/>
      <c r="H534" s="151"/>
      <c r="I534" s="151"/>
      <c r="J534" s="151">
        <v>1899</v>
      </c>
      <c r="K534" s="151">
        <v>12</v>
      </c>
    </row>
    <row r="535" spans="1:11" ht="13.5" customHeight="1" x14ac:dyDescent="0.15">
      <c r="A535" s="141"/>
      <c r="B535" s="148">
        <v>532</v>
      </c>
      <c r="C535" s="164"/>
      <c r="D535" s="152"/>
      <c r="E535" s="152" t="s">
        <v>367</v>
      </c>
      <c r="F535" s="152" t="s">
        <v>367</v>
      </c>
      <c r="G535" s="152"/>
      <c r="H535" s="152"/>
      <c r="I535" s="152"/>
      <c r="J535" s="152">
        <v>1899</v>
      </c>
      <c r="K535" s="152">
        <v>12</v>
      </c>
    </row>
    <row r="536" spans="1:11" ht="13.5" customHeight="1" x14ac:dyDescent="0.15">
      <c r="A536" s="141"/>
      <c r="B536" s="148">
        <v>533</v>
      </c>
      <c r="C536" s="163"/>
      <c r="D536" s="151"/>
      <c r="E536" s="151" t="s">
        <v>367</v>
      </c>
      <c r="F536" s="151" t="s">
        <v>367</v>
      </c>
      <c r="G536" s="151"/>
      <c r="H536" s="151"/>
      <c r="I536" s="151"/>
      <c r="J536" s="151">
        <v>1899</v>
      </c>
      <c r="K536" s="151">
        <v>12</v>
      </c>
    </row>
    <row r="537" spans="1:11" ht="13.5" customHeight="1" x14ac:dyDescent="0.15">
      <c r="A537" s="141"/>
      <c r="B537" s="148">
        <v>534</v>
      </c>
      <c r="C537" s="164"/>
      <c r="D537" s="152"/>
      <c r="E537" s="152" t="s">
        <v>367</v>
      </c>
      <c r="F537" s="152" t="s">
        <v>367</v>
      </c>
      <c r="G537" s="152"/>
      <c r="H537" s="152"/>
      <c r="I537" s="152"/>
      <c r="J537" s="152">
        <v>1899</v>
      </c>
      <c r="K537" s="152">
        <v>12</v>
      </c>
    </row>
    <row r="538" spans="1:11" ht="13.5" customHeight="1" x14ac:dyDescent="0.15">
      <c r="A538" s="141"/>
      <c r="B538" s="148">
        <v>535</v>
      </c>
      <c r="C538" s="163"/>
      <c r="D538" s="151"/>
      <c r="E538" s="151" t="s">
        <v>367</v>
      </c>
      <c r="F538" s="151" t="s">
        <v>367</v>
      </c>
      <c r="G538" s="151"/>
      <c r="H538" s="151"/>
      <c r="I538" s="151"/>
      <c r="J538" s="151">
        <v>1899</v>
      </c>
      <c r="K538" s="151">
        <v>12</v>
      </c>
    </row>
    <row r="539" spans="1:11" ht="13.5" customHeight="1" x14ac:dyDescent="0.15">
      <c r="A539" s="141"/>
      <c r="B539" s="148">
        <v>536</v>
      </c>
      <c r="C539" s="164"/>
      <c r="D539" s="152"/>
      <c r="E539" s="152" t="s">
        <v>367</v>
      </c>
      <c r="F539" s="152" t="s">
        <v>367</v>
      </c>
      <c r="G539" s="152"/>
      <c r="H539" s="152"/>
      <c r="I539" s="152"/>
      <c r="J539" s="152">
        <v>1899</v>
      </c>
      <c r="K539" s="152">
        <v>12</v>
      </c>
    </row>
    <row r="540" spans="1:11" ht="13.5" customHeight="1" x14ac:dyDescent="0.15">
      <c r="A540" s="141"/>
      <c r="B540" s="148">
        <v>537</v>
      </c>
      <c r="C540" s="163"/>
      <c r="D540" s="151"/>
      <c r="E540" s="151" t="s">
        <v>367</v>
      </c>
      <c r="F540" s="151" t="s">
        <v>367</v>
      </c>
      <c r="G540" s="151"/>
      <c r="H540" s="151"/>
      <c r="I540" s="151"/>
      <c r="J540" s="151">
        <v>1899</v>
      </c>
      <c r="K540" s="151">
        <v>12</v>
      </c>
    </row>
    <row r="541" spans="1:11" ht="13.5" customHeight="1" x14ac:dyDescent="0.15">
      <c r="A541" s="141"/>
      <c r="B541" s="148">
        <v>538</v>
      </c>
      <c r="C541" s="164"/>
      <c r="D541" s="152"/>
      <c r="E541" s="152" t="s">
        <v>367</v>
      </c>
      <c r="F541" s="152" t="s">
        <v>367</v>
      </c>
      <c r="G541" s="152"/>
      <c r="H541" s="152"/>
      <c r="I541" s="152"/>
      <c r="J541" s="152">
        <v>1899</v>
      </c>
      <c r="K541" s="152">
        <v>12</v>
      </c>
    </row>
    <row r="542" spans="1:11" ht="13.5" customHeight="1" x14ac:dyDescent="0.15">
      <c r="A542" s="141"/>
      <c r="B542" s="148">
        <v>539</v>
      </c>
      <c r="C542" s="163"/>
      <c r="D542" s="151"/>
      <c r="E542" s="151" t="s">
        <v>367</v>
      </c>
      <c r="F542" s="151" t="s">
        <v>367</v>
      </c>
      <c r="G542" s="151"/>
      <c r="H542" s="151"/>
      <c r="I542" s="151"/>
      <c r="J542" s="151">
        <v>1899</v>
      </c>
      <c r="K542" s="151">
        <v>12</v>
      </c>
    </row>
    <row r="543" spans="1:11" ht="13.5" customHeight="1" x14ac:dyDescent="0.15">
      <c r="A543" s="141"/>
      <c r="B543" s="148">
        <v>540</v>
      </c>
      <c r="C543" s="164"/>
      <c r="D543" s="152"/>
      <c r="E543" s="152" t="s">
        <v>367</v>
      </c>
      <c r="F543" s="152" t="s">
        <v>367</v>
      </c>
      <c r="G543" s="152"/>
      <c r="H543" s="152"/>
      <c r="I543" s="152"/>
      <c r="J543" s="152">
        <v>1899</v>
      </c>
      <c r="K543" s="152">
        <v>12</v>
      </c>
    </row>
    <row r="544" spans="1:11" ht="13.5" customHeight="1" x14ac:dyDescent="0.15">
      <c r="A544" s="141"/>
      <c r="B544" s="148">
        <v>541</v>
      </c>
      <c r="C544" s="163"/>
      <c r="D544" s="151"/>
      <c r="E544" s="151" t="s">
        <v>367</v>
      </c>
      <c r="F544" s="151" t="s">
        <v>367</v>
      </c>
      <c r="G544" s="151"/>
      <c r="H544" s="151"/>
      <c r="I544" s="151"/>
      <c r="J544" s="151">
        <v>1899</v>
      </c>
      <c r="K544" s="151">
        <v>12</v>
      </c>
    </row>
    <row r="545" spans="1:11" ht="13.5" customHeight="1" x14ac:dyDescent="0.15">
      <c r="A545" s="141"/>
      <c r="B545" s="148">
        <v>542</v>
      </c>
      <c r="C545" s="164"/>
      <c r="D545" s="152"/>
      <c r="E545" s="152" t="s">
        <v>367</v>
      </c>
      <c r="F545" s="152" t="s">
        <v>367</v>
      </c>
      <c r="G545" s="152"/>
      <c r="H545" s="152"/>
      <c r="I545" s="152"/>
      <c r="J545" s="152">
        <v>1899</v>
      </c>
      <c r="K545" s="152">
        <v>12</v>
      </c>
    </row>
    <row r="546" spans="1:11" ht="13.5" customHeight="1" x14ac:dyDescent="0.15">
      <c r="A546" s="141"/>
      <c r="B546" s="148">
        <v>543</v>
      </c>
      <c r="C546" s="163"/>
      <c r="D546" s="151"/>
      <c r="E546" s="151" t="s">
        <v>367</v>
      </c>
      <c r="F546" s="151" t="s">
        <v>367</v>
      </c>
      <c r="G546" s="151"/>
      <c r="H546" s="151"/>
      <c r="I546" s="151"/>
      <c r="J546" s="151">
        <v>1899</v>
      </c>
      <c r="K546" s="151">
        <v>12</v>
      </c>
    </row>
    <row r="547" spans="1:11" ht="13.5" customHeight="1" x14ac:dyDescent="0.15">
      <c r="A547" s="141"/>
      <c r="B547" s="148">
        <v>544</v>
      </c>
      <c r="C547" s="164"/>
      <c r="D547" s="152"/>
      <c r="E547" s="152" t="s">
        <v>367</v>
      </c>
      <c r="F547" s="152" t="s">
        <v>367</v>
      </c>
      <c r="G547" s="152"/>
      <c r="H547" s="152"/>
      <c r="I547" s="152"/>
      <c r="J547" s="152">
        <v>1899</v>
      </c>
      <c r="K547" s="152">
        <v>12</v>
      </c>
    </row>
    <row r="548" spans="1:11" ht="13.5" customHeight="1" x14ac:dyDescent="0.15">
      <c r="A548" s="141"/>
      <c r="B548" s="148">
        <v>545</v>
      </c>
      <c r="C548" s="163"/>
      <c r="D548" s="151"/>
      <c r="E548" s="151" t="s">
        <v>367</v>
      </c>
      <c r="F548" s="151" t="s">
        <v>367</v>
      </c>
      <c r="G548" s="151"/>
      <c r="H548" s="151"/>
      <c r="I548" s="151"/>
      <c r="J548" s="151">
        <v>1899</v>
      </c>
      <c r="K548" s="151">
        <v>12</v>
      </c>
    </row>
    <row r="549" spans="1:11" ht="13.5" customHeight="1" x14ac:dyDescent="0.15">
      <c r="A549" s="141"/>
      <c r="B549" s="148">
        <v>546</v>
      </c>
      <c r="C549" s="164"/>
      <c r="D549" s="152"/>
      <c r="E549" s="152" t="s">
        <v>367</v>
      </c>
      <c r="F549" s="152" t="s">
        <v>367</v>
      </c>
      <c r="G549" s="152"/>
      <c r="H549" s="152"/>
      <c r="I549" s="152"/>
      <c r="J549" s="152">
        <v>1899</v>
      </c>
      <c r="K549" s="152">
        <v>12</v>
      </c>
    </row>
    <row r="550" spans="1:11" ht="13.5" customHeight="1" x14ac:dyDescent="0.15">
      <c r="A550" s="141"/>
      <c r="B550" s="148">
        <v>547</v>
      </c>
      <c r="C550" s="163"/>
      <c r="D550" s="151"/>
      <c r="E550" s="151" t="s">
        <v>367</v>
      </c>
      <c r="F550" s="151" t="s">
        <v>367</v>
      </c>
      <c r="G550" s="151"/>
      <c r="H550" s="151"/>
      <c r="I550" s="151"/>
      <c r="J550" s="151">
        <v>1899</v>
      </c>
      <c r="K550" s="151">
        <v>12</v>
      </c>
    </row>
    <row r="551" spans="1:11" ht="13.5" customHeight="1" x14ac:dyDescent="0.15">
      <c r="A551" s="141"/>
      <c r="B551" s="148">
        <v>548</v>
      </c>
      <c r="C551" s="164"/>
      <c r="D551" s="152"/>
      <c r="E551" s="152" t="s">
        <v>367</v>
      </c>
      <c r="F551" s="152" t="s">
        <v>367</v>
      </c>
      <c r="G551" s="152"/>
      <c r="H551" s="152"/>
      <c r="I551" s="152"/>
      <c r="J551" s="152">
        <v>1899</v>
      </c>
      <c r="K551" s="152">
        <v>12</v>
      </c>
    </row>
    <row r="552" spans="1:11" ht="13.5" customHeight="1" x14ac:dyDescent="0.15">
      <c r="A552" s="141"/>
      <c r="B552" s="148">
        <v>549</v>
      </c>
      <c r="C552" s="163"/>
      <c r="D552" s="151"/>
      <c r="E552" s="151" t="s">
        <v>367</v>
      </c>
      <c r="F552" s="151" t="s">
        <v>367</v>
      </c>
      <c r="G552" s="151"/>
      <c r="H552" s="151"/>
      <c r="I552" s="151"/>
      <c r="J552" s="151">
        <v>1899</v>
      </c>
      <c r="K552" s="151">
        <v>12</v>
      </c>
    </row>
    <row r="553" spans="1:11" ht="13.5" customHeight="1" x14ac:dyDescent="0.15">
      <c r="A553" s="141"/>
      <c r="B553" s="148">
        <v>550</v>
      </c>
      <c r="C553" s="164"/>
      <c r="D553" s="152"/>
      <c r="E553" s="152" t="s">
        <v>367</v>
      </c>
      <c r="F553" s="152" t="s">
        <v>367</v>
      </c>
      <c r="G553" s="152"/>
      <c r="H553" s="152"/>
      <c r="I553" s="152"/>
      <c r="J553" s="152">
        <v>1899</v>
      </c>
      <c r="K553" s="152">
        <v>12</v>
      </c>
    </row>
    <row r="554" spans="1:11" ht="13.5" customHeight="1" x14ac:dyDescent="0.15">
      <c r="A554" s="141"/>
      <c r="B554" s="148">
        <v>551</v>
      </c>
      <c r="C554" s="163"/>
      <c r="D554" s="151"/>
      <c r="E554" s="151" t="s">
        <v>367</v>
      </c>
      <c r="F554" s="151" t="s">
        <v>367</v>
      </c>
      <c r="G554" s="151"/>
      <c r="H554" s="151"/>
      <c r="I554" s="151"/>
      <c r="J554" s="151">
        <v>1899</v>
      </c>
      <c r="K554" s="151">
        <v>12</v>
      </c>
    </row>
    <row r="555" spans="1:11" ht="13.5" customHeight="1" x14ac:dyDescent="0.15">
      <c r="A555" s="141"/>
      <c r="B555" s="148">
        <v>552</v>
      </c>
      <c r="C555" s="164"/>
      <c r="D555" s="152"/>
      <c r="E555" s="152" t="s">
        <v>367</v>
      </c>
      <c r="F555" s="152" t="s">
        <v>367</v>
      </c>
      <c r="G555" s="152"/>
      <c r="H555" s="152"/>
      <c r="I555" s="152"/>
      <c r="J555" s="152">
        <v>1899</v>
      </c>
      <c r="K555" s="152">
        <v>12</v>
      </c>
    </row>
    <row r="556" spans="1:11" ht="13.5" customHeight="1" x14ac:dyDescent="0.15">
      <c r="A556" s="141"/>
      <c r="B556" s="148">
        <v>553</v>
      </c>
      <c r="C556" s="163"/>
      <c r="D556" s="151"/>
      <c r="E556" s="151" t="s">
        <v>367</v>
      </c>
      <c r="F556" s="151" t="s">
        <v>367</v>
      </c>
      <c r="G556" s="151"/>
      <c r="H556" s="151"/>
      <c r="I556" s="151"/>
      <c r="J556" s="151">
        <v>1899</v>
      </c>
      <c r="K556" s="151">
        <v>12</v>
      </c>
    </row>
    <row r="557" spans="1:11" ht="13.5" customHeight="1" x14ac:dyDescent="0.15">
      <c r="A557" s="141"/>
      <c r="B557" s="148">
        <v>554</v>
      </c>
      <c r="C557" s="164"/>
      <c r="D557" s="152"/>
      <c r="E557" s="152" t="s">
        <v>367</v>
      </c>
      <c r="F557" s="152" t="s">
        <v>367</v>
      </c>
      <c r="G557" s="152"/>
      <c r="H557" s="152"/>
      <c r="I557" s="152"/>
      <c r="J557" s="152">
        <v>1899</v>
      </c>
      <c r="K557" s="152">
        <v>12</v>
      </c>
    </row>
    <row r="558" spans="1:11" ht="13.5" customHeight="1" x14ac:dyDescent="0.15">
      <c r="A558" s="141"/>
      <c r="B558" s="148">
        <v>555</v>
      </c>
      <c r="C558" s="163"/>
      <c r="D558" s="151"/>
      <c r="E558" s="151" t="s">
        <v>367</v>
      </c>
      <c r="F558" s="151" t="s">
        <v>367</v>
      </c>
      <c r="G558" s="151"/>
      <c r="H558" s="151"/>
      <c r="I558" s="151"/>
      <c r="J558" s="151">
        <v>1899</v>
      </c>
      <c r="K558" s="151">
        <v>12</v>
      </c>
    </row>
    <row r="559" spans="1:11" ht="13.5" customHeight="1" x14ac:dyDescent="0.15">
      <c r="A559" s="141"/>
      <c r="B559" s="148">
        <v>556</v>
      </c>
      <c r="C559" s="164"/>
      <c r="D559" s="152"/>
      <c r="E559" s="152" t="s">
        <v>367</v>
      </c>
      <c r="F559" s="152" t="s">
        <v>367</v>
      </c>
      <c r="G559" s="152"/>
      <c r="H559" s="152"/>
      <c r="I559" s="152"/>
      <c r="J559" s="152">
        <v>1899</v>
      </c>
      <c r="K559" s="152">
        <v>12</v>
      </c>
    </row>
    <row r="560" spans="1:11" ht="13.5" customHeight="1" x14ac:dyDescent="0.15">
      <c r="A560" s="141"/>
      <c r="B560" s="148">
        <v>557</v>
      </c>
      <c r="C560" s="163"/>
      <c r="D560" s="151"/>
      <c r="E560" s="151" t="s">
        <v>367</v>
      </c>
      <c r="F560" s="151" t="s">
        <v>367</v>
      </c>
      <c r="G560" s="151"/>
      <c r="H560" s="151"/>
      <c r="I560" s="151"/>
      <c r="J560" s="151">
        <v>1899</v>
      </c>
      <c r="K560" s="151">
        <v>12</v>
      </c>
    </row>
    <row r="561" spans="1:11" ht="13.5" customHeight="1" x14ac:dyDescent="0.15">
      <c r="A561" s="141"/>
      <c r="B561" s="148">
        <v>558</v>
      </c>
      <c r="C561" s="164"/>
      <c r="D561" s="152"/>
      <c r="E561" s="152" t="s">
        <v>367</v>
      </c>
      <c r="F561" s="152" t="s">
        <v>367</v>
      </c>
      <c r="G561" s="152"/>
      <c r="H561" s="152"/>
      <c r="I561" s="152"/>
      <c r="J561" s="152">
        <v>1899</v>
      </c>
      <c r="K561" s="152">
        <v>12</v>
      </c>
    </row>
    <row r="562" spans="1:11" ht="13.5" customHeight="1" x14ac:dyDescent="0.15">
      <c r="A562" s="141"/>
      <c r="B562" s="148">
        <v>559</v>
      </c>
      <c r="C562" s="163"/>
      <c r="D562" s="151"/>
      <c r="E562" s="151" t="s">
        <v>367</v>
      </c>
      <c r="F562" s="151" t="s">
        <v>367</v>
      </c>
      <c r="G562" s="151"/>
      <c r="H562" s="151"/>
      <c r="I562" s="151"/>
      <c r="J562" s="151">
        <v>1899</v>
      </c>
      <c r="K562" s="151">
        <v>12</v>
      </c>
    </row>
    <row r="563" spans="1:11" ht="13.5" customHeight="1" x14ac:dyDescent="0.15">
      <c r="A563" s="141"/>
      <c r="B563" s="148">
        <v>560</v>
      </c>
      <c r="C563" s="164"/>
      <c r="D563" s="152"/>
      <c r="E563" s="152" t="s">
        <v>367</v>
      </c>
      <c r="F563" s="152" t="s">
        <v>367</v>
      </c>
      <c r="G563" s="152"/>
      <c r="H563" s="152"/>
      <c r="I563" s="152"/>
      <c r="J563" s="152">
        <v>1899</v>
      </c>
      <c r="K563" s="152">
        <v>12</v>
      </c>
    </row>
    <row r="564" spans="1:11" ht="13.5" customHeight="1" x14ac:dyDescent="0.15">
      <c r="A564" s="141"/>
      <c r="B564" s="148">
        <v>561</v>
      </c>
      <c r="C564" s="163"/>
      <c r="D564" s="151"/>
      <c r="E564" s="151" t="s">
        <v>367</v>
      </c>
      <c r="F564" s="151" t="s">
        <v>367</v>
      </c>
      <c r="G564" s="151"/>
      <c r="H564" s="151"/>
      <c r="I564" s="151"/>
      <c r="J564" s="151">
        <v>1899</v>
      </c>
      <c r="K564" s="151">
        <v>12</v>
      </c>
    </row>
    <row r="565" spans="1:11" ht="13.5" customHeight="1" x14ac:dyDescent="0.15">
      <c r="A565" s="141"/>
      <c r="B565" s="148">
        <v>562</v>
      </c>
      <c r="C565" s="164"/>
      <c r="D565" s="152"/>
      <c r="E565" s="152" t="s">
        <v>367</v>
      </c>
      <c r="F565" s="152" t="s">
        <v>367</v>
      </c>
      <c r="G565" s="152"/>
      <c r="H565" s="152"/>
      <c r="I565" s="152"/>
      <c r="J565" s="152">
        <v>1899</v>
      </c>
      <c r="K565" s="152">
        <v>12</v>
      </c>
    </row>
    <row r="566" spans="1:11" ht="13.5" customHeight="1" x14ac:dyDescent="0.15">
      <c r="A566" s="141"/>
      <c r="B566" s="148">
        <v>563</v>
      </c>
      <c r="C566" s="163"/>
      <c r="D566" s="151"/>
      <c r="E566" s="151" t="s">
        <v>367</v>
      </c>
      <c r="F566" s="151" t="s">
        <v>367</v>
      </c>
      <c r="G566" s="151"/>
      <c r="H566" s="151"/>
      <c r="I566" s="151"/>
      <c r="J566" s="151">
        <v>1899</v>
      </c>
      <c r="K566" s="151">
        <v>12</v>
      </c>
    </row>
    <row r="567" spans="1:11" ht="13.5" customHeight="1" x14ac:dyDescent="0.15">
      <c r="A567" s="141"/>
      <c r="B567" s="148">
        <v>564</v>
      </c>
      <c r="C567" s="164"/>
      <c r="D567" s="152"/>
      <c r="E567" s="152" t="s">
        <v>367</v>
      </c>
      <c r="F567" s="152" t="s">
        <v>367</v>
      </c>
      <c r="G567" s="152"/>
      <c r="H567" s="152"/>
      <c r="I567" s="152"/>
      <c r="J567" s="152">
        <v>1899</v>
      </c>
      <c r="K567" s="152">
        <v>12</v>
      </c>
    </row>
    <row r="568" spans="1:11" ht="13.5" customHeight="1" x14ac:dyDescent="0.15">
      <c r="A568" s="141"/>
      <c r="B568" s="148">
        <v>565</v>
      </c>
      <c r="C568" s="163"/>
      <c r="D568" s="151"/>
      <c r="E568" s="151" t="s">
        <v>367</v>
      </c>
      <c r="F568" s="151" t="s">
        <v>367</v>
      </c>
      <c r="G568" s="151"/>
      <c r="H568" s="151"/>
      <c r="I568" s="151"/>
      <c r="J568" s="151">
        <v>1899</v>
      </c>
      <c r="K568" s="151">
        <v>12</v>
      </c>
    </row>
    <row r="569" spans="1:11" ht="13.5" customHeight="1" x14ac:dyDescent="0.15">
      <c r="A569" s="141"/>
      <c r="B569" s="148">
        <v>566</v>
      </c>
      <c r="C569" s="164"/>
      <c r="D569" s="152"/>
      <c r="E569" s="152" t="s">
        <v>367</v>
      </c>
      <c r="F569" s="152" t="s">
        <v>367</v>
      </c>
      <c r="G569" s="152"/>
      <c r="H569" s="152"/>
      <c r="I569" s="152"/>
      <c r="J569" s="152">
        <v>1899</v>
      </c>
      <c r="K569" s="152">
        <v>12</v>
      </c>
    </row>
    <row r="570" spans="1:11" ht="13.5" customHeight="1" x14ac:dyDescent="0.15">
      <c r="A570" s="141"/>
      <c r="B570" s="148">
        <v>567</v>
      </c>
      <c r="C570" s="163"/>
      <c r="D570" s="151"/>
      <c r="E570" s="151" t="s">
        <v>367</v>
      </c>
      <c r="F570" s="151" t="s">
        <v>367</v>
      </c>
      <c r="G570" s="151"/>
      <c r="H570" s="151"/>
      <c r="I570" s="151"/>
      <c r="J570" s="151">
        <v>1899</v>
      </c>
      <c r="K570" s="151">
        <v>12</v>
      </c>
    </row>
    <row r="571" spans="1:11" ht="13.5" customHeight="1" x14ac:dyDescent="0.15">
      <c r="A571" s="141"/>
      <c r="B571" s="148">
        <v>568</v>
      </c>
      <c r="C571" s="164"/>
      <c r="D571" s="152"/>
      <c r="E571" s="152" t="s">
        <v>367</v>
      </c>
      <c r="F571" s="152" t="s">
        <v>367</v>
      </c>
      <c r="G571" s="152"/>
      <c r="H571" s="152"/>
      <c r="I571" s="152"/>
      <c r="J571" s="152">
        <v>1899</v>
      </c>
      <c r="K571" s="152">
        <v>12</v>
      </c>
    </row>
    <row r="572" spans="1:11" ht="13.5" customHeight="1" x14ac:dyDescent="0.15">
      <c r="A572" s="141"/>
      <c r="B572" s="148">
        <v>569</v>
      </c>
      <c r="C572" s="163"/>
      <c r="D572" s="151"/>
      <c r="E572" s="151" t="s">
        <v>367</v>
      </c>
      <c r="F572" s="151" t="s">
        <v>367</v>
      </c>
      <c r="G572" s="151"/>
      <c r="H572" s="151"/>
      <c r="I572" s="151"/>
      <c r="J572" s="151">
        <v>1899</v>
      </c>
      <c r="K572" s="151">
        <v>12</v>
      </c>
    </row>
    <row r="573" spans="1:11" ht="13.5" customHeight="1" x14ac:dyDescent="0.15">
      <c r="A573" s="141"/>
      <c r="B573" s="148">
        <v>570</v>
      </c>
      <c r="C573" s="164"/>
      <c r="D573" s="152"/>
      <c r="E573" s="152" t="s">
        <v>367</v>
      </c>
      <c r="F573" s="152" t="s">
        <v>367</v>
      </c>
      <c r="G573" s="152"/>
      <c r="H573" s="152"/>
      <c r="I573" s="152"/>
      <c r="J573" s="152">
        <v>1899</v>
      </c>
      <c r="K573" s="152">
        <v>12</v>
      </c>
    </row>
    <row r="574" spans="1:11" ht="13.5" customHeight="1" x14ac:dyDescent="0.15">
      <c r="A574" s="141"/>
      <c r="B574" s="148">
        <v>571</v>
      </c>
      <c r="C574" s="163"/>
      <c r="D574" s="151"/>
      <c r="E574" s="151" t="s">
        <v>367</v>
      </c>
      <c r="F574" s="151" t="s">
        <v>367</v>
      </c>
      <c r="G574" s="151"/>
      <c r="H574" s="151"/>
      <c r="I574" s="151"/>
      <c r="J574" s="151">
        <v>1899</v>
      </c>
      <c r="K574" s="151">
        <v>12</v>
      </c>
    </row>
    <row r="575" spans="1:11" ht="13.5" customHeight="1" x14ac:dyDescent="0.15">
      <c r="A575" s="141"/>
      <c r="B575" s="148">
        <v>572</v>
      </c>
      <c r="C575" s="164"/>
      <c r="D575" s="152"/>
      <c r="E575" s="152" t="s">
        <v>367</v>
      </c>
      <c r="F575" s="152" t="s">
        <v>367</v>
      </c>
      <c r="G575" s="152"/>
      <c r="H575" s="152"/>
      <c r="I575" s="152"/>
      <c r="J575" s="152">
        <v>1899</v>
      </c>
      <c r="K575" s="152">
        <v>12</v>
      </c>
    </row>
    <row r="576" spans="1:11" ht="13.5" customHeight="1" x14ac:dyDescent="0.15">
      <c r="A576" s="141"/>
      <c r="B576" s="148">
        <v>573</v>
      </c>
      <c r="C576" s="163"/>
      <c r="D576" s="151"/>
      <c r="E576" s="151" t="s">
        <v>367</v>
      </c>
      <c r="F576" s="151" t="s">
        <v>367</v>
      </c>
      <c r="G576" s="151"/>
      <c r="H576" s="151"/>
      <c r="I576" s="151"/>
      <c r="J576" s="151">
        <v>1899</v>
      </c>
      <c r="K576" s="151">
        <v>12</v>
      </c>
    </row>
    <row r="577" spans="1:11" ht="13.5" customHeight="1" x14ac:dyDescent="0.15">
      <c r="A577" s="141"/>
      <c r="B577" s="148">
        <v>574</v>
      </c>
      <c r="C577" s="164"/>
      <c r="D577" s="152"/>
      <c r="E577" s="152" t="s">
        <v>367</v>
      </c>
      <c r="F577" s="152" t="s">
        <v>367</v>
      </c>
      <c r="G577" s="152"/>
      <c r="H577" s="152"/>
      <c r="I577" s="152"/>
      <c r="J577" s="152">
        <v>1899</v>
      </c>
      <c r="K577" s="152">
        <v>12</v>
      </c>
    </row>
    <row r="578" spans="1:11" ht="13.5" customHeight="1" x14ac:dyDescent="0.15">
      <c r="A578" s="141"/>
      <c r="B578" s="148">
        <v>575</v>
      </c>
      <c r="C578" s="163"/>
      <c r="D578" s="151"/>
      <c r="E578" s="151" t="s">
        <v>367</v>
      </c>
      <c r="F578" s="151" t="s">
        <v>367</v>
      </c>
      <c r="G578" s="151"/>
      <c r="H578" s="151"/>
      <c r="I578" s="151"/>
      <c r="J578" s="151">
        <v>1899</v>
      </c>
      <c r="K578" s="151">
        <v>12</v>
      </c>
    </row>
    <row r="579" spans="1:11" ht="13.5" customHeight="1" x14ac:dyDescent="0.15">
      <c r="A579" s="141"/>
      <c r="B579" s="148">
        <v>576</v>
      </c>
      <c r="C579" s="164"/>
      <c r="D579" s="152"/>
      <c r="E579" s="152" t="s">
        <v>367</v>
      </c>
      <c r="F579" s="152" t="s">
        <v>367</v>
      </c>
      <c r="G579" s="152"/>
      <c r="H579" s="152"/>
      <c r="I579" s="152"/>
      <c r="J579" s="152">
        <v>1899</v>
      </c>
      <c r="K579" s="152">
        <v>12</v>
      </c>
    </row>
    <row r="580" spans="1:11" ht="13.5" customHeight="1" x14ac:dyDescent="0.15">
      <c r="A580" s="141"/>
      <c r="B580" s="148">
        <v>577</v>
      </c>
      <c r="C580" s="163"/>
      <c r="D580" s="151"/>
      <c r="E580" s="151" t="s">
        <v>367</v>
      </c>
      <c r="F580" s="151" t="s">
        <v>367</v>
      </c>
      <c r="G580" s="151"/>
      <c r="H580" s="151"/>
      <c r="I580" s="151"/>
      <c r="J580" s="151">
        <v>1899</v>
      </c>
      <c r="K580" s="151">
        <v>12</v>
      </c>
    </row>
    <row r="581" spans="1:11" ht="13.5" customHeight="1" x14ac:dyDescent="0.15">
      <c r="A581" s="141"/>
      <c r="B581" s="148">
        <v>578</v>
      </c>
      <c r="C581" s="164"/>
      <c r="D581" s="152"/>
      <c r="E581" s="152" t="s">
        <v>367</v>
      </c>
      <c r="F581" s="152" t="s">
        <v>367</v>
      </c>
      <c r="G581" s="152"/>
      <c r="H581" s="152"/>
      <c r="I581" s="152"/>
      <c r="J581" s="152">
        <v>1899</v>
      </c>
      <c r="K581" s="152">
        <v>12</v>
      </c>
    </row>
    <row r="582" spans="1:11" ht="13.5" customHeight="1" x14ac:dyDescent="0.15">
      <c r="A582" s="141"/>
      <c r="B582" s="148">
        <v>579</v>
      </c>
      <c r="C582" s="163"/>
      <c r="D582" s="151"/>
      <c r="E582" s="151" t="s">
        <v>367</v>
      </c>
      <c r="F582" s="151" t="s">
        <v>367</v>
      </c>
      <c r="G582" s="151"/>
      <c r="H582" s="151"/>
      <c r="I582" s="151"/>
      <c r="J582" s="151">
        <v>1899</v>
      </c>
      <c r="K582" s="151">
        <v>12</v>
      </c>
    </row>
    <row r="583" spans="1:11" ht="13.5" customHeight="1" x14ac:dyDescent="0.15">
      <c r="A583" s="141"/>
      <c r="B583" s="148">
        <v>580</v>
      </c>
      <c r="C583" s="164"/>
      <c r="D583" s="152"/>
      <c r="E583" s="152" t="s">
        <v>367</v>
      </c>
      <c r="F583" s="152" t="s">
        <v>367</v>
      </c>
      <c r="G583" s="152"/>
      <c r="H583" s="152"/>
      <c r="I583" s="152"/>
      <c r="J583" s="152">
        <v>1899</v>
      </c>
      <c r="K583" s="152">
        <v>12</v>
      </c>
    </row>
    <row r="584" spans="1:11" ht="13.5" customHeight="1" x14ac:dyDescent="0.15">
      <c r="A584" s="141"/>
      <c r="B584" s="148">
        <v>581</v>
      </c>
      <c r="C584" s="163"/>
      <c r="D584" s="151"/>
      <c r="E584" s="151" t="s">
        <v>367</v>
      </c>
      <c r="F584" s="151" t="s">
        <v>367</v>
      </c>
      <c r="G584" s="151"/>
      <c r="H584" s="151"/>
      <c r="I584" s="151"/>
      <c r="J584" s="151">
        <v>1899</v>
      </c>
      <c r="K584" s="151">
        <v>12</v>
      </c>
    </row>
    <row r="585" spans="1:11" ht="13.5" customHeight="1" x14ac:dyDescent="0.15">
      <c r="A585" s="141"/>
      <c r="B585" s="148">
        <v>582</v>
      </c>
      <c r="C585" s="164"/>
      <c r="D585" s="152"/>
      <c r="E585" s="152" t="s">
        <v>367</v>
      </c>
      <c r="F585" s="152" t="s">
        <v>367</v>
      </c>
      <c r="G585" s="152"/>
      <c r="H585" s="152"/>
      <c r="I585" s="152"/>
      <c r="J585" s="152">
        <v>1899</v>
      </c>
      <c r="K585" s="152">
        <v>12</v>
      </c>
    </row>
    <row r="586" spans="1:11" ht="13.5" customHeight="1" x14ac:dyDescent="0.15">
      <c r="A586" s="141"/>
      <c r="B586" s="148">
        <v>583</v>
      </c>
      <c r="C586" s="163"/>
      <c r="D586" s="151"/>
      <c r="E586" s="151" t="s">
        <v>367</v>
      </c>
      <c r="F586" s="151" t="s">
        <v>367</v>
      </c>
      <c r="G586" s="151"/>
      <c r="H586" s="151"/>
      <c r="I586" s="151"/>
      <c r="J586" s="151">
        <v>1899</v>
      </c>
      <c r="K586" s="151">
        <v>12</v>
      </c>
    </row>
    <row r="587" spans="1:11" ht="13.5" customHeight="1" x14ac:dyDescent="0.15">
      <c r="A587" s="141"/>
      <c r="B587" s="148">
        <v>584</v>
      </c>
      <c r="C587" s="164"/>
      <c r="D587" s="152"/>
      <c r="E587" s="152" t="s">
        <v>367</v>
      </c>
      <c r="F587" s="152" t="s">
        <v>367</v>
      </c>
      <c r="G587" s="152"/>
      <c r="H587" s="152"/>
      <c r="I587" s="152"/>
      <c r="J587" s="152">
        <v>1899</v>
      </c>
      <c r="K587" s="152">
        <v>12</v>
      </c>
    </row>
    <row r="588" spans="1:11" ht="13.5" customHeight="1" x14ac:dyDescent="0.15">
      <c r="A588" s="141"/>
      <c r="B588" s="148">
        <v>585</v>
      </c>
      <c r="C588" s="163"/>
      <c r="D588" s="151"/>
      <c r="E588" s="151" t="s">
        <v>367</v>
      </c>
      <c r="F588" s="151" t="s">
        <v>367</v>
      </c>
      <c r="G588" s="151"/>
      <c r="H588" s="151"/>
      <c r="I588" s="151"/>
      <c r="J588" s="151">
        <v>1899</v>
      </c>
      <c r="K588" s="151">
        <v>12</v>
      </c>
    </row>
    <row r="589" spans="1:11" ht="13.5" customHeight="1" x14ac:dyDescent="0.15">
      <c r="A589" s="141"/>
      <c r="B589" s="148">
        <v>586</v>
      </c>
      <c r="C589" s="164"/>
      <c r="D589" s="152"/>
      <c r="E589" s="152" t="s">
        <v>367</v>
      </c>
      <c r="F589" s="152" t="s">
        <v>367</v>
      </c>
      <c r="G589" s="152"/>
      <c r="H589" s="152"/>
      <c r="I589" s="152"/>
      <c r="J589" s="152">
        <v>1899</v>
      </c>
      <c r="K589" s="152">
        <v>12</v>
      </c>
    </row>
    <row r="590" spans="1:11" ht="13.5" customHeight="1" x14ac:dyDescent="0.15">
      <c r="A590" s="141"/>
      <c r="B590" s="148">
        <v>587</v>
      </c>
      <c r="C590" s="163"/>
      <c r="D590" s="151"/>
      <c r="E590" s="151" t="s">
        <v>367</v>
      </c>
      <c r="F590" s="151" t="s">
        <v>367</v>
      </c>
      <c r="G590" s="151"/>
      <c r="H590" s="151"/>
      <c r="I590" s="151"/>
      <c r="J590" s="151">
        <v>1899</v>
      </c>
      <c r="K590" s="151">
        <v>12</v>
      </c>
    </row>
    <row r="591" spans="1:11" ht="13.5" customHeight="1" x14ac:dyDescent="0.15">
      <c r="A591" s="141"/>
      <c r="B591" s="148">
        <v>588</v>
      </c>
      <c r="C591" s="164"/>
      <c r="D591" s="152"/>
      <c r="E591" s="152" t="s">
        <v>367</v>
      </c>
      <c r="F591" s="152" t="s">
        <v>367</v>
      </c>
      <c r="G591" s="152"/>
      <c r="H591" s="152"/>
      <c r="I591" s="152"/>
      <c r="J591" s="152">
        <v>1899</v>
      </c>
      <c r="K591" s="152">
        <v>12</v>
      </c>
    </row>
    <row r="592" spans="1:11" ht="13.5" customHeight="1" x14ac:dyDescent="0.15">
      <c r="A592" s="141"/>
      <c r="B592" s="148">
        <v>589</v>
      </c>
      <c r="C592" s="163"/>
      <c r="D592" s="151"/>
      <c r="E592" s="151" t="s">
        <v>367</v>
      </c>
      <c r="F592" s="151" t="s">
        <v>367</v>
      </c>
      <c r="G592" s="151"/>
      <c r="H592" s="151"/>
      <c r="I592" s="151"/>
      <c r="J592" s="151">
        <v>1899</v>
      </c>
      <c r="K592" s="151">
        <v>12</v>
      </c>
    </row>
    <row r="593" spans="1:11" ht="13.5" customHeight="1" x14ac:dyDescent="0.15">
      <c r="A593" s="141"/>
      <c r="B593" s="148">
        <v>590</v>
      </c>
      <c r="C593" s="164"/>
      <c r="D593" s="152"/>
      <c r="E593" s="152" t="s">
        <v>367</v>
      </c>
      <c r="F593" s="152" t="s">
        <v>367</v>
      </c>
      <c r="G593" s="152"/>
      <c r="H593" s="152"/>
      <c r="I593" s="152"/>
      <c r="J593" s="152">
        <v>1899</v>
      </c>
      <c r="K593" s="152">
        <v>12</v>
      </c>
    </row>
    <row r="594" spans="1:11" ht="13.5" customHeight="1" x14ac:dyDescent="0.15">
      <c r="A594" s="141"/>
      <c r="B594" s="148">
        <v>591</v>
      </c>
      <c r="C594" s="163"/>
      <c r="D594" s="151"/>
      <c r="E594" s="151" t="s">
        <v>367</v>
      </c>
      <c r="F594" s="151" t="s">
        <v>367</v>
      </c>
      <c r="G594" s="151"/>
      <c r="H594" s="151"/>
      <c r="I594" s="151"/>
      <c r="J594" s="151">
        <v>1899</v>
      </c>
      <c r="K594" s="151">
        <v>12</v>
      </c>
    </row>
    <row r="595" spans="1:11" ht="13.5" customHeight="1" x14ac:dyDescent="0.15">
      <c r="A595" s="141"/>
      <c r="B595" s="148">
        <v>592</v>
      </c>
      <c r="C595" s="164"/>
      <c r="D595" s="152"/>
      <c r="E595" s="152" t="s">
        <v>367</v>
      </c>
      <c r="F595" s="152" t="s">
        <v>367</v>
      </c>
      <c r="G595" s="152"/>
      <c r="H595" s="152"/>
      <c r="I595" s="152"/>
      <c r="J595" s="152">
        <v>1899</v>
      </c>
      <c r="K595" s="152">
        <v>12</v>
      </c>
    </row>
    <row r="596" spans="1:11" ht="13.5" customHeight="1" x14ac:dyDescent="0.15">
      <c r="A596" s="141"/>
      <c r="B596" s="148">
        <v>593</v>
      </c>
      <c r="C596" s="163"/>
      <c r="D596" s="151"/>
      <c r="E596" s="151" t="s">
        <v>367</v>
      </c>
      <c r="F596" s="151" t="s">
        <v>367</v>
      </c>
      <c r="G596" s="151"/>
      <c r="H596" s="151"/>
      <c r="I596" s="151"/>
      <c r="J596" s="151">
        <v>1899</v>
      </c>
      <c r="K596" s="151">
        <v>12</v>
      </c>
    </row>
    <row r="597" spans="1:11" ht="13.5" customHeight="1" x14ac:dyDescent="0.15">
      <c r="A597" s="141"/>
      <c r="B597" s="148">
        <v>594</v>
      </c>
      <c r="C597" s="164"/>
      <c r="D597" s="152"/>
      <c r="E597" s="152" t="s">
        <v>367</v>
      </c>
      <c r="F597" s="152" t="s">
        <v>367</v>
      </c>
      <c r="G597" s="152"/>
      <c r="H597" s="152"/>
      <c r="I597" s="152"/>
      <c r="J597" s="152">
        <v>1899</v>
      </c>
      <c r="K597" s="152">
        <v>12</v>
      </c>
    </row>
    <row r="598" spans="1:11" ht="13.5" customHeight="1" x14ac:dyDescent="0.15">
      <c r="A598" s="141"/>
      <c r="B598" s="148">
        <v>595</v>
      </c>
      <c r="C598" s="163"/>
      <c r="D598" s="151"/>
      <c r="E598" s="151" t="s">
        <v>367</v>
      </c>
      <c r="F598" s="151" t="s">
        <v>367</v>
      </c>
      <c r="G598" s="151"/>
      <c r="H598" s="151"/>
      <c r="I598" s="151"/>
      <c r="J598" s="151">
        <v>1899</v>
      </c>
      <c r="K598" s="151">
        <v>12</v>
      </c>
    </row>
    <row r="599" spans="1:11" ht="13.5" customHeight="1" x14ac:dyDescent="0.15">
      <c r="A599" s="141"/>
      <c r="B599" s="148">
        <v>596</v>
      </c>
      <c r="C599" s="164"/>
      <c r="D599" s="152"/>
      <c r="E599" s="152" t="s">
        <v>367</v>
      </c>
      <c r="F599" s="152" t="s">
        <v>367</v>
      </c>
      <c r="G599" s="152"/>
      <c r="H599" s="152"/>
      <c r="I599" s="152"/>
      <c r="J599" s="152">
        <v>1899</v>
      </c>
      <c r="K599" s="152">
        <v>12</v>
      </c>
    </row>
    <row r="600" spans="1:11" ht="13.5" customHeight="1" x14ac:dyDescent="0.15">
      <c r="A600" s="141"/>
      <c r="B600" s="148">
        <v>597</v>
      </c>
      <c r="C600" s="163"/>
      <c r="D600" s="151"/>
      <c r="E600" s="151" t="s">
        <v>367</v>
      </c>
      <c r="F600" s="151" t="s">
        <v>367</v>
      </c>
      <c r="G600" s="151"/>
      <c r="H600" s="151"/>
      <c r="I600" s="151"/>
      <c r="J600" s="151">
        <v>1899</v>
      </c>
      <c r="K600" s="151">
        <v>12</v>
      </c>
    </row>
    <row r="601" spans="1:11" ht="13.5" customHeight="1" x14ac:dyDescent="0.15">
      <c r="A601" s="141"/>
      <c r="B601" s="148">
        <v>598</v>
      </c>
      <c r="C601" s="164"/>
      <c r="D601" s="152"/>
      <c r="E601" s="152" t="s">
        <v>367</v>
      </c>
      <c r="F601" s="152" t="s">
        <v>367</v>
      </c>
      <c r="G601" s="152"/>
      <c r="H601" s="152"/>
      <c r="I601" s="152"/>
      <c r="J601" s="152">
        <v>1899</v>
      </c>
      <c r="K601" s="152">
        <v>12</v>
      </c>
    </row>
    <row r="602" spans="1:11" ht="13.5" customHeight="1" x14ac:dyDescent="0.15">
      <c r="A602" s="141"/>
      <c r="B602" s="148">
        <v>599</v>
      </c>
      <c r="C602" s="163"/>
      <c r="D602" s="151"/>
      <c r="E602" s="151" t="s">
        <v>367</v>
      </c>
      <c r="F602" s="151" t="s">
        <v>367</v>
      </c>
      <c r="G602" s="151"/>
      <c r="H602" s="151"/>
      <c r="I602" s="151"/>
      <c r="J602" s="151">
        <v>1899</v>
      </c>
      <c r="K602" s="151">
        <v>12</v>
      </c>
    </row>
    <row r="603" spans="1:11" ht="13.5" customHeight="1" x14ac:dyDescent="0.15">
      <c r="A603" s="141"/>
      <c r="B603" s="148">
        <v>600</v>
      </c>
      <c r="C603" s="164"/>
      <c r="D603" s="152"/>
      <c r="E603" s="152" t="s">
        <v>367</v>
      </c>
      <c r="F603" s="152" t="s">
        <v>367</v>
      </c>
      <c r="G603" s="152"/>
      <c r="H603" s="152"/>
      <c r="I603" s="152"/>
      <c r="J603" s="152">
        <v>1899</v>
      </c>
      <c r="K603" s="152">
        <v>12</v>
      </c>
    </row>
    <row r="604" spans="1:11" ht="13.5" customHeight="1" x14ac:dyDescent="0.15">
      <c r="A604" s="141"/>
      <c r="B604" s="148">
        <v>601</v>
      </c>
      <c r="C604" s="163"/>
      <c r="D604" s="151"/>
      <c r="E604" s="151" t="s">
        <v>367</v>
      </c>
      <c r="F604" s="151" t="s">
        <v>367</v>
      </c>
      <c r="G604" s="151"/>
      <c r="H604" s="151"/>
      <c r="I604" s="151"/>
      <c r="J604" s="151">
        <v>1899</v>
      </c>
      <c r="K604" s="151">
        <v>12</v>
      </c>
    </row>
    <row r="605" spans="1:11" ht="13.5" customHeight="1" x14ac:dyDescent="0.15">
      <c r="A605" s="141"/>
      <c r="B605" s="148">
        <v>602</v>
      </c>
      <c r="C605" s="164"/>
      <c r="D605" s="152"/>
      <c r="E605" s="152" t="s">
        <v>367</v>
      </c>
      <c r="F605" s="152" t="s">
        <v>367</v>
      </c>
      <c r="G605" s="152"/>
      <c r="H605" s="152"/>
      <c r="I605" s="152"/>
      <c r="J605" s="152">
        <v>1899</v>
      </c>
      <c r="K605" s="152">
        <v>12</v>
      </c>
    </row>
    <row r="606" spans="1:11" ht="13.5" customHeight="1" x14ac:dyDescent="0.15">
      <c r="A606" s="141"/>
      <c r="B606" s="148">
        <v>603</v>
      </c>
      <c r="C606" s="163"/>
      <c r="D606" s="151"/>
      <c r="E606" s="151" t="s">
        <v>367</v>
      </c>
      <c r="F606" s="151" t="s">
        <v>367</v>
      </c>
      <c r="G606" s="151"/>
      <c r="H606" s="151"/>
      <c r="I606" s="151"/>
      <c r="J606" s="151">
        <v>1899</v>
      </c>
      <c r="K606" s="151">
        <v>12</v>
      </c>
    </row>
    <row r="607" spans="1:11" ht="13.5" customHeight="1" x14ac:dyDescent="0.15">
      <c r="A607" s="141"/>
      <c r="B607" s="148">
        <v>604</v>
      </c>
      <c r="C607" s="164"/>
      <c r="D607" s="152"/>
      <c r="E607" s="152" t="s">
        <v>367</v>
      </c>
      <c r="F607" s="152" t="s">
        <v>367</v>
      </c>
      <c r="G607" s="152"/>
      <c r="H607" s="152"/>
      <c r="I607" s="152"/>
      <c r="J607" s="152">
        <v>1899</v>
      </c>
      <c r="K607" s="152">
        <v>12</v>
      </c>
    </row>
    <row r="608" spans="1:11" ht="13.5" customHeight="1" x14ac:dyDescent="0.15">
      <c r="A608" s="141"/>
      <c r="B608" s="148">
        <v>605</v>
      </c>
      <c r="C608" s="163"/>
      <c r="D608" s="151"/>
      <c r="E608" s="151" t="s">
        <v>367</v>
      </c>
      <c r="F608" s="151" t="s">
        <v>367</v>
      </c>
      <c r="G608" s="151"/>
      <c r="H608" s="151"/>
      <c r="I608" s="151"/>
      <c r="J608" s="151">
        <v>1899</v>
      </c>
      <c r="K608" s="151">
        <v>12</v>
      </c>
    </row>
    <row r="609" spans="1:11" ht="13.5" customHeight="1" x14ac:dyDescent="0.15">
      <c r="A609" s="141"/>
      <c r="B609" s="148">
        <v>606</v>
      </c>
      <c r="C609" s="164"/>
      <c r="D609" s="152"/>
      <c r="E609" s="152" t="s">
        <v>367</v>
      </c>
      <c r="F609" s="152" t="s">
        <v>367</v>
      </c>
      <c r="G609" s="152"/>
      <c r="H609" s="152"/>
      <c r="I609" s="152"/>
      <c r="J609" s="152">
        <v>1899</v>
      </c>
      <c r="K609" s="152">
        <v>12</v>
      </c>
    </row>
    <row r="610" spans="1:11" ht="13.5" customHeight="1" x14ac:dyDescent="0.15">
      <c r="A610" s="141"/>
      <c r="B610" s="148">
        <v>607</v>
      </c>
      <c r="C610" s="163"/>
      <c r="D610" s="151"/>
      <c r="E610" s="151" t="s">
        <v>367</v>
      </c>
      <c r="F610" s="151" t="s">
        <v>367</v>
      </c>
      <c r="G610" s="151"/>
      <c r="H610" s="151"/>
      <c r="I610" s="151"/>
      <c r="J610" s="151">
        <v>1899</v>
      </c>
      <c r="K610" s="151">
        <v>12</v>
      </c>
    </row>
    <row r="611" spans="1:11" ht="13.5" customHeight="1" x14ac:dyDescent="0.15">
      <c r="A611" s="141"/>
      <c r="B611" s="148">
        <v>608</v>
      </c>
      <c r="C611" s="164"/>
      <c r="D611" s="152"/>
      <c r="E611" s="152" t="s">
        <v>367</v>
      </c>
      <c r="F611" s="152" t="s">
        <v>367</v>
      </c>
      <c r="G611" s="152"/>
      <c r="H611" s="152"/>
      <c r="I611" s="152"/>
      <c r="J611" s="152">
        <v>1899</v>
      </c>
      <c r="K611" s="152">
        <v>12</v>
      </c>
    </row>
    <row r="612" spans="1:11" ht="13.5" customHeight="1" x14ac:dyDescent="0.15">
      <c r="A612" s="141"/>
      <c r="B612" s="148">
        <v>609</v>
      </c>
      <c r="C612" s="163"/>
      <c r="D612" s="151"/>
      <c r="E612" s="151" t="s">
        <v>367</v>
      </c>
      <c r="F612" s="151" t="s">
        <v>367</v>
      </c>
      <c r="G612" s="151"/>
      <c r="H612" s="151"/>
      <c r="I612" s="151"/>
      <c r="J612" s="151">
        <v>1899</v>
      </c>
      <c r="K612" s="151">
        <v>12</v>
      </c>
    </row>
    <row r="613" spans="1:11" ht="13.5" customHeight="1" x14ac:dyDescent="0.15">
      <c r="A613" s="141"/>
      <c r="B613" s="148">
        <v>610</v>
      </c>
      <c r="C613" s="164"/>
      <c r="D613" s="152"/>
      <c r="E613" s="152" t="s">
        <v>367</v>
      </c>
      <c r="F613" s="152" t="s">
        <v>367</v>
      </c>
      <c r="G613" s="152"/>
      <c r="H613" s="152"/>
      <c r="I613" s="152"/>
      <c r="J613" s="152">
        <v>1899</v>
      </c>
      <c r="K613" s="152">
        <v>12</v>
      </c>
    </row>
    <row r="614" spans="1:11" ht="13.5" customHeight="1" x14ac:dyDescent="0.15">
      <c r="A614" s="141"/>
      <c r="B614" s="148">
        <v>611</v>
      </c>
      <c r="C614" s="163"/>
      <c r="D614" s="151"/>
      <c r="E614" s="151" t="s">
        <v>367</v>
      </c>
      <c r="F614" s="151" t="s">
        <v>367</v>
      </c>
      <c r="G614" s="151"/>
      <c r="H614" s="151"/>
      <c r="I614" s="151"/>
      <c r="J614" s="151">
        <v>1899</v>
      </c>
      <c r="K614" s="151">
        <v>12</v>
      </c>
    </row>
    <row r="615" spans="1:11" ht="13.5" customHeight="1" x14ac:dyDescent="0.15">
      <c r="A615" s="141"/>
      <c r="B615" s="148">
        <v>612</v>
      </c>
      <c r="C615" s="164"/>
      <c r="D615" s="152"/>
      <c r="E615" s="152" t="s">
        <v>367</v>
      </c>
      <c r="F615" s="152" t="s">
        <v>367</v>
      </c>
      <c r="G615" s="152"/>
      <c r="H615" s="152"/>
      <c r="I615" s="152"/>
      <c r="J615" s="152">
        <v>1899</v>
      </c>
      <c r="K615" s="152">
        <v>12</v>
      </c>
    </row>
    <row r="616" spans="1:11" ht="13.5" customHeight="1" x14ac:dyDescent="0.15">
      <c r="A616" s="141"/>
      <c r="B616" s="148">
        <v>613</v>
      </c>
      <c r="C616" s="163"/>
      <c r="D616" s="151"/>
      <c r="E616" s="151" t="s">
        <v>367</v>
      </c>
      <c r="F616" s="151" t="s">
        <v>367</v>
      </c>
      <c r="G616" s="151"/>
      <c r="H616" s="151"/>
      <c r="I616" s="151"/>
      <c r="J616" s="151">
        <v>1899</v>
      </c>
      <c r="K616" s="151">
        <v>12</v>
      </c>
    </row>
    <row r="617" spans="1:11" ht="13.5" customHeight="1" x14ac:dyDescent="0.15">
      <c r="A617" s="141"/>
      <c r="B617" s="148">
        <v>614</v>
      </c>
      <c r="C617" s="164"/>
      <c r="D617" s="152"/>
      <c r="E617" s="152" t="s">
        <v>367</v>
      </c>
      <c r="F617" s="152" t="s">
        <v>367</v>
      </c>
      <c r="G617" s="152"/>
      <c r="H617" s="152"/>
      <c r="I617" s="152"/>
      <c r="J617" s="152">
        <v>1899</v>
      </c>
      <c r="K617" s="152">
        <v>12</v>
      </c>
    </row>
    <row r="618" spans="1:11" ht="13.5" customHeight="1" x14ac:dyDescent="0.15">
      <c r="A618" s="141"/>
      <c r="B618" s="148">
        <v>615</v>
      </c>
      <c r="C618" s="163"/>
      <c r="D618" s="151"/>
      <c r="E618" s="151" t="s">
        <v>367</v>
      </c>
      <c r="F618" s="151" t="s">
        <v>367</v>
      </c>
      <c r="G618" s="151"/>
      <c r="H618" s="151"/>
      <c r="I618" s="151"/>
      <c r="J618" s="151">
        <v>1899</v>
      </c>
      <c r="K618" s="151">
        <v>12</v>
      </c>
    </row>
    <row r="619" spans="1:11" ht="13.5" customHeight="1" x14ac:dyDescent="0.15">
      <c r="A619" s="141"/>
      <c r="B619" s="148">
        <v>616</v>
      </c>
      <c r="C619" s="164"/>
      <c r="D619" s="152"/>
      <c r="E619" s="152" t="s">
        <v>367</v>
      </c>
      <c r="F619" s="152" t="s">
        <v>367</v>
      </c>
      <c r="G619" s="152"/>
      <c r="H619" s="152"/>
      <c r="I619" s="152"/>
      <c r="J619" s="152">
        <v>1899</v>
      </c>
      <c r="K619" s="152">
        <v>12</v>
      </c>
    </row>
    <row r="620" spans="1:11" ht="13.5" customHeight="1" x14ac:dyDescent="0.15">
      <c r="A620" s="141"/>
      <c r="B620" s="148">
        <v>617</v>
      </c>
      <c r="C620" s="163"/>
      <c r="D620" s="151"/>
      <c r="E620" s="151" t="s">
        <v>367</v>
      </c>
      <c r="F620" s="151" t="s">
        <v>367</v>
      </c>
      <c r="G620" s="151"/>
      <c r="H620" s="151"/>
      <c r="I620" s="151"/>
      <c r="J620" s="151">
        <v>1899</v>
      </c>
      <c r="K620" s="151">
        <v>12</v>
      </c>
    </row>
    <row r="621" spans="1:11" ht="13.5" customHeight="1" x14ac:dyDescent="0.15">
      <c r="A621" s="141"/>
      <c r="B621" s="148">
        <v>618</v>
      </c>
      <c r="C621" s="164"/>
      <c r="D621" s="152"/>
      <c r="E621" s="152" t="s">
        <v>367</v>
      </c>
      <c r="F621" s="152" t="s">
        <v>367</v>
      </c>
      <c r="G621" s="152"/>
      <c r="H621" s="152"/>
      <c r="I621" s="152"/>
      <c r="J621" s="152">
        <v>1899</v>
      </c>
      <c r="K621" s="152">
        <v>12</v>
      </c>
    </row>
    <row r="622" spans="1:11" ht="13.5" customHeight="1" x14ac:dyDescent="0.15">
      <c r="A622" s="141"/>
      <c r="B622" s="148">
        <v>619</v>
      </c>
      <c r="C622" s="163"/>
      <c r="D622" s="151"/>
      <c r="E622" s="151" t="s">
        <v>367</v>
      </c>
      <c r="F622" s="151" t="s">
        <v>367</v>
      </c>
      <c r="G622" s="151"/>
      <c r="H622" s="151"/>
      <c r="I622" s="151"/>
      <c r="J622" s="151">
        <v>1899</v>
      </c>
      <c r="K622" s="151">
        <v>12</v>
      </c>
    </row>
    <row r="623" spans="1:11" ht="13.5" customHeight="1" x14ac:dyDescent="0.15">
      <c r="A623" s="141"/>
      <c r="B623" s="148">
        <v>620</v>
      </c>
      <c r="C623" s="164"/>
      <c r="D623" s="152"/>
      <c r="E623" s="152" t="s">
        <v>367</v>
      </c>
      <c r="F623" s="152" t="s">
        <v>367</v>
      </c>
      <c r="G623" s="152"/>
      <c r="H623" s="152"/>
      <c r="I623" s="152"/>
      <c r="J623" s="152">
        <v>1899</v>
      </c>
      <c r="K623" s="152">
        <v>12</v>
      </c>
    </row>
    <row r="624" spans="1:11" ht="13.5" customHeight="1" x14ac:dyDescent="0.15">
      <c r="A624" s="141"/>
      <c r="B624" s="148">
        <v>621</v>
      </c>
      <c r="C624" s="163"/>
      <c r="D624" s="151"/>
      <c r="E624" s="151" t="s">
        <v>367</v>
      </c>
      <c r="F624" s="151" t="s">
        <v>367</v>
      </c>
      <c r="G624" s="151"/>
      <c r="H624" s="151"/>
      <c r="I624" s="151"/>
      <c r="J624" s="151">
        <v>1899</v>
      </c>
      <c r="K624" s="151">
        <v>12</v>
      </c>
    </row>
    <row r="625" spans="1:11" ht="13.5" customHeight="1" x14ac:dyDescent="0.15">
      <c r="A625" s="141"/>
      <c r="B625" s="148">
        <v>622</v>
      </c>
      <c r="C625" s="164"/>
      <c r="D625" s="152"/>
      <c r="E625" s="152" t="s">
        <v>367</v>
      </c>
      <c r="F625" s="152" t="s">
        <v>367</v>
      </c>
      <c r="G625" s="152"/>
      <c r="H625" s="152"/>
      <c r="I625" s="152"/>
      <c r="J625" s="152">
        <v>1899</v>
      </c>
      <c r="K625" s="152">
        <v>12</v>
      </c>
    </row>
    <row r="626" spans="1:11" ht="13.5" customHeight="1" x14ac:dyDescent="0.15">
      <c r="A626" s="141"/>
      <c r="B626" s="148">
        <v>623</v>
      </c>
      <c r="C626" s="163"/>
      <c r="D626" s="151"/>
      <c r="E626" s="151" t="s">
        <v>367</v>
      </c>
      <c r="F626" s="151" t="s">
        <v>367</v>
      </c>
      <c r="G626" s="151"/>
      <c r="H626" s="151"/>
      <c r="I626" s="151"/>
      <c r="J626" s="151">
        <v>1899</v>
      </c>
      <c r="K626" s="151">
        <v>12</v>
      </c>
    </row>
    <row r="627" spans="1:11" ht="13.5" customHeight="1" x14ac:dyDescent="0.15">
      <c r="A627" s="141"/>
      <c r="B627" s="148">
        <v>624</v>
      </c>
      <c r="C627" s="164"/>
      <c r="D627" s="152"/>
      <c r="E627" s="152" t="s">
        <v>367</v>
      </c>
      <c r="F627" s="152" t="s">
        <v>367</v>
      </c>
      <c r="G627" s="152"/>
      <c r="H627" s="152"/>
      <c r="I627" s="152"/>
      <c r="J627" s="152">
        <v>1899</v>
      </c>
      <c r="K627" s="152">
        <v>12</v>
      </c>
    </row>
    <row r="628" spans="1:11" ht="13.5" customHeight="1" x14ac:dyDescent="0.15">
      <c r="A628" s="141"/>
      <c r="B628" s="148">
        <v>625</v>
      </c>
      <c r="C628" s="163"/>
      <c r="D628" s="151"/>
      <c r="E628" s="151" t="s">
        <v>367</v>
      </c>
      <c r="F628" s="151" t="s">
        <v>367</v>
      </c>
      <c r="G628" s="151"/>
      <c r="H628" s="151"/>
      <c r="I628" s="151"/>
      <c r="J628" s="151">
        <v>1899</v>
      </c>
      <c r="K628" s="151">
        <v>12</v>
      </c>
    </row>
    <row r="629" spans="1:11" ht="13.5" customHeight="1" x14ac:dyDescent="0.15">
      <c r="A629" s="141"/>
      <c r="B629" s="148">
        <v>626</v>
      </c>
      <c r="C629" s="164"/>
      <c r="D629" s="152"/>
      <c r="E629" s="152" t="s">
        <v>367</v>
      </c>
      <c r="F629" s="152" t="s">
        <v>367</v>
      </c>
      <c r="G629" s="152"/>
      <c r="H629" s="152"/>
      <c r="I629" s="152"/>
      <c r="J629" s="152">
        <v>1899</v>
      </c>
      <c r="K629" s="152">
        <v>12</v>
      </c>
    </row>
    <row r="630" spans="1:11" ht="13.5" customHeight="1" x14ac:dyDescent="0.15">
      <c r="A630" s="141"/>
      <c r="B630" s="148">
        <v>627</v>
      </c>
      <c r="C630" s="163"/>
      <c r="D630" s="151"/>
      <c r="E630" s="151" t="s">
        <v>367</v>
      </c>
      <c r="F630" s="151" t="s">
        <v>367</v>
      </c>
      <c r="G630" s="151"/>
      <c r="H630" s="151"/>
      <c r="I630" s="151"/>
      <c r="J630" s="151">
        <v>1899</v>
      </c>
      <c r="K630" s="151">
        <v>12</v>
      </c>
    </row>
    <row r="631" spans="1:11" ht="13.5" customHeight="1" x14ac:dyDescent="0.15">
      <c r="A631" s="141"/>
      <c r="B631" s="148">
        <v>628</v>
      </c>
      <c r="C631" s="164"/>
      <c r="D631" s="152"/>
      <c r="E631" s="152" t="s">
        <v>367</v>
      </c>
      <c r="F631" s="152" t="s">
        <v>367</v>
      </c>
      <c r="G631" s="152"/>
      <c r="H631" s="152"/>
      <c r="I631" s="152"/>
      <c r="J631" s="152">
        <v>1899</v>
      </c>
      <c r="K631" s="152">
        <v>12</v>
      </c>
    </row>
    <row r="632" spans="1:11" ht="13.5" customHeight="1" x14ac:dyDescent="0.15">
      <c r="A632" s="141"/>
      <c r="B632" s="148">
        <v>629</v>
      </c>
      <c r="C632" s="163"/>
      <c r="D632" s="151"/>
      <c r="E632" s="151" t="s">
        <v>367</v>
      </c>
      <c r="F632" s="151" t="s">
        <v>367</v>
      </c>
      <c r="G632" s="151"/>
      <c r="H632" s="151"/>
      <c r="I632" s="151"/>
      <c r="J632" s="151">
        <v>1899</v>
      </c>
      <c r="K632" s="151">
        <v>12</v>
      </c>
    </row>
    <row r="633" spans="1:11" ht="13.5" customHeight="1" x14ac:dyDescent="0.15">
      <c r="A633" s="141"/>
      <c r="B633" s="148">
        <v>630</v>
      </c>
      <c r="C633" s="164"/>
      <c r="D633" s="152"/>
      <c r="E633" s="152" t="s">
        <v>367</v>
      </c>
      <c r="F633" s="152" t="s">
        <v>367</v>
      </c>
      <c r="G633" s="152"/>
      <c r="H633" s="152"/>
      <c r="I633" s="152"/>
      <c r="J633" s="152">
        <v>1899</v>
      </c>
      <c r="K633" s="152">
        <v>12</v>
      </c>
    </row>
    <row r="634" spans="1:11" ht="13.5" customHeight="1" x14ac:dyDescent="0.15">
      <c r="A634" s="141"/>
      <c r="B634" s="148">
        <v>631</v>
      </c>
      <c r="C634" s="163"/>
      <c r="D634" s="151"/>
      <c r="E634" s="151" t="s">
        <v>367</v>
      </c>
      <c r="F634" s="151" t="s">
        <v>367</v>
      </c>
      <c r="G634" s="151"/>
      <c r="H634" s="151"/>
      <c r="I634" s="151"/>
      <c r="J634" s="151">
        <v>1899</v>
      </c>
      <c r="K634" s="151">
        <v>12</v>
      </c>
    </row>
    <row r="635" spans="1:11" ht="13.5" customHeight="1" x14ac:dyDescent="0.15">
      <c r="A635" s="141"/>
      <c r="B635" s="148">
        <v>632</v>
      </c>
      <c r="C635" s="164"/>
      <c r="D635" s="152"/>
      <c r="E635" s="152" t="s">
        <v>367</v>
      </c>
      <c r="F635" s="152" t="s">
        <v>367</v>
      </c>
      <c r="G635" s="152"/>
      <c r="H635" s="152"/>
      <c r="I635" s="152"/>
      <c r="J635" s="152">
        <v>1899</v>
      </c>
      <c r="K635" s="152">
        <v>12</v>
      </c>
    </row>
    <row r="636" spans="1:11" ht="13.5" customHeight="1" x14ac:dyDescent="0.15">
      <c r="A636" s="141"/>
      <c r="B636" s="148">
        <v>633</v>
      </c>
      <c r="C636" s="163"/>
      <c r="D636" s="151"/>
      <c r="E636" s="151" t="s">
        <v>367</v>
      </c>
      <c r="F636" s="151" t="s">
        <v>367</v>
      </c>
      <c r="G636" s="151"/>
      <c r="H636" s="151"/>
      <c r="I636" s="151"/>
      <c r="J636" s="151">
        <v>1899</v>
      </c>
      <c r="K636" s="151">
        <v>12</v>
      </c>
    </row>
    <row r="637" spans="1:11" ht="13.5" customHeight="1" x14ac:dyDescent="0.15">
      <c r="A637" s="141"/>
      <c r="B637" s="148">
        <v>634</v>
      </c>
      <c r="C637" s="164"/>
      <c r="D637" s="152"/>
      <c r="E637" s="152" t="s">
        <v>367</v>
      </c>
      <c r="F637" s="152" t="s">
        <v>367</v>
      </c>
      <c r="G637" s="152"/>
      <c r="H637" s="152"/>
      <c r="I637" s="152"/>
      <c r="J637" s="152">
        <v>1899</v>
      </c>
      <c r="K637" s="152">
        <v>12</v>
      </c>
    </row>
    <row r="638" spans="1:11" ht="13.5" customHeight="1" x14ac:dyDescent="0.15">
      <c r="A638" s="141"/>
      <c r="B638" s="148">
        <v>635</v>
      </c>
      <c r="C638" s="163"/>
      <c r="D638" s="151"/>
      <c r="E638" s="151" t="s">
        <v>367</v>
      </c>
      <c r="F638" s="151" t="s">
        <v>367</v>
      </c>
      <c r="G638" s="151"/>
      <c r="H638" s="151"/>
      <c r="I638" s="151"/>
      <c r="J638" s="151">
        <v>1899</v>
      </c>
      <c r="K638" s="151">
        <v>12</v>
      </c>
    </row>
    <row r="639" spans="1:11" ht="13.5" customHeight="1" x14ac:dyDescent="0.15">
      <c r="A639" s="141"/>
      <c r="B639" s="148">
        <v>636</v>
      </c>
      <c r="C639" s="164"/>
      <c r="D639" s="152"/>
      <c r="E639" s="152" t="s">
        <v>367</v>
      </c>
      <c r="F639" s="152" t="s">
        <v>367</v>
      </c>
      <c r="G639" s="152"/>
      <c r="H639" s="152"/>
      <c r="I639" s="152"/>
      <c r="J639" s="152">
        <v>1899</v>
      </c>
      <c r="K639" s="152">
        <v>12</v>
      </c>
    </row>
    <row r="640" spans="1:11" ht="13.5" customHeight="1" x14ac:dyDescent="0.15">
      <c r="A640" s="141"/>
      <c r="B640" s="148">
        <v>637</v>
      </c>
      <c r="C640" s="163"/>
      <c r="D640" s="151"/>
      <c r="E640" s="151" t="s">
        <v>367</v>
      </c>
      <c r="F640" s="151" t="s">
        <v>367</v>
      </c>
      <c r="G640" s="151"/>
      <c r="H640" s="151"/>
      <c r="I640" s="151"/>
      <c r="J640" s="151">
        <v>1899</v>
      </c>
      <c r="K640" s="151">
        <v>12</v>
      </c>
    </row>
    <row r="641" spans="1:11" ht="13.5" customHeight="1" x14ac:dyDescent="0.15">
      <c r="A641" s="141"/>
      <c r="B641" s="148">
        <v>638</v>
      </c>
      <c r="C641" s="164"/>
      <c r="D641" s="152"/>
      <c r="E641" s="152" t="s">
        <v>367</v>
      </c>
      <c r="F641" s="152" t="s">
        <v>367</v>
      </c>
      <c r="G641" s="152"/>
      <c r="H641" s="152"/>
      <c r="I641" s="152"/>
      <c r="J641" s="152">
        <v>1899</v>
      </c>
      <c r="K641" s="152">
        <v>12</v>
      </c>
    </row>
    <row r="642" spans="1:11" ht="13.5" customHeight="1" x14ac:dyDescent="0.15">
      <c r="A642" s="141"/>
      <c r="B642" s="148">
        <v>639</v>
      </c>
      <c r="C642" s="163"/>
      <c r="D642" s="151"/>
      <c r="E642" s="151" t="s">
        <v>367</v>
      </c>
      <c r="F642" s="151" t="s">
        <v>367</v>
      </c>
      <c r="G642" s="151"/>
      <c r="H642" s="151"/>
      <c r="I642" s="151"/>
      <c r="J642" s="151">
        <v>1899</v>
      </c>
      <c r="K642" s="151">
        <v>12</v>
      </c>
    </row>
    <row r="643" spans="1:11" ht="13.5" customHeight="1" x14ac:dyDescent="0.15">
      <c r="A643" s="141"/>
      <c r="B643" s="148">
        <v>640</v>
      </c>
      <c r="C643" s="164"/>
      <c r="D643" s="152"/>
      <c r="E643" s="152" t="s">
        <v>367</v>
      </c>
      <c r="F643" s="152" t="s">
        <v>367</v>
      </c>
      <c r="G643" s="152"/>
      <c r="H643" s="152"/>
      <c r="I643" s="152"/>
      <c r="J643" s="152">
        <v>1899</v>
      </c>
      <c r="K643" s="152">
        <v>12</v>
      </c>
    </row>
    <row r="644" spans="1:11" ht="13.5" customHeight="1" x14ac:dyDescent="0.15">
      <c r="A644" s="141"/>
      <c r="B644" s="148">
        <v>641</v>
      </c>
      <c r="C644" s="163"/>
      <c r="D644" s="151"/>
      <c r="E644" s="151" t="s">
        <v>367</v>
      </c>
      <c r="F644" s="151" t="s">
        <v>367</v>
      </c>
      <c r="G644" s="151"/>
      <c r="H644" s="151"/>
      <c r="I644" s="151"/>
      <c r="J644" s="151">
        <v>1899</v>
      </c>
      <c r="K644" s="151">
        <v>12</v>
      </c>
    </row>
    <row r="645" spans="1:11" ht="13.5" customHeight="1" x14ac:dyDescent="0.15">
      <c r="A645" s="141"/>
      <c r="B645" s="148">
        <v>642</v>
      </c>
      <c r="C645" s="164"/>
      <c r="D645" s="152"/>
      <c r="E645" s="152" t="s">
        <v>367</v>
      </c>
      <c r="F645" s="152" t="s">
        <v>367</v>
      </c>
      <c r="G645" s="152"/>
      <c r="H645" s="152"/>
      <c r="I645" s="152"/>
      <c r="J645" s="152">
        <v>1899</v>
      </c>
      <c r="K645" s="152">
        <v>12</v>
      </c>
    </row>
    <row r="646" spans="1:11" ht="13.5" customHeight="1" x14ac:dyDescent="0.15">
      <c r="A646" s="141"/>
      <c r="B646" s="148">
        <v>643</v>
      </c>
      <c r="C646" s="163"/>
      <c r="D646" s="151"/>
      <c r="E646" s="151" t="s">
        <v>367</v>
      </c>
      <c r="F646" s="151" t="s">
        <v>367</v>
      </c>
      <c r="G646" s="151"/>
      <c r="H646" s="151"/>
      <c r="I646" s="151"/>
      <c r="J646" s="151">
        <v>1899</v>
      </c>
      <c r="K646" s="151">
        <v>12</v>
      </c>
    </row>
    <row r="647" spans="1:11" ht="13.5" customHeight="1" x14ac:dyDescent="0.15">
      <c r="A647" s="141"/>
      <c r="B647" s="148">
        <v>644</v>
      </c>
      <c r="C647" s="164"/>
      <c r="D647" s="152"/>
      <c r="E647" s="152" t="s">
        <v>367</v>
      </c>
      <c r="F647" s="152" t="s">
        <v>367</v>
      </c>
      <c r="G647" s="152"/>
      <c r="H647" s="152"/>
      <c r="I647" s="152"/>
      <c r="J647" s="152">
        <v>1899</v>
      </c>
      <c r="K647" s="152">
        <v>12</v>
      </c>
    </row>
    <row r="648" spans="1:11" ht="13.5" customHeight="1" x14ac:dyDescent="0.15">
      <c r="A648" s="141"/>
      <c r="B648" s="148">
        <v>645</v>
      </c>
      <c r="C648" s="163"/>
      <c r="D648" s="151"/>
      <c r="E648" s="151" t="s">
        <v>367</v>
      </c>
      <c r="F648" s="151" t="s">
        <v>367</v>
      </c>
      <c r="G648" s="151"/>
      <c r="H648" s="151"/>
      <c r="I648" s="151"/>
      <c r="J648" s="151">
        <v>1899</v>
      </c>
      <c r="K648" s="151">
        <v>12</v>
      </c>
    </row>
    <row r="649" spans="1:11" ht="13.5" customHeight="1" x14ac:dyDescent="0.15">
      <c r="A649" s="141"/>
      <c r="B649" s="148">
        <v>646</v>
      </c>
      <c r="C649" s="164"/>
      <c r="D649" s="152"/>
      <c r="E649" s="152" t="s">
        <v>367</v>
      </c>
      <c r="F649" s="152" t="s">
        <v>367</v>
      </c>
      <c r="G649" s="152"/>
      <c r="H649" s="152"/>
      <c r="I649" s="152"/>
      <c r="J649" s="152">
        <v>1899</v>
      </c>
      <c r="K649" s="152">
        <v>12</v>
      </c>
    </row>
    <row r="650" spans="1:11" ht="13.5" customHeight="1" x14ac:dyDescent="0.15">
      <c r="A650" s="141"/>
      <c r="B650" s="148">
        <v>647</v>
      </c>
      <c r="C650" s="163"/>
      <c r="D650" s="151"/>
      <c r="E650" s="151" t="s">
        <v>367</v>
      </c>
      <c r="F650" s="151" t="s">
        <v>367</v>
      </c>
      <c r="G650" s="151"/>
      <c r="H650" s="151"/>
      <c r="I650" s="151"/>
      <c r="J650" s="151">
        <v>1899</v>
      </c>
      <c r="K650" s="151">
        <v>12</v>
      </c>
    </row>
    <row r="651" spans="1:11" ht="13.5" customHeight="1" x14ac:dyDescent="0.15">
      <c r="A651" s="141"/>
      <c r="B651" s="148">
        <v>648</v>
      </c>
      <c r="C651" s="164"/>
      <c r="D651" s="152"/>
      <c r="E651" s="152" t="s">
        <v>367</v>
      </c>
      <c r="F651" s="152" t="s">
        <v>367</v>
      </c>
      <c r="G651" s="152"/>
      <c r="H651" s="152"/>
      <c r="I651" s="152"/>
      <c r="J651" s="152">
        <v>1899</v>
      </c>
      <c r="K651" s="152">
        <v>12</v>
      </c>
    </row>
    <row r="652" spans="1:11" ht="13.5" customHeight="1" x14ac:dyDescent="0.15">
      <c r="A652" s="141"/>
      <c r="B652" s="148">
        <v>649</v>
      </c>
      <c r="C652" s="163"/>
      <c r="D652" s="151"/>
      <c r="E652" s="151" t="s">
        <v>367</v>
      </c>
      <c r="F652" s="151" t="s">
        <v>367</v>
      </c>
      <c r="G652" s="151"/>
      <c r="H652" s="151"/>
      <c r="I652" s="151"/>
      <c r="J652" s="151">
        <v>1899</v>
      </c>
      <c r="K652" s="151">
        <v>12</v>
      </c>
    </row>
    <row r="653" spans="1:11" ht="13.5" customHeight="1" x14ac:dyDescent="0.15">
      <c r="A653" s="141"/>
      <c r="B653" s="148">
        <v>650</v>
      </c>
      <c r="C653" s="164"/>
      <c r="D653" s="152"/>
      <c r="E653" s="152" t="s">
        <v>367</v>
      </c>
      <c r="F653" s="152" t="s">
        <v>367</v>
      </c>
      <c r="G653" s="152"/>
      <c r="H653" s="152"/>
      <c r="I653" s="152"/>
      <c r="J653" s="152">
        <v>1899</v>
      </c>
      <c r="K653" s="152">
        <v>12</v>
      </c>
    </row>
    <row r="654" spans="1:11" ht="13.5" customHeight="1" x14ac:dyDescent="0.15">
      <c r="A654" s="141"/>
      <c r="B654" s="148">
        <v>651</v>
      </c>
      <c r="C654" s="163"/>
      <c r="D654" s="151"/>
      <c r="E654" s="151" t="s">
        <v>367</v>
      </c>
      <c r="F654" s="151" t="s">
        <v>367</v>
      </c>
      <c r="G654" s="151"/>
      <c r="H654" s="151"/>
      <c r="I654" s="151"/>
      <c r="J654" s="151">
        <v>1899</v>
      </c>
      <c r="K654" s="151">
        <v>12</v>
      </c>
    </row>
    <row r="655" spans="1:11" ht="13.5" customHeight="1" x14ac:dyDescent="0.15">
      <c r="A655" s="141"/>
      <c r="B655" s="148">
        <v>652</v>
      </c>
      <c r="C655" s="164"/>
      <c r="D655" s="152"/>
      <c r="E655" s="152" t="s">
        <v>367</v>
      </c>
      <c r="F655" s="152" t="s">
        <v>367</v>
      </c>
      <c r="G655" s="152"/>
      <c r="H655" s="152"/>
      <c r="I655" s="152"/>
      <c r="J655" s="152">
        <v>1899</v>
      </c>
      <c r="K655" s="152">
        <v>12</v>
      </c>
    </row>
    <row r="656" spans="1:11" ht="13.5" customHeight="1" x14ac:dyDescent="0.15">
      <c r="A656" s="141"/>
      <c r="B656" s="148">
        <v>653</v>
      </c>
      <c r="C656" s="163"/>
      <c r="D656" s="151"/>
      <c r="E656" s="151" t="s">
        <v>367</v>
      </c>
      <c r="F656" s="151" t="s">
        <v>367</v>
      </c>
      <c r="G656" s="151"/>
      <c r="H656" s="151"/>
      <c r="I656" s="151"/>
      <c r="J656" s="151">
        <v>1899</v>
      </c>
      <c r="K656" s="151">
        <v>12</v>
      </c>
    </row>
    <row r="657" spans="1:11" ht="13.5" customHeight="1" x14ac:dyDescent="0.15">
      <c r="A657" s="141"/>
      <c r="B657" s="148">
        <v>654</v>
      </c>
      <c r="C657" s="164"/>
      <c r="D657" s="152"/>
      <c r="E657" s="152" t="s">
        <v>367</v>
      </c>
      <c r="F657" s="152" t="s">
        <v>367</v>
      </c>
      <c r="G657" s="152"/>
      <c r="H657" s="152"/>
      <c r="I657" s="152"/>
      <c r="J657" s="152">
        <v>1899</v>
      </c>
      <c r="K657" s="152">
        <v>12</v>
      </c>
    </row>
    <row r="658" spans="1:11" ht="13.5" customHeight="1" x14ac:dyDescent="0.15">
      <c r="A658" s="141"/>
      <c r="B658" s="148">
        <v>655</v>
      </c>
      <c r="C658" s="163"/>
      <c r="D658" s="151"/>
      <c r="E658" s="151" t="s">
        <v>367</v>
      </c>
      <c r="F658" s="151" t="s">
        <v>367</v>
      </c>
      <c r="G658" s="151"/>
      <c r="H658" s="151"/>
      <c r="I658" s="151"/>
      <c r="J658" s="151">
        <v>1899</v>
      </c>
      <c r="K658" s="151">
        <v>12</v>
      </c>
    </row>
    <row r="659" spans="1:11" ht="13.5" customHeight="1" x14ac:dyDescent="0.15">
      <c r="A659" s="141"/>
      <c r="B659" s="148">
        <v>656</v>
      </c>
      <c r="C659" s="164"/>
      <c r="D659" s="152"/>
      <c r="E659" s="152" t="s">
        <v>367</v>
      </c>
      <c r="F659" s="152" t="s">
        <v>367</v>
      </c>
      <c r="G659" s="152"/>
      <c r="H659" s="152"/>
      <c r="I659" s="152"/>
      <c r="J659" s="152">
        <v>1899</v>
      </c>
      <c r="K659" s="152">
        <v>12</v>
      </c>
    </row>
    <row r="660" spans="1:11" ht="13.5" customHeight="1" x14ac:dyDescent="0.15">
      <c r="A660" s="141"/>
      <c r="B660" s="148">
        <v>657</v>
      </c>
      <c r="C660" s="163"/>
      <c r="D660" s="151"/>
      <c r="E660" s="151" t="s">
        <v>367</v>
      </c>
      <c r="F660" s="151" t="s">
        <v>367</v>
      </c>
      <c r="G660" s="151"/>
      <c r="H660" s="151"/>
      <c r="I660" s="151"/>
      <c r="J660" s="151">
        <v>1899</v>
      </c>
      <c r="K660" s="151">
        <v>12</v>
      </c>
    </row>
    <row r="661" spans="1:11" ht="13.5" customHeight="1" x14ac:dyDescent="0.15">
      <c r="A661" s="141"/>
      <c r="B661" s="148">
        <v>658</v>
      </c>
      <c r="C661" s="164"/>
      <c r="D661" s="152"/>
      <c r="E661" s="152" t="s">
        <v>367</v>
      </c>
      <c r="F661" s="152" t="s">
        <v>367</v>
      </c>
      <c r="G661" s="152"/>
      <c r="H661" s="152"/>
      <c r="I661" s="152"/>
      <c r="J661" s="152">
        <v>1899</v>
      </c>
      <c r="K661" s="152">
        <v>12</v>
      </c>
    </row>
    <row r="662" spans="1:11" ht="13.5" customHeight="1" x14ac:dyDescent="0.15">
      <c r="A662" s="141"/>
      <c r="B662" s="148">
        <v>659</v>
      </c>
      <c r="C662" s="163"/>
      <c r="D662" s="151"/>
      <c r="E662" s="151" t="s">
        <v>367</v>
      </c>
      <c r="F662" s="151" t="s">
        <v>367</v>
      </c>
      <c r="G662" s="151"/>
      <c r="H662" s="151"/>
      <c r="I662" s="151"/>
      <c r="J662" s="151">
        <v>1899</v>
      </c>
      <c r="K662" s="151">
        <v>12</v>
      </c>
    </row>
    <row r="663" spans="1:11" ht="13.5" customHeight="1" x14ac:dyDescent="0.15">
      <c r="A663" s="141"/>
      <c r="B663" s="148">
        <v>660</v>
      </c>
      <c r="C663" s="164"/>
      <c r="D663" s="152"/>
      <c r="E663" s="152" t="s">
        <v>367</v>
      </c>
      <c r="F663" s="152" t="s">
        <v>367</v>
      </c>
      <c r="G663" s="152"/>
      <c r="H663" s="152"/>
      <c r="I663" s="152"/>
      <c r="J663" s="152">
        <v>1899</v>
      </c>
      <c r="K663" s="152">
        <v>12</v>
      </c>
    </row>
    <row r="664" spans="1:11" ht="13.5" customHeight="1" x14ac:dyDescent="0.15">
      <c r="A664" s="141"/>
      <c r="B664" s="148">
        <v>661</v>
      </c>
      <c r="C664" s="163"/>
      <c r="D664" s="151"/>
      <c r="E664" s="151" t="s">
        <v>367</v>
      </c>
      <c r="F664" s="151" t="s">
        <v>367</v>
      </c>
      <c r="G664" s="151"/>
      <c r="H664" s="151"/>
      <c r="I664" s="151"/>
      <c r="J664" s="151">
        <v>1899</v>
      </c>
      <c r="K664" s="151">
        <v>12</v>
      </c>
    </row>
    <row r="665" spans="1:11" ht="13.5" customHeight="1" x14ac:dyDescent="0.15">
      <c r="A665" s="141"/>
      <c r="B665" s="148">
        <v>662</v>
      </c>
      <c r="C665" s="164"/>
      <c r="D665" s="152"/>
      <c r="E665" s="152" t="s">
        <v>367</v>
      </c>
      <c r="F665" s="152" t="s">
        <v>367</v>
      </c>
      <c r="G665" s="152"/>
      <c r="H665" s="152"/>
      <c r="I665" s="152"/>
      <c r="J665" s="152">
        <v>1899</v>
      </c>
      <c r="K665" s="152">
        <v>12</v>
      </c>
    </row>
    <row r="666" spans="1:11" ht="13.5" customHeight="1" x14ac:dyDescent="0.15">
      <c r="A666" s="141"/>
      <c r="B666" s="148">
        <v>663</v>
      </c>
      <c r="C666" s="163"/>
      <c r="D666" s="151"/>
      <c r="E666" s="151" t="s">
        <v>367</v>
      </c>
      <c r="F666" s="151" t="s">
        <v>367</v>
      </c>
      <c r="G666" s="151"/>
      <c r="H666" s="151"/>
      <c r="I666" s="151"/>
      <c r="J666" s="151">
        <v>1899</v>
      </c>
      <c r="K666" s="151">
        <v>12</v>
      </c>
    </row>
    <row r="667" spans="1:11" ht="13.5" customHeight="1" x14ac:dyDescent="0.15">
      <c r="A667" s="141"/>
      <c r="B667" s="148">
        <v>664</v>
      </c>
      <c r="C667" s="164"/>
      <c r="D667" s="152"/>
      <c r="E667" s="152" t="s">
        <v>367</v>
      </c>
      <c r="F667" s="152" t="s">
        <v>367</v>
      </c>
      <c r="G667" s="152"/>
      <c r="H667" s="152"/>
      <c r="I667" s="152"/>
      <c r="J667" s="152">
        <v>1899</v>
      </c>
      <c r="K667" s="152">
        <v>12</v>
      </c>
    </row>
    <row r="668" spans="1:11" ht="13.5" customHeight="1" x14ac:dyDescent="0.15">
      <c r="A668" s="141"/>
      <c r="B668" s="148">
        <v>665</v>
      </c>
      <c r="C668" s="163"/>
      <c r="D668" s="151"/>
      <c r="E668" s="151" t="s">
        <v>367</v>
      </c>
      <c r="F668" s="151" t="s">
        <v>367</v>
      </c>
      <c r="G668" s="151"/>
      <c r="H668" s="151"/>
      <c r="I668" s="151"/>
      <c r="J668" s="151">
        <v>1899</v>
      </c>
      <c r="K668" s="151">
        <v>12</v>
      </c>
    </row>
    <row r="669" spans="1:11" ht="13.5" customHeight="1" x14ac:dyDescent="0.15">
      <c r="A669" s="141"/>
      <c r="B669" s="148">
        <v>666</v>
      </c>
      <c r="C669" s="164"/>
      <c r="D669" s="152"/>
      <c r="E669" s="152" t="s">
        <v>367</v>
      </c>
      <c r="F669" s="152" t="s">
        <v>367</v>
      </c>
      <c r="G669" s="152"/>
      <c r="H669" s="152"/>
      <c r="I669" s="152"/>
      <c r="J669" s="152">
        <v>1899</v>
      </c>
      <c r="K669" s="152">
        <v>12</v>
      </c>
    </row>
    <row r="670" spans="1:11" ht="13.5" customHeight="1" x14ac:dyDescent="0.15">
      <c r="A670" s="141"/>
      <c r="B670" s="148">
        <v>667</v>
      </c>
      <c r="C670" s="163"/>
      <c r="D670" s="151"/>
      <c r="E670" s="151" t="s">
        <v>367</v>
      </c>
      <c r="F670" s="151" t="s">
        <v>367</v>
      </c>
      <c r="G670" s="151"/>
      <c r="H670" s="151"/>
      <c r="I670" s="151"/>
      <c r="J670" s="151">
        <v>1899</v>
      </c>
      <c r="K670" s="151">
        <v>12</v>
      </c>
    </row>
    <row r="671" spans="1:11" ht="13.5" customHeight="1" x14ac:dyDescent="0.15">
      <c r="A671" s="141"/>
      <c r="B671" s="148">
        <v>668</v>
      </c>
      <c r="C671" s="164"/>
      <c r="D671" s="152"/>
      <c r="E671" s="152" t="s">
        <v>367</v>
      </c>
      <c r="F671" s="152" t="s">
        <v>367</v>
      </c>
      <c r="G671" s="152"/>
      <c r="H671" s="152"/>
      <c r="I671" s="152"/>
      <c r="J671" s="152">
        <v>1899</v>
      </c>
      <c r="K671" s="152">
        <v>12</v>
      </c>
    </row>
    <row r="672" spans="1:11" ht="13.5" customHeight="1" x14ac:dyDescent="0.15">
      <c r="A672" s="141"/>
      <c r="B672" s="148">
        <v>669</v>
      </c>
      <c r="C672" s="163"/>
      <c r="D672" s="151"/>
      <c r="E672" s="151" t="s">
        <v>367</v>
      </c>
      <c r="F672" s="151" t="s">
        <v>367</v>
      </c>
      <c r="G672" s="151"/>
      <c r="H672" s="151"/>
      <c r="I672" s="151"/>
      <c r="J672" s="151">
        <v>1899</v>
      </c>
      <c r="K672" s="151">
        <v>12</v>
      </c>
    </row>
    <row r="673" spans="1:11" ht="13.5" customHeight="1" x14ac:dyDescent="0.15">
      <c r="A673" s="141"/>
      <c r="B673" s="148">
        <v>670</v>
      </c>
      <c r="C673" s="164"/>
      <c r="D673" s="152"/>
      <c r="E673" s="152" t="s">
        <v>367</v>
      </c>
      <c r="F673" s="152" t="s">
        <v>367</v>
      </c>
      <c r="G673" s="152"/>
      <c r="H673" s="152"/>
      <c r="I673" s="152"/>
      <c r="J673" s="152">
        <v>1899</v>
      </c>
      <c r="K673" s="152">
        <v>12</v>
      </c>
    </row>
    <row r="674" spans="1:11" ht="13.5" customHeight="1" x14ac:dyDescent="0.15">
      <c r="A674" s="141"/>
      <c r="B674" s="148">
        <v>671</v>
      </c>
      <c r="C674" s="163"/>
      <c r="D674" s="151"/>
      <c r="E674" s="151" t="s">
        <v>367</v>
      </c>
      <c r="F674" s="151" t="s">
        <v>367</v>
      </c>
      <c r="G674" s="151"/>
      <c r="H674" s="151"/>
      <c r="I674" s="151"/>
      <c r="J674" s="151">
        <v>1899</v>
      </c>
      <c r="K674" s="151">
        <v>12</v>
      </c>
    </row>
    <row r="675" spans="1:11" ht="13.5" customHeight="1" x14ac:dyDescent="0.15">
      <c r="A675" s="141"/>
      <c r="B675" s="148">
        <v>672</v>
      </c>
      <c r="C675" s="164"/>
      <c r="D675" s="152"/>
      <c r="E675" s="152" t="s">
        <v>367</v>
      </c>
      <c r="F675" s="152" t="s">
        <v>367</v>
      </c>
      <c r="G675" s="152"/>
      <c r="H675" s="152"/>
      <c r="I675" s="152"/>
      <c r="J675" s="152">
        <v>1899</v>
      </c>
      <c r="K675" s="152">
        <v>12</v>
      </c>
    </row>
    <row r="676" spans="1:11" ht="13.5" customHeight="1" x14ac:dyDescent="0.15">
      <c r="A676" s="141"/>
      <c r="B676" s="148">
        <v>673</v>
      </c>
      <c r="C676" s="163"/>
      <c r="D676" s="151"/>
      <c r="E676" s="151" t="s">
        <v>367</v>
      </c>
      <c r="F676" s="151" t="s">
        <v>367</v>
      </c>
      <c r="G676" s="151"/>
      <c r="H676" s="151"/>
      <c r="I676" s="151"/>
      <c r="J676" s="151">
        <v>1899</v>
      </c>
      <c r="K676" s="151">
        <v>12</v>
      </c>
    </row>
    <row r="677" spans="1:11" ht="13.5" customHeight="1" x14ac:dyDescent="0.15">
      <c r="A677" s="141"/>
      <c r="B677" s="148">
        <v>674</v>
      </c>
      <c r="C677" s="164"/>
      <c r="D677" s="152"/>
      <c r="E677" s="152" t="s">
        <v>367</v>
      </c>
      <c r="F677" s="152" t="s">
        <v>367</v>
      </c>
      <c r="G677" s="152"/>
      <c r="H677" s="152"/>
      <c r="I677" s="152"/>
      <c r="J677" s="152">
        <v>1899</v>
      </c>
      <c r="K677" s="152">
        <v>12</v>
      </c>
    </row>
    <row r="678" spans="1:11" ht="13.5" customHeight="1" x14ac:dyDescent="0.15">
      <c r="A678" s="141"/>
      <c r="B678" s="148">
        <v>675</v>
      </c>
      <c r="C678" s="163"/>
      <c r="D678" s="151"/>
      <c r="E678" s="151" t="s">
        <v>367</v>
      </c>
      <c r="F678" s="151" t="s">
        <v>367</v>
      </c>
      <c r="G678" s="151"/>
      <c r="H678" s="151"/>
      <c r="I678" s="151"/>
      <c r="J678" s="151">
        <v>1899</v>
      </c>
      <c r="K678" s="151">
        <v>12</v>
      </c>
    </row>
    <row r="679" spans="1:11" ht="13.5" customHeight="1" x14ac:dyDescent="0.15">
      <c r="A679" s="141"/>
      <c r="B679" s="148">
        <v>676</v>
      </c>
      <c r="C679" s="164"/>
      <c r="D679" s="152"/>
      <c r="E679" s="152" t="s">
        <v>367</v>
      </c>
      <c r="F679" s="152" t="s">
        <v>367</v>
      </c>
      <c r="G679" s="152"/>
      <c r="H679" s="152"/>
      <c r="I679" s="152"/>
      <c r="J679" s="152">
        <v>1899</v>
      </c>
      <c r="K679" s="152">
        <v>12</v>
      </c>
    </row>
    <row r="680" spans="1:11" ht="13.5" customHeight="1" x14ac:dyDescent="0.15">
      <c r="A680" s="141"/>
      <c r="B680" s="148">
        <v>677</v>
      </c>
      <c r="C680" s="163"/>
      <c r="D680" s="151"/>
      <c r="E680" s="151" t="s">
        <v>367</v>
      </c>
      <c r="F680" s="151" t="s">
        <v>367</v>
      </c>
      <c r="G680" s="151"/>
      <c r="H680" s="151"/>
      <c r="I680" s="151"/>
      <c r="J680" s="151">
        <v>1899</v>
      </c>
      <c r="K680" s="151">
        <v>12</v>
      </c>
    </row>
    <row r="681" spans="1:11" ht="13.5" customHeight="1" x14ac:dyDescent="0.15">
      <c r="A681" s="141"/>
      <c r="B681" s="148">
        <v>678</v>
      </c>
      <c r="C681" s="164"/>
      <c r="D681" s="152"/>
      <c r="E681" s="152" t="s">
        <v>367</v>
      </c>
      <c r="F681" s="152" t="s">
        <v>367</v>
      </c>
      <c r="G681" s="152"/>
      <c r="H681" s="152"/>
      <c r="I681" s="152"/>
      <c r="J681" s="152">
        <v>1899</v>
      </c>
      <c r="K681" s="152">
        <v>12</v>
      </c>
    </row>
    <row r="682" spans="1:11" ht="13.5" customHeight="1" x14ac:dyDescent="0.15">
      <c r="A682" s="141"/>
      <c r="B682" s="148">
        <v>679</v>
      </c>
      <c r="C682" s="163"/>
      <c r="D682" s="151"/>
      <c r="E682" s="151" t="s">
        <v>367</v>
      </c>
      <c r="F682" s="151" t="s">
        <v>367</v>
      </c>
      <c r="G682" s="151"/>
      <c r="H682" s="151"/>
      <c r="I682" s="151"/>
      <c r="J682" s="151">
        <v>1899</v>
      </c>
      <c r="K682" s="151">
        <v>12</v>
      </c>
    </row>
    <row r="683" spans="1:11" ht="13.5" customHeight="1" x14ac:dyDescent="0.15">
      <c r="A683" s="141"/>
      <c r="B683" s="148">
        <v>680</v>
      </c>
      <c r="C683" s="164"/>
      <c r="D683" s="152"/>
      <c r="E683" s="152" t="s">
        <v>367</v>
      </c>
      <c r="F683" s="152" t="s">
        <v>367</v>
      </c>
      <c r="G683" s="152"/>
      <c r="H683" s="152"/>
      <c r="I683" s="152"/>
      <c r="J683" s="152">
        <v>1899</v>
      </c>
      <c r="K683" s="152">
        <v>12</v>
      </c>
    </row>
    <row r="684" spans="1:11" ht="13.5" customHeight="1" x14ac:dyDescent="0.15">
      <c r="A684" s="141"/>
      <c r="B684" s="148">
        <v>681</v>
      </c>
      <c r="C684" s="163"/>
      <c r="D684" s="151"/>
      <c r="E684" s="151" t="s">
        <v>367</v>
      </c>
      <c r="F684" s="151" t="s">
        <v>367</v>
      </c>
      <c r="G684" s="151"/>
      <c r="H684" s="151"/>
      <c r="I684" s="151"/>
      <c r="J684" s="151">
        <v>1899</v>
      </c>
      <c r="K684" s="151">
        <v>12</v>
      </c>
    </row>
    <row r="685" spans="1:11" ht="13.5" customHeight="1" x14ac:dyDescent="0.15">
      <c r="A685" s="141"/>
      <c r="B685" s="148">
        <v>682</v>
      </c>
      <c r="C685" s="164"/>
      <c r="D685" s="152"/>
      <c r="E685" s="152" t="s">
        <v>367</v>
      </c>
      <c r="F685" s="152" t="s">
        <v>367</v>
      </c>
      <c r="G685" s="152"/>
      <c r="H685" s="152"/>
      <c r="I685" s="152"/>
      <c r="J685" s="152">
        <v>1899</v>
      </c>
      <c r="K685" s="152">
        <v>12</v>
      </c>
    </row>
    <row r="686" spans="1:11" ht="13.5" customHeight="1" x14ac:dyDescent="0.15">
      <c r="A686" s="141"/>
      <c r="B686" s="148">
        <v>683</v>
      </c>
      <c r="C686" s="163"/>
      <c r="D686" s="151"/>
      <c r="E686" s="151" t="s">
        <v>367</v>
      </c>
      <c r="F686" s="151" t="s">
        <v>367</v>
      </c>
      <c r="G686" s="151"/>
      <c r="H686" s="151"/>
      <c r="I686" s="151"/>
      <c r="J686" s="151">
        <v>1899</v>
      </c>
      <c r="K686" s="151">
        <v>12</v>
      </c>
    </row>
    <row r="687" spans="1:11" ht="13.5" customHeight="1" x14ac:dyDescent="0.15">
      <c r="A687" s="141"/>
      <c r="B687" s="148">
        <v>684</v>
      </c>
      <c r="C687" s="164"/>
      <c r="D687" s="152"/>
      <c r="E687" s="152" t="s">
        <v>367</v>
      </c>
      <c r="F687" s="152" t="s">
        <v>367</v>
      </c>
      <c r="G687" s="152"/>
      <c r="H687" s="152"/>
      <c r="I687" s="152"/>
      <c r="J687" s="152">
        <v>1899</v>
      </c>
      <c r="K687" s="152">
        <v>12</v>
      </c>
    </row>
    <row r="688" spans="1:11" ht="13.5" customHeight="1" x14ac:dyDescent="0.15">
      <c r="A688" s="141"/>
      <c r="B688" s="148">
        <v>685</v>
      </c>
      <c r="C688" s="163"/>
      <c r="D688" s="151"/>
      <c r="E688" s="151" t="s">
        <v>367</v>
      </c>
      <c r="F688" s="151" t="s">
        <v>367</v>
      </c>
      <c r="G688" s="151"/>
      <c r="H688" s="151"/>
      <c r="I688" s="151"/>
      <c r="J688" s="151">
        <v>1899</v>
      </c>
      <c r="K688" s="151">
        <v>12</v>
      </c>
    </row>
    <row r="689" spans="1:11" ht="13.5" customHeight="1" x14ac:dyDescent="0.15">
      <c r="A689" s="141"/>
      <c r="B689" s="148">
        <v>686</v>
      </c>
      <c r="C689" s="164"/>
      <c r="D689" s="152"/>
      <c r="E689" s="152" t="s">
        <v>367</v>
      </c>
      <c r="F689" s="152" t="s">
        <v>367</v>
      </c>
      <c r="G689" s="152"/>
      <c r="H689" s="152"/>
      <c r="I689" s="152"/>
      <c r="J689" s="152">
        <v>1899</v>
      </c>
      <c r="K689" s="152">
        <v>12</v>
      </c>
    </row>
    <row r="690" spans="1:11" ht="13.5" customHeight="1" x14ac:dyDescent="0.15">
      <c r="A690" s="141"/>
      <c r="B690" s="148">
        <v>687</v>
      </c>
      <c r="C690" s="163"/>
      <c r="D690" s="151"/>
      <c r="E690" s="151" t="s">
        <v>367</v>
      </c>
      <c r="F690" s="151" t="s">
        <v>367</v>
      </c>
      <c r="G690" s="151"/>
      <c r="H690" s="151"/>
      <c r="I690" s="151"/>
      <c r="J690" s="151">
        <v>1899</v>
      </c>
      <c r="K690" s="151">
        <v>12</v>
      </c>
    </row>
    <row r="691" spans="1:11" ht="13.5" customHeight="1" x14ac:dyDescent="0.15">
      <c r="A691" s="141"/>
      <c r="B691" s="148">
        <v>688</v>
      </c>
      <c r="C691" s="164"/>
      <c r="D691" s="152"/>
      <c r="E691" s="152" t="s">
        <v>367</v>
      </c>
      <c r="F691" s="152" t="s">
        <v>367</v>
      </c>
      <c r="G691" s="152"/>
      <c r="H691" s="152"/>
      <c r="I691" s="152"/>
      <c r="J691" s="152">
        <v>1899</v>
      </c>
      <c r="K691" s="152">
        <v>12</v>
      </c>
    </row>
    <row r="692" spans="1:11" ht="13.5" customHeight="1" x14ac:dyDescent="0.15">
      <c r="A692" s="141"/>
      <c r="B692" s="148">
        <v>689</v>
      </c>
      <c r="C692" s="163"/>
      <c r="D692" s="151"/>
      <c r="E692" s="151" t="s">
        <v>367</v>
      </c>
      <c r="F692" s="151" t="s">
        <v>367</v>
      </c>
      <c r="G692" s="151"/>
      <c r="H692" s="151"/>
      <c r="I692" s="151"/>
      <c r="J692" s="151">
        <v>1899</v>
      </c>
      <c r="K692" s="151">
        <v>12</v>
      </c>
    </row>
    <row r="693" spans="1:11" ht="13.5" customHeight="1" x14ac:dyDescent="0.15">
      <c r="A693" s="141"/>
      <c r="B693" s="148">
        <v>690</v>
      </c>
      <c r="C693" s="164"/>
      <c r="D693" s="152"/>
      <c r="E693" s="152" t="s">
        <v>367</v>
      </c>
      <c r="F693" s="152" t="s">
        <v>367</v>
      </c>
      <c r="G693" s="152"/>
      <c r="H693" s="152"/>
      <c r="I693" s="152"/>
      <c r="J693" s="152">
        <v>1899</v>
      </c>
      <c r="K693" s="152">
        <v>12</v>
      </c>
    </row>
    <row r="694" spans="1:11" ht="13.5" customHeight="1" x14ac:dyDescent="0.15">
      <c r="A694" s="141"/>
      <c r="B694" s="148">
        <v>691</v>
      </c>
      <c r="C694" s="163"/>
      <c r="D694" s="151"/>
      <c r="E694" s="151" t="s">
        <v>367</v>
      </c>
      <c r="F694" s="151" t="s">
        <v>367</v>
      </c>
      <c r="G694" s="151"/>
      <c r="H694" s="151"/>
      <c r="I694" s="151"/>
      <c r="J694" s="151">
        <v>1899</v>
      </c>
      <c r="K694" s="151">
        <v>12</v>
      </c>
    </row>
    <row r="695" spans="1:11" ht="13.5" customHeight="1" x14ac:dyDescent="0.15">
      <c r="A695" s="141"/>
      <c r="B695" s="148">
        <v>692</v>
      </c>
      <c r="C695" s="164"/>
      <c r="D695" s="152"/>
      <c r="E695" s="152" t="s">
        <v>367</v>
      </c>
      <c r="F695" s="152" t="s">
        <v>367</v>
      </c>
      <c r="G695" s="152"/>
      <c r="H695" s="152"/>
      <c r="I695" s="152"/>
      <c r="J695" s="152">
        <v>1899</v>
      </c>
      <c r="K695" s="152">
        <v>12</v>
      </c>
    </row>
    <row r="696" spans="1:11" ht="13.5" customHeight="1" x14ac:dyDescent="0.15">
      <c r="A696" s="141"/>
      <c r="B696" s="148">
        <v>693</v>
      </c>
      <c r="C696" s="163"/>
      <c r="D696" s="151"/>
      <c r="E696" s="151" t="s">
        <v>367</v>
      </c>
      <c r="F696" s="151" t="s">
        <v>367</v>
      </c>
      <c r="G696" s="151"/>
      <c r="H696" s="151"/>
      <c r="I696" s="151"/>
      <c r="J696" s="151">
        <v>1899</v>
      </c>
      <c r="K696" s="151">
        <v>12</v>
      </c>
    </row>
    <row r="697" spans="1:11" ht="13.5" customHeight="1" x14ac:dyDescent="0.15">
      <c r="A697" s="141"/>
      <c r="B697" s="148">
        <v>694</v>
      </c>
      <c r="C697" s="164"/>
      <c r="D697" s="152"/>
      <c r="E697" s="152" t="s">
        <v>367</v>
      </c>
      <c r="F697" s="152" t="s">
        <v>367</v>
      </c>
      <c r="G697" s="152"/>
      <c r="H697" s="152"/>
      <c r="I697" s="152"/>
      <c r="J697" s="152">
        <v>1899</v>
      </c>
      <c r="K697" s="152">
        <v>12</v>
      </c>
    </row>
    <row r="698" spans="1:11" ht="13.5" customHeight="1" x14ac:dyDescent="0.15">
      <c r="A698" s="141"/>
      <c r="B698" s="148">
        <v>695</v>
      </c>
      <c r="C698" s="163"/>
      <c r="D698" s="151"/>
      <c r="E698" s="151" t="s">
        <v>367</v>
      </c>
      <c r="F698" s="151" t="s">
        <v>367</v>
      </c>
      <c r="G698" s="151"/>
      <c r="H698" s="151"/>
      <c r="I698" s="151"/>
      <c r="J698" s="151">
        <v>1899</v>
      </c>
      <c r="K698" s="151">
        <v>12</v>
      </c>
    </row>
    <row r="699" spans="1:11" ht="13.5" customHeight="1" x14ac:dyDescent="0.15">
      <c r="A699" s="141"/>
      <c r="B699" s="148">
        <v>696</v>
      </c>
      <c r="C699" s="164"/>
      <c r="D699" s="152"/>
      <c r="E699" s="152" t="s">
        <v>367</v>
      </c>
      <c r="F699" s="152" t="s">
        <v>367</v>
      </c>
      <c r="G699" s="152"/>
      <c r="H699" s="152"/>
      <c r="I699" s="152"/>
      <c r="J699" s="152">
        <v>1899</v>
      </c>
      <c r="K699" s="152">
        <v>12</v>
      </c>
    </row>
    <row r="700" spans="1:11" ht="13.5" customHeight="1" x14ac:dyDescent="0.15">
      <c r="A700" s="141"/>
      <c r="B700" s="148">
        <v>697</v>
      </c>
      <c r="C700" s="163"/>
      <c r="D700" s="151"/>
      <c r="E700" s="151" t="s">
        <v>367</v>
      </c>
      <c r="F700" s="151" t="s">
        <v>367</v>
      </c>
      <c r="G700" s="151"/>
      <c r="H700" s="151"/>
      <c r="I700" s="151"/>
      <c r="J700" s="151">
        <v>1899</v>
      </c>
      <c r="K700" s="151">
        <v>12</v>
      </c>
    </row>
    <row r="701" spans="1:11" ht="13.5" customHeight="1" x14ac:dyDescent="0.15">
      <c r="A701" s="141"/>
      <c r="B701" s="148">
        <v>698</v>
      </c>
      <c r="C701" s="164"/>
      <c r="D701" s="152"/>
      <c r="E701" s="152" t="s">
        <v>367</v>
      </c>
      <c r="F701" s="152" t="s">
        <v>367</v>
      </c>
      <c r="G701" s="152"/>
      <c r="H701" s="152"/>
      <c r="I701" s="152"/>
      <c r="J701" s="152">
        <v>1899</v>
      </c>
      <c r="K701" s="152">
        <v>12</v>
      </c>
    </row>
    <row r="702" spans="1:11" ht="13.5" customHeight="1" x14ac:dyDescent="0.15">
      <c r="A702" s="141"/>
      <c r="B702" s="148">
        <v>699</v>
      </c>
      <c r="C702" s="163"/>
      <c r="D702" s="151"/>
      <c r="E702" s="151" t="s">
        <v>367</v>
      </c>
      <c r="F702" s="151" t="s">
        <v>367</v>
      </c>
      <c r="G702" s="151"/>
      <c r="H702" s="151"/>
      <c r="I702" s="151"/>
      <c r="J702" s="151">
        <v>1899</v>
      </c>
      <c r="K702" s="151">
        <v>12</v>
      </c>
    </row>
    <row r="703" spans="1:11" ht="13.5" customHeight="1" x14ac:dyDescent="0.15">
      <c r="A703" s="141"/>
      <c r="B703" s="148">
        <v>700</v>
      </c>
      <c r="C703" s="164"/>
      <c r="D703" s="152"/>
      <c r="E703" s="152" t="s">
        <v>367</v>
      </c>
      <c r="F703" s="152" t="s">
        <v>367</v>
      </c>
      <c r="G703" s="152"/>
      <c r="H703" s="152"/>
      <c r="I703" s="152"/>
      <c r="J703" s="152">
        <v>1899</v>
      </c>
      <c r="K703" s="152">
        <v>12</v>
      </c>
    </row>
    <row r="704" spans="1:11" ht="13.5" customHeight="1" x14ac:dyDescent="0.15">
      <c r="A704" s="141"/>
      <c r="B704" s="148">
        <v>701</v>
      </c>
      <c r="C704" s="163"/>
      <c r="D704" s="151"/>
      <c r="E704" s="151" t="s">
        <v>367</v>
      </c>
      <c r="F704" s="151" t="s">
        <v>367</v>
      </c>
      <c r="G704" s="151"/>
      <c r="H704" s="151"/>
      <c r="I704" s="151"/>
      <c r="J704" s="151">
        <v>1899</v>
      </c>
      <c r="K704" s="151">
        <v>12</v>
      </c>
    </row>
    <row r="705" spans="1:11" ht="13.5" customHeight="1" x14ac:dyDescent="0.15">
      <c r="A705" s="141"/>
      <c r="B705" s="148">
        <v>702</v>
      </c>
      <c r="C705" s="164"/>
      <c r="D705" s="152"/>
      <c r="E705" s="152" t="s">
        <v>367</v>
      </c>
      <c r="F705" s="152" t="s">
        <v>367</v>
      </c>
      <c r="G705" s="152"/>
      <c r="H705" s="152"/>
      <c r="I705" s="152"/>
      <c r="J705" s="152">
        <v>1899</v>
      </c>
      <c r="K705" s="152">
        <v>12</v>
      </c>
    </row>
    <row r="706" spans="1:11" ht="13.5" customHeight="1" x14ac:dyDescent="0.15">
      <c r="A706" s="141"/>
      <c r="B706" s="148">
        <v>703</v>
      </c>
      <c r="C706" s="163"/>
      <c r="D706" s="151"/>
      <c r="E706" s="151" t="s">
        <v>367</v>
      </c>
      <c r="F706" s="151" t="s">
        <v>367</v>
      </c>
      <c r="G706" s="151"/>
      <c r="H706" s="151"/>
      <c r="I706" s="151"/>
      <c r="J706" s="151">
        <v>1899</v>
      </c>
      <c r="K706" s="151">
        <v>12</v>
      </c>
    </row>
    <row r="707" spans="1:11" ht="13.5" customHeight="1" x14ac:dyDescent="0.15">
      <c r="A707" s="141"/>
      <c r="B707" s="148">
        <v>704</v>
      </c>
      <c r="C707" s="164"/>
      <c r="D707" s="152"/>
      <c r="E707" s="152" t="s">
        <v>367</v>
      </c>
      <c r="F707" s="152" t="s">
        <v>367</v>
      </c>
      <c r="G707" s="152"/>
      <c r="H707" s="152"/>
      <c r="I707" s="152"/>
      <c r="J707" s="152">
        <v>1899</v>
      </c>
      <c r="K707" s="152">
        <v>12</v>
      </c>
    </row>
    <row r="708" spans="1:11" ht="13.5" customHeight="1" x14ac:dyDescent="0.15">
      <c r="A708" s="141"/>
      <c r="B708" s="148">
        <v>705</v>
      </c>
      <c r="C708" s="163"/>
      <c r="D708" s="151"/>
      <c r="E708" s="151" t="s">
        <v>367</v>
      </c>
      <c r="F708" s="151" t="s">
        <v>367</v>
      </c>
      <c r="G708" s="151"/>
      <c r="H708" s="151"/>
      <c r="I708" s="151"/>
      <c r="J708" s="151">
        <v>1899</v>
      </c>
      <c r="K708" s="151">
        <v>12</v>
      </c>
    </row>
    <row r="709" spans="1:11" ht="13.5" customHeight="1" x14ac:dyDescent="0.15">
      <c r="A709" s="141"/>
      <c r="B709" s="148">
        <v>706</v>
      </c>
      <c r="C709" s="164"/>
      <c r="D709" s="152"/>
      <c r="E709" s="152" t="s">
        <v>367</v>
      </c>
      <c r="F709" s="152" t="s">
        <v>367</v>
      </c>
      <c r="G709" s="152"/>
      <c r="H709" s="152"/>
      <c r="I709" s="152"/>
      <c r="J709" s="152">
        <v>1899</v>
      </c>
      <c r="K709" s="152">
        <v>12</v>
      </c>
    </row>
    <row r="710" spans="1:11" ht="13.5" customHeight="1" x14ac:dyDescent="0.15">
      <c r="A710" s="141"/>
      <c r="B710" s="148">
        <v>707</v>
      </c>
      <c r="C710" s="163"/>
      <c r="D710" s="151"/>
      <c r="E710" s="151" t="s">
        <v>367</v>
      </c>
      <c r="F710" s="151" t="s">
        <v>367</v>
      </c>
      <c r="G710" s="151"/>
      <c r="H710" s="151"/>
      <c r="I710" s="151"/>
      <c r="J710" s="151">
        <v>1899</v>
      </c>
      <c r="K710" s="151">
        <v>12</v>
      </c>
    </row>
    <row r="711" spans="1:11" ht="13.5" customHeight="1" x14ac:dyDescent="0.15">
      <c r="A711" s="141"/>
      <c r="B711" s="148">
        <v>708</v>
      </c>
      <c r="C711" s="164"/>
      <c r="D711" s="152"/>
      <c r="E711" s="152" t="s">
        <v>367</v>
      </c>
      <c r="F711" s="152" t="s">
        <v>367</v>
      </c>
      <c r="G711" s="152"/>
      <c r="H711" s="152"/>
      <c r="I711" s="152"/>
      <c r="J711" s="152">
        <v>1899</v>
      </c>
      <c r="K711" s="152">
        <v>12</v>
      </c>
    </row>
    <row r="712" spans="1:11" ht="13.5" customHeight="1" x14ac:dyDescent="0.15">
      <c r="A712" s="141"/>
      <c r="B712" s="148">
        <v>709</v>
      </c>
      <c r="C712" s="163"/>
      <c r="D712" s="151"/>
      <c r="E712" s="151" t="s">
        <v>367</v>
      </c>
      <c r="F712" s="151" t="s">
        <v>367</v>
      </c>
      <c r="G712" s="151"/>
      <c r="H712" s="151"/>
      <c r="I712" s="151"/>
      <c r="J712" s="151">
        <v>1899</v>
      </c>
      <c r="K712" s="151">
        <v>12</v>
      </c>
    </row>
    <row r="713" spans="1:11" ht="13.5" customHeight="1" x14ac:dyDescent="0.15">
      <c r="A713" s="141"/>
      <c r="B713" s="148">
        <v>710</v>
      </c>
      <c r="C713" s="164"/>
      <c r="D713" s="152"/>
      <c r="E713" s="152" t="s">
        <v>367</v>
      </c>
      <c r="F713" s="152" t="s">
        <v>367</v>
      </c>
      <c r="G713" s="152"/>
      <c r="H713" s="152"/>
      <c r="I713" s="152"/>
      <c r="J713" s="152">
        <v>1899</v>
      </c>
      <c r="K713" s="152">
        <v>12</v>
      </c>
    </row>
    <row r="714" spans="1:11" ht="13.5" customHeight="1" x14ac:dyDescent="0.15">
      <c r="A714" s="141"/>
      <c r="B714" s="148">
        <v>711</v>
      </c>
      <c r="C714" s="163"/>
      <c r="D714" s="151"/>
      <c r="E714" s="151" t="s">
        <v>367</v>
      </c>
      <c r="F714" s="151" t="s">
        <v>367</v>
      </c>
      <c r="G714" s="151"/>
      <c r="H714" s="151"/>
      <c r="I714" s="151"/>
      <c r="J714" s="151">
        <v>1899</v>
      </c>
      <c r="K714" s="151">
        <v>12</v>
      </c>
    </row>
    <row r="715" spans="1:11" ht="13.5" customHeight="1" x14ac:dyDescent="0.15">
      <c r="A715" s="141"/>
      <c r="B715" s="148">
        <v>712</v>
      </c>
      <c r="C715" s="164"/>
      <c r="D715" s="152"/>
      <c r="E715" s="152" t="s">
        <v>367</v>
      </c>
      <c r="F715" s="152" t="s">
        <v>367</v>
      </c>
      <c r="G715" s="152"/>
      <c r="H715" s="152"/>
      <c r="I715" s="152"/>
      <c r="J715" s="152">
        <v>1899</v>
      </c>
      <c r="K715" s="152">
        <v>12</v>
      </c>
    </row>
    <row r="716" spans="1:11" ht="13.5" customHeight="1" x14ac:dyDescent="0.15">
      <c r="A716" s="141"/>
      <c r="B716" s="148">
        <v>713</v>
      </c>
      <c r="C716" s="163"/>
      <c r="D716" s="151"/>
      <c r="E716" s="151" t="s">
        <v>367</v>
      </c>
      <c r="F716" s="151" t="s">
        <v>367</v>
      </c>
      <c r="G716" s="151"/>
      <c r="H716" s="151"/>
      <c r="I716" s="151"/>
      <c r="J716" s="151">
        <v>1899</v>
      </c>
      <c r="K716" s="151">
        <v>12</v>
      </c>
    </row>
    <row r="717" spans="1:11" ht="13.5" customHeight="1" x14ac:dyDescent="0.15">
      <c r="A717" s="141"/>
      <c r="B717" s="148">
        <v>714</v>
      </c>
      <c r="C717" s="164"/>
      <c r="D717" s="152"/>
      <c r="E717" s="152" t="s">
        <v>367</v>
      </c>
      <c r="F717" s="152" t="s">
        <v>367</v>
      </c>
      <c r="G717" s="152"/>
      <c r="H717" s="152"/>
      <c r="I717" s="152"/>
      <c r="J717" s="152">
        <v>1899</v>
      </c>
      <c r="K717" s="152">
        <v>12</v>
      </c>
    </row>
    <row r="718" spans="1:11" ht="13.5" customHeight="1" x14ac:dyDescent="0.15">
      <c r="A718" s="141"/>
      <c r="B718" s="148">
        <v>715</v>
      </c>
      <c r="C718" s="163"/>
      <c r="D718" s="151"/>
      <c r="E718" s="151" t="s">
        <v>367</v>
      </c>
      <c r="F718" s="151" t="s">
        <v>367</v>
      </c>
      <c r="G718" s="151"/>
      <c r="H718" s="151"/>
      <c r="I718" s="151"/>
      <c r="J718" s="151">
        <v>1899</v>
      </c>
      <c r="K718" s="151">
        <v>12</v>
      </c>
    </row>
    <row r="719" spans="1:11" ht="13.5" customHeight="1" x14ac:dyDescent="0.15">
      <c r="A719" s="141"/>
      <c r="B719" s="148">
        <v>716</v>
      </c>
      <c r="C719" s="164"/>
      <c r="D719" s="152"/>
      <c r="E719" s="152" t="s">
        <v>367</v>
      </c>
      <c r="F719" s="152" t="s">
        <v>367</v>
      </c>
      <c r="G719" s="152"/>
      <c r="H719" s="152"/>
      <c r="I719" s="152"/>
      <c r="J719" s="152">
        <v>1899</v>
      </c>
      <c r="K719" s="152">
        <v>12</v>
      </c>
    </row>
    <row r="720" spans="1:11" ht="13.5" customHeight="1" x14ac:dyDescent="0.15">
      <c r="A720" s="141"/>
      <c r="B720" s="148">
        <v>717</v>
      </c>
      <c r="C720" s="163"/>
      <c r="D720" s="151"/>
      <c r="E720" s="151" t="s">
        <v>367</v>
      </c>
      <c r="F720" s="151" t="s">
        <v>367</v>
      </c>
      <c r="G720" s="151"/>
      <c r="H720" s="151"/>
      <c r="I720" s="151"/>
      <c r="J720" s="151">
        <v>1899</v>
      </c>
      <c r="K720" s="151">
        <v>12</v>
      </c>
    </row>
    <row r="721" spans="1:11" ht="13.5" customHeight="1" x14ac:dyDescent="0.15">
      <c r="A721" s="141"/>
      <c r="B721" s="148">
        <v>718</v>
      </c>
      <c r="C721" s="164"/>
      <c r="D721" s="152"/>
      <c r="E721" s="152" t="s">
        <v>367</v>
      </c>
      <c r="F721" s="152" t="s">
        <v>367</v>
      </c>
      <c r="G721" s="152"/>
      <c r="H721" s="152"/>
      <c r="I721" s="152"/>
      <c r="J721" s="152">
        <v>1899</v>
      </c>
      <c r="K721" s="152">
        <v>12</v>
      </c>
    </row>
    <row r="722" spans="1:11" ht="13.5" customHeight="1" x14ac:dyDescent="0.15">
      <c r="A722" s="141"/>
      <c r="B722" s="148">
        <v>719</v>
      </c>
      <c r="C722" s="163"/>
      <c r="D722" s="151"/>
      <c r="E722" s="151" t="s">
        <v>367</v>
      </c>
      <c r="F722" s="151" t="s">
        <v>367</v>
      </c>
      <c r="G722" s="151"/>
      <c r="H722" s="151"/>
      <c r="I722" s="151"/>
      <c r="J722" s="151">
        <v>1899</v>
      </c>
      <c r="K722" s="151">
        <v>12</v>
      </c>
    </row>
    <row r="723" spans="1:11" ht="13.5" customHeight="1" x14ac:dyDescent="0.15">
      <c r="A723" s="141"/>
      <c r="B723" s="148">
        <v>720</v>
      </c>
      <c r="C723" s="164"/>
      <c r="D723" s="152"/>
      <c r="E723" s="152" t="s">
        <v>367</v>
      </c>
      <c r="F723" s="152" t="s">
        <v>367</v>
      </c>
      <c r="G723" s="152"/>
      <c r="H723" s="152"/>
      <c r="I723" s="152"/>
      <c r="J723" s="152">
        <v>1899</v>
      </c>
      <c r="K723" s="152">
        <v>12</v>
      </c>
    </row>
    <row r="724" spans="1:11" ht="13.5" customHeight="1" x14ac:dyDescent="0.15">
      <c r="A724" s="141"/>
      <c r="B724" s="148">
        <v>721</v>
      </c>
      <c r="C724" s="163"/>
      <c r="D724" s="151"/>
      <c r="E724" s="151" t="s">
        <v>367</v>
      </c>
      <c r="F724" s="151" t="s">
        <v>367</v>
      </c>
      <c r="G724" s="151"/>
      <c r="H724" s="151"/>
      <c r="I724" s="151"/>
      <c r="J724" s="151">
        <v>1899</v>
      </c>
      <c r="K724" s="151">
        <v>12</v>
      </c>
    </row>
    <row r="725" spans="1:11" ht="13.5" customHeight="1" x14ac:dyDescent="0.15">
      <c r="A725" s="141"/>
      <c r="B725" s="148">
        <v>722</v>
      </c>
      <c r="C725" s="164"/>
      <c r="D725" s="152"/>
      <c r="E725" s="152" t="s">
        <v>367</v>
      </c>
      <c r="F725" s="152" t="s">
        <v>367</v>
      </c>
      <c r="G725" s="152"/>
      <c r="H725" s="152"/>
      <c r="I725" s="152"/>
      <c r="J725" s="152">
        <v>1899</v>
      </c>
      <c r="K725" s="152">
        <v>12</v>
      </c>
    </row>
    <row r="726" spans="1:11" ht="13.5" customHeight="1" x14ac:dyDescent="0.15">
      <c r="A726" s="141"/>
      <c r="B726" s="148">
        <v>723</v>
      </c>
      <c r="C726" s="163"/>
      <c r="D726" s="151"/>
      <c r="E726" s="151" t="s">
        <v>367</v>
      </c>
      <c r="F726" s="151" t="s">
        <v>367</v>
      </c>
      <c r="G726" s="151"/>
      <c r="H726" s="151"/>
      <c r="I726" s="151"/>
      <c r="J726" s="151">
        <v>1899</v>
      </c>
      <c r="K726" s="151">
        <v>12</v>
      </c>
    </row>
    <row r="727" spans="1:11" ht="13.5" customHeight="1" x14ac:dyDescent="0.15">
      <c r="A727" s="141"/>
      <c r="B727" s="148">
        <v>724</v>
      </c>
      <c r="C727" s="164"/>
      <c r="D727" s="152"/>
      <c r="E727" s="152" t="s">
        <v>367</v>
      </c>
      <c r="F727" s="152" t="s">
        <v>367</v>
      </c>
      <c r="G727" s="152"/>
      <c r="H727" s="152"/>
      <c r="I727" s="152"/>
      <c r="J727" s="152">
        <v>1899</v>
      </c>
      <c r="K727" s="152">
        <v>12</v>
      </c>
    </row>
    <row r="728" spans="1:11" ht="13.5" customHeight="1" x14ac:dyDescent="0.15">
      <c r="A728" s="141"/>
      <c r="B728" s="148">
        <v>725</v>
      </c>
      <c r="C728" s="163"/>
      <c r="D728" s="151"/>
      <c r="E728" s="151" t="s">
        <v>367</v>
      </c>
      <c r="F728" s="151" t="s">
        <v>367</v>
      </c>
      <c r="G728" s="151"/>
      <c r="H728" s="151"/>
      <c r="I728" s="151"/>
      <c r="J728" s="151">
        <v>1899</v>
      </c>
      <c r="K728" s="151">
        <v>12</v>
      </c>
    </row>
    <row r="729" spans="1:11" ht="13.5" customHeight="1" x14ac:dyDescent="0.15">
      <c r="A729" s="141"/>
      <c r="B729" s="148">
        <v>726</v>
      </c>
      <c r="C729" s="164"/>
      <c r="D729" s="152"/>
      <c r="E729" s="152" t="s">
        <v>367</v>
      </c>
      <c r="F729" s="152" t="s">
        <v>367</v>
      </c>
      <c r="G729" s="152"/>
      <c r="H729" s="152"/>
      <c r="I729" s="152"/>
      <c r="J729" s="152">
        <v>1899</v>
      </c>
      <c r="K729" s="152">
        <v>12</v>
      </c>
    </row>
    <row r="730" spans="1:11" ht="13.5" customHeight="1" x14ac:dyDescent="0.15">
      <c r="A730" s="141"/>
      <c r="B730" s="148">
        <v>727</v>
      </c>
      <c r="C730" s="163"/>
      <c r="D730" s="151"/>
      <c r="E730" s="151" t="s">
        <v>367</v>
      </c>
      <c r="F730" s="151" t="s">
        <v>367</v>
      </c>
      <c r="G730" s="151"/>
      <c r="H730" s="151"/>
      <c r="I730" s="151"/>
      <c r="J730" s="151">
        <v>1899</v>
      </c>
      <c r="K730" s="151">
        <v>12</v>
      </c>
    </row>
    <row r="731" spans="1:11" ht="13.5" customHeight="1" x14ac:dyDescent="0.15">
      <c r="A731" s="141"/>
      <c r="B731" s="148">
        <v>728</v>
      </c>
      <c r="C731" s="164"/>
      <c r="D731" s="152"/>
      <c r="E731" s="152" t="s">
        <v>367</v>
      </c>
      <c r="F731" s="152" t="s">
        <v>367</v>
      </c>
      <c r="G731" s="152"/>
      <c r="H731" s="152"/>
      <c r="I731" s="152"/>
      <c r="J731" s="152">
        <v>1899</v>
      </c>
      <c r="K731" s="152">
        <v>12</v>
      </c>
    </row>
    <row r="732" spans="1:11" ht="13.5" customHeight="1" x14ac:dyDescent="0.15">
      <c r="A732" s="141"/>
      <c r="B732" s="148">
        <v>729</v>
      </c>
      <c r="C732" s="163"/>
      <c r="D732" s="151"/>
      <c r="E732" s="151" t="s">
        <v>367</v>
      </c>
      <c r="F732" s="151" t="s">
        <v>367</v>
      </c>
      <c r="G732" s="151"/>
      <c r="H732" s="151"/>
      <c r="I732" s="151"/>
      <c r="J732" s="151">
        <v>1899</v>
      </c>
      <c r="K732" s="151">
        <v>12</v>
      </c>
    </row>
    <row r="733" spans="1:11" ht="13.5" customHeight="1" x14ac:dyDescent="0.15">
      <c r="A733" s="141"/>
      <c r="B733" s="148">
        <v>730</v>
      </c>
      <c r="C733" s="164"/>
      <c r="D733" s="152"/>
      <c r="E733" s="152" t="s">
        <v>367</v>
      </c>
      <c r="F733" s="152" t="s">
        <v>367</v>
      </c>
      <c r="G733" s="152"/>
      <c r="H733" s="152"/>
      <c r="I733" s="152"/>
      <c r="J733" s="152">
        <v>1899</v>
      </c>
      <c r="K733" s="152">
        <v>12</v>
      </c>
    </row>
    <row r="734" spans="1:11" ht="13.5" customHeight="1" x14ac:dyDescent="0.15">
      <c r="A734" s="141"/>
      <c r="B734" s="148">
        <v>731</v>
      </c>
      <c r="C734" s="163"/>
      <c r="D734" s="151"/>
      <c r="E734" s="151" t="s">
        <v>367</v>
      </c>
      <c r="F734" s="151" t="s">
        <v>367</v>
      </c>
      <c r="G734" s="151"/>
      <c r="H734" s="151"/>
      <c r="I734" s="151"/>
      <c r="J734" s="151">
        <v>1899</v>
      </c>
      <c r="K734" s="151">
        <v>12</v>
      </c>
    </row>
    <row r="735" spans="1:11" ht="13.5" customHeight="1" x14ac:dyDescent="0.15">
      <c r="A735" s="141"/>
      <c r="B735" s="148">
        <v>732</v>
      </c>
      <c r="C735" s="164"/>
      <c r="D735" s="152"/>
      <c r="E735" s="152" t="s">
        <v>367</v>
      </c>
      <c r="F735" s="152" t="s">
        <v>367</v>
      </c>
      <c r="G735" s="152"/>
      <c r="H735" s="152"/>
      <c r="I735" s="152"/>
      <c r="J735" s="152">
        <v>1899</v>
      </c>
      <c r="K735" s="152">
        <v>12</v>
      </c>
    </row>
    <row r="736" spans="1:11" ht="13.5" customHeight="1" x14ac:dyDescent="0.15">
      <c r="A736" s="141"/>
      <c r="B736" s="148">
        <v>733</v>
      </c>
      <c r="C736" s="163"/>
      <c r="D736" s="151"/>
      <c r="E736" s="151" t="s">
        <v>367</v>
      </c>
      <c r="F736" s="151" t="s">
        <v>367</v>
      </c>
      <c r="G736" s="151"/>
      <c r="H736" s="151"/>
      <c r="I736" s="151"/>
      <c r="J736" s="151">
        <v>1899</v>
      </c>
      <c r="K736" s="151">
        <v>12</v>
      </c>
    </row>
    <row r="737" spans="1:11" ht="13.5" customHeight="1" x14ac:dyDescent="0.15">
      <c r="A737" s="141"/>
      <c r="B737" s="148">
        <v>734</v>
      </c>
      <c r="C737" s="164"/>
      <c r="D737" s="152"/>
      <c r="E737" s="152" t="s">
        <v>367</v>
      </c>
      <c r="F737" s="152" t="s">
        <v>367</v>
      </c>
      <c r="G737" s="152"/>
      <c r="H737" s="152"/>
      <c r="I737" s="152"/>
      <c r="J737" s="152">
        <v>1899</v>
      </c>
      <c r="K737" s="152">
        <v>12</v>
      </c>
    </row>
    <row r="738" spans="1:11" ht="13.5" customHeight="1" x14ac:dyDescent="0.15">
      <c r="A738" s="141"/>
      <c r="B738" s="148">
        <v>735</v>
      </c>
      <c r="C738" s="163"/>
      <c r="D738" s="151"/>
      <c r="E738" s="151" t="s">
        <v>367</v>
      </c>
      <c r="F738" s="151" t="s">
        <v>367</v>
      </c>
      <c r="G738" s="151"/>
      <c r="H738" s="151"/>
      <c r="I738" s="151"/>
      <c r="J738" s="151">
        <v>1899</v>
      </c>
      <c r="K738" s="151">
        <v>12</v>
      </c>
    </row>
    <row r="739" spans="1:11" ht="13.5" customHeight="1" x14ac:dyDescent="0.15">
      <c r="A739" s="141"/>
      <c r="B739" s="148">
        <v>736</v>
      </c>
      <c r="C739" s="164"/>
      <c r="D739" s="152"/>
      <c r="E739" s="152" t="s">
        <v>367</v>
      </c>
      <c r="F739" s="152" t="s">
        <v>367</v>
      </c>
      <c r="G739" s="152"/>
      <c r="H739" s="152"/>
      <c r="I739" s="152"/>
      <c r="J739" s="152">
        <v>1899</v>
      </c>
      <c r="K739" s="152">
        <v>12</v>
      </c>
    </row>
    <row r="740" spans="1:11" ht="13.5" customHeight="1" x14ac:dyDescent="0.15">
      <c r="A740" s="141"/>
      <c r="B740" s="148">
        <v>737</v>
      </c>
      <c r="C740" s="163"/>
      <c r="D740" s="151"/>
      <c r="E740" s="151" t="s">
        <v>367</v>
      </c>
      <c r="F740" s="151" t="s">
        <v>367</v>
      </c>
      <c r="G740" s="151"/>
      <c r="H740" s="151"/>
      <c r="I740" s="151"/>
      <c r="J740" s="151">
        <v>1899</v>
      </c>
      <c r="K740" s="151">
        <v>12</v>
      </c>
    </row>
    <row r="741" spans="1:11" ht="13.5" customHeight="1" x14ac:dyDescent="0.15">
      <c r="A741" s="141"/>
      <c r="B741" s="148">
        <v>738</v>
      </c>
      <c r="C741" s="164"/>
      <c r="D741" s="152"/>
      <c r="E741" s="152" t="s">
        <v>367</v>
      </c>
      <c r="F741" s="152" t="s">
        <v>367</v>
      </c>
      <c r="G741" s="152"/>
      <c r="H741" s="152"/>
      <c r="I741" s="152"/>
      <c r="J741" s="152">
        <v>1899</v>
      </c>
      <c r="K741" s="152">
        <v>12</v>
      </c>
    </row>
    <row r="742" spans="1:11" ht="13.5" customHeight="1" x14ac:dyDescent="0.15">
      <c r="A742" s="141"/>
      <c r="B742" s="148">
        <v>739</v>
      </c>
      <c r="C742" s="163"/>
      <c r="D742" s="151"/>
      <c r="E742" s="151" t="s">
        <v>367</v>
      </c>
      <c r="F742" s="151" t="s">
        <v>367</v>
      </c>
      <c r="G742" s="151"/>
      <c r="H742" s="151"/>
      <c r="I742" s="151"/>
      <c r="J742" s="151">
        <v>1899</v>
      </c>
      <c r="K742" s="151">
        <v>12</v>
      </c>
    </row>
    <row r="743" spans="1:11" ht="13.5" customHeight="1" x14ac:dyDescent="0.15">
      <c r="A743" s="141"/>
      <c r="B743" s="148">
        <v>740</v>
      </c>
      <c r="C743" s="164"/>
      <c r="D743" s="152"/>
      <c r="E743" s="152" t="s">
        <v>367</v>
      </c>
      <c r="F743" s="152" t="s">
        <v>367</v>
      </c>
      <c r="G743" s="152"/>
      <c r="H743" s="152"/>
      <c r="I743" s="152"/>
      <c r="J743" s="152">
        <v>1899</v>
      </c>
      <c r="K743" s="152">
        <v>12</v>
      </c>
    </row>
    <row r="744" spans="1:11" ht="13.5" customHeight="1" x14ac:dyDescent="0.15">
      <c r="A744" s="141"/>
      <c r="B744" s="148">
        <v>741</v>
      </c>
      <c r="C744" s="163"/>
      <c r="D744" s="151"/>
      <c r="E744" s="151" t="s">
        <v>367</v>
      </c>
      <c r="F744" s="151" t="s">
        <v>367</v>
      </c>
      <c r="G744" s="151"/>
      <c r="H744" s="151"/>
      <c r="I744" s="151"/>
      <c r="J744" s="151">
        <v>1899</v>
      </c>
      <c r="K744" s="151">
        <v>12</v>
      </c>
    </row>
    <row r="745" spans="1:11" ht="13.5" customHeight="1" x14ac:dyDescent="0.15">
      <c r="A745" s="141"/>
      <c r="B745" s="148">
        <v>742</v>
      </c>
      <c r="C745" s="164"/>
      <c r="D745" s="152"/>
      <c r="E745" s="152" t="s">
        <v>367</v>
      </c>
      <c r="F745" s="152" t="s">
        <v>367</v>
      </c>
      <c r="G745" s="152"/>
      <c r="H745" s="152"/>
      <c r="I745" s="152"/>
      <c r="J745" s="152">
        <v>1899</v>
      </c>
      <c r="K745" s="152">
        <v>12</v>
      </c>
    </row>
    <row r="746" spans="1:11" ht="13.5" customHeight="1" x14ac:dyDescent="0.15">
      <c r="A746" s="141"/>
      <c r="B746" s="148">
        <v>743</v>
      </c>
      <c r="C746" s="163"/>
      <c r="D746" s="151"/>
      <c r="E746" s="151" t="s">
        <v>367</v>
      </c>
      <c r="F746" s="151" t="s">
        <v>367</v>
      </c>
      <c r="G746" s="151"/>
      <c r="H746" s="151"/>
      <c r="I746" s="151"/>
      <c r="J746" s="151">
        <v>1899</v>
      </c>
      <c r="K746" s="151">
        <v>12</v>
      </c>
    </row>
    <row r="747" spans="1:11" ht="13.5" customHeight="1" x14ac:dyDescent="0.15">
      <c r="A747" s="141"/>
      <c r="B747" s="148">
        <v>744</v>
      </c>
      <c r="C747" s="164"/>
      <c r="D747" s="152"/>
      <c r="E747" s="152" t="s">
        <v>367</v>
      </c>
      <c r="F747" s="152" t="s">
        <v>367</v>
      </c>
      <c r="G747" s="152"/>
      <c r="H747" s="152"/>
      <c r="I747" s="152"/>
      <c r="J747" s="152">
        <v>1899</v>
      </c>
      <c r="K747" s="152">
        <v>12</v>
      </c>
    </row>
    <row r="748" spans="1:11" ht="13.5" customHeight="1" x14ac:dyDescent="0.15">
      <c r="A748" s="141"/>
      <c r="B748" s="148">
        <v>745</v>
      </c>
      <c r="C748" s="163"/>
      <c r="D748" s="151"/>
      <c r="E748" s="151" t="s">
        <v>367</v>
      </c>
      <c r="F748" s="151" t="s">
        <v>367</v>
      </c>
      <c r="G748" s="151"/>
      <c r="H748" s="151"/>
      <c r="I748" s="151"/>
      <c r="J748" s="151">
        <v>1899</v>
      </c>
      <c r="K748" s="151">
        <v>12</v>
      </c>
    </row>
    <row r="749" spans="1:11" ht="13.5" customHeight="1" x14ac:dyDescent="0.15">
      <c r="A749" s="141"/>
      <c r="B749" s="148">
        <v>746</v>
      </c>
      <c r="C749" s="164"/>
      <c r="D749" s="152"/>
      <c r="E749" s="152" t="s">
        <v>367</v>
      </c>
      <c r="F749" s="152" t="s">
        <v>367</v>
      </c>
      <c r="G749" s="152"/>
      <c r="H749" s="152"/>
      <c r="I749" s="152"/>
      <c r="J749" s="152">
        <v>1899</v>
      </c>
      <c r="K749" s="152">
        <v>12</v>
      </c>
    </row>
    <row r="750" spans="1:11" ht="13.5" customHeight="1" x14ac:dyDescent="0.15">
      <c r="A750" s="141"/>
      <c r="B750" s="148">
        <v>747</v>
      </c>
      <c r="C750" s="163"/>
      <c r="D750" s="151"/>
      <c r="E750" s="151" t="s">
        <v>367</v>
      </c>
      <c r="F750" s="151" t="s">
        <v>367</v>
      </c>
      <c r="G750" s="151"/>
      <c r="H750" s="151"/>
      <c r="I750" s="151"/>
      <c r="J750" s="151">
        <v>1899</v>
      </c>
      <c r="K750" s="151">
        <v>12</v>
      </c>
    </row>
    <row r="751" spans="1:11" ht="13.5" customHeight="1" x14ac:dyDescent="0.15">
      <c r="A751" s="141"/>
      <c r="B751" s="148">
        <v>748</v>
      </c>
      <c r="C751" s="164"/>
      <c r="D751" s="152"/>
      <c r="E751" s="152" t="s">
        <v>367</v>
      </c>
      <c r="F751" s="152" t="s">
        <v>367</v>
      </c>
      <c r="G751" s="152"/>
      <c r="H751" s="152"/>
      <c r="I751" s="152"/>
      <c r="J751" s="152">
        <v>1899</v>
      </c>
      <c r="K751" s="152">
        <v>12</v>
      </c>
    </row>
    <row r="752" spans="1:11" ht="13.5" customHeight="1" x14ac:dyDescent="0.15">
      <c r="A752" s="141"/>
      <c r="B752" s="148">
        <v>749</v>
      </c>
      <c r="C752" s="163"/>
      <c r="D752" s="151"/>
      <c r="E752" s="151" t="s">
        <v>367</v>
      </c>
      <c r="F752" s="151" t="s">
        <v>367</v>
      </c>
      <c r="G752" s="151"/>
      <c r="H752" s="151"/>
      <c r="I752" s="151"/>
      <c r="J752" s="151">
        <v>1899</v>
      </c>
      <c r="K752" s="151">
        <v>12</v>
      </c>
    </row>
    <row r="753" spans="1:11" ht="13.5" customHeight="1" x14ac:dyDescent="0.15">
      <c r="A753" s="141"/>
      <c r="B753" s="148">
        <v>750</v>
      </c>
      <c r="C753" s="164"/>
      <c r="D753" s="152"/>
      <c r="E753" s="152" t="s">
        <v>367</v>
      </c>
      <c r="F753" s="152" t="s">
        <v>367</v>
      </c>
      <c r="G753" s="152"/>
      <c r="H753" s="152"/>
      <c r="I753" s="152"/>
      <c r="J753" s="152">
        <v>1899</v>
      </c>
      <c r="K753" s="152">
        <v>12</v>
      </c>
    </row>
    <row r="754" spans="1:11" ht="13.5" customHeight="1" x14ac:dyDescent="0.15">
      <c r="A754" s="141"/>
      <c r="B754" s="148">
        <v>751</v>
      </c>
      <c r="C754" s="163"/>
      <c r="D754" s="151"/>
      <c r="E754" s="151" t="s">
        <v>367</v>
      </c>
      <c r="F754" s="151" t="s">
        <v>367</v>
      </c>
      <c r="G754" s="151"/>
      <c r="H754" s="151"/>
      <c r="I754" s="151"/>
      <c r="J754" s="151">
        <v>1899</v>
      </c>
      <c r="K754" s="151">
        <v>12</v>
      </c>
    </row>
    <row r="755" spans="1:11" ht="13.5" customHeight="1" x14ac:dyDescent="0.15">
      <c r="A755" s="141"/>
      <c r="B755" s="148">
        <v>752</v>
      </c>
      <c r="C755" s="164"/>
      <c r="D755" s="152"/>
      <c r="E755" s="152" t="s">
        <v>367</v>
      </c>
      <c r="F755" s="152" t="s">
        <v>367</v>
      </c>
      <c r="G755" s="152"/>
      <c r="H755" s="152"/>
      <c r="I755" s="152"/>
      <c r="J755" s="152">
        <v>1899</v>
      </c>
      <c r="K755" s="152">
        <v>12</v>
      </c>
    </row>
    <row r="756" spans="1:11" ht="13.5" customHeight="1" x14ac:dyDescent="0.15">
      <c r="A756" s="141"/>
      <c r="B756" s="148">
        <v>753</v>
      </c>
      <c r="C756" s="163"/>
      <c r="D756" s="151"/>
      <c r="E756" s="151" t="s">
        <v>367</v>
      </c>
      <c r="F756" s="151" t="s">
        <v>367</v>
      </c>
      <c r="G756" s="151"/>
      <c r="H756" s="151"/>
      <c r="I756" s="151"/>
      <c r="J756" s="151">
        <v>1899</v>
      </c>
      <c r="K756" s="151">
        <v>12</v>
      </c>
    </row>
    <row r="757" spans="1:11" ht="13.5" customHeight="1" x14ac:dyDescent="0.15">
      <c r="A757" s="141"/>
      <c r="B757" s="148">
        <v>754</v>
      </c>
      <c r="C757" s="164"/>
      <c r="D757" s="152"/>
      <c r="E757" s="152" t="s">
        <v>367</v>
      </c>
      <c r="F757" s="152" t="s">
        <v>367</v>
      </c>
      <c r="G757" s="152"/>
      <c r="H757" s="152"/>
      <c r="I757" s="152"/>
      <c r="J757" s="152">
        <v>1899</v>
      </c>
      <c r="K757" s="152">
        <v>12</v>
      </c>
    </row>
    <row r="758" spans="1:11" ht="13.5" customHeight="1" x14ac:dyDescent="0.15">
      <c r="A758" s="141"/>
      <c r="B758" s="148">
        <v>755</v>
      </c>
      <c r="C758" s="163"/>
      <c r="D758" s="151"/>
      <c r="E758" s="151" t="s">
        <v>367</v>
      </c>
      <c r="F758" s="151" t="s">
        <v>367</v>
      </c>
      <c r="G758" s="151"/>
      <c r="H758" s="151"/>
      <c r="I758" s="151"/>
      <c r="J758" s="151">
        <v>1899</v>
      </c>
      <c r="K758" s="151">
        <v>12</v>
      </c>
    </row>
    <row r="759" spans="1:11" ht="13.5" customHeight="1" x14ac:dyDescent="0.15">
      <c r="A759" s="141"/>
      <c r="B759" s="148">
        <v>756</v>
      </c>
      <c r="C759" s="164"/>
      <c r="D759" s="152"/>
      <c r="E759" s="152" t="s">
        <v>367</v>
      </c>
      <c r="F759" s="152" t="s">
        <v>367</v>
      </c>
      <c r="G759" s="152"/>
      <c r="H759" s="152"/>
      <c r="I759" s="152"/>
      <c r="J759" s="152">
        <v>1899</v>
      </c>
      <c r="K759" s="152">
        <v>12</v>
      </c>
    </row>
    <row r="760" spans="1:11" ht="13.5" customHeight="1" x14ac:dyDescent="0.15">
      <c r="A760" s="141"/>
      <c r="B760" s="148">
        <v>757</v>
      </c>
      <c r="C760" s="163"/>
      <c r="D760" s="151"/>
      <c r="E760" s="151" t="s">
        <v>367</v>
      </c>
      <c r="F760" s="151" t="s">
        <v>367</v>
      </c>
      <c r="G760" s="151"/>
      <c r="H760" s="151"/>
      <c r="I760" s="151"/>
      <c r="J760" s="151">
        <v>1899</v>
      </c>
      <c r="K760" s="151">
        <v>12</v>
      </c>
    </row>
    <row r="761" spans="1:11" ht="13.5" customHeight="1" x14ac:dyDescent="0.15">
      <c r="A761" s="141"/>
      <c r="B761" s="148">
        <v>758</v>
      </c>
      <c r="C761" s="164"/>
      <c r="D761" s="152"/>
      <c r="E761" s="152" t="s">
        <v>367</v>
      </c>
      <c r="F761" s="152" t="s">
        <v>367</v>
      </c>
      <c r="G761" s="152"/>
      <c r="H761" s="152"/>
      <c r="I761" s="152"/>
      <c r="J761" s="152">
        <v>1899</v>
      </c>
      <c r="K761" s="152">
        <v>12</v>
      </c>
    </row>
    <row r="762" spans="1:11" ht="13.5" customHeight="1" x14ac:dyDescent="0.15">
      <c r="A762" s="141"/>
      <c r="B762" s="148">
        <v>759</v>
      </c>
      <c r="C762" s="163"/>
      <c r="D762" s="151"/>
      <c r="E762" s="151" t="s">
        <v>367</v>
      </c>
      <c r="F762" s="151" t="s">
        <v>367</v>
      </c>
      <c r="G762" s="151"/>
      <c r="H762" s="151"/>
      <c r="I762" s="151"/>
      <c r="J762" s="151">
        <v>1899</v>
      </c>
      <c r="K762" s="151">
        <v>12</v>
      </c>
    </row>
    <row r="763" spans="1:11" ht="13.5" customHeight="1" x14ac:dyDescent="0.15">
      <c r="A763" s="141"/>
      <c r="B763" s="148">
        <v>760</v>
      </c>
      <c r="C763" s="164"/>
      <c r="D763" s="152"/>
      <c r="E763" s="152" t="s">
        <v>367</v>
      </c>
      <c r="F763" s="152" t="s">
        <v>367</v>
      </c>
      <c r="G763" s="152"/>
      <c r="H763" s="152"/>
      <c r="I763" s="152"/>
      <c r="J763" s="152">
        <v>1899</v>
      </c>
      <c r="K763" s="152">
        <v>12</v>
      </c>
    </row>
    <row r="764" spans="1:11" ht="13.5" customHeight="1" x14ac:dyDescent="0.15">
      <c r="A764" s="141"/>
      <c r="B764" s="148">
        <v>761</v>
      </c>
      <c r="C764" s="163"/>
      <c r="D764" s="151"/>
      <c r="E764" s="151" t="s">
        <v>367</v>
      </c>
      <c r="F764" s="151" t="s">
        <v>367</v>
      </c>
      <c r="G764" s="151"/>
      <c r="H764" s="151"/>
      <c r="I764" s="151"/>
      <c r="J764" s="151">
        <v>1899</v>
      </c>
      <c r="K764" s="151">
        <v>12</v>
      </c>
    </row>
    <row r="765" spans="1:11" ht="13.5" customHeight="1" x14ac:dyDescent="0.15">
      <c r="A765" s="141"/>
      <c r="B765" s="148">
        <v>762</v>
      </c>
      <c r="C765" s="164"/>
      <c r="D765" s="152"/>
      <c r="E765" s="152" t="s">
        <v>367</v>
      </c>
      <c r="F765" s="152" t="s">
        <v>367</v>
      </c>
      <c r="G765" s="152"/>
      <c r="H765" s="152"/>
      <c r="I765" s="152"/>
      <c r="J765" s="152">
        <v>1899</v>
      </c>
      <c r="K765" s="152">
        <v>12</v>
      </c>
    </row>
    <row r="766" spans="1:11" ht="13.5" customHeight="1" x14ac:dyDescent="0.15">
      <c r="A766" s="141"/>
      <c r="B766" s="148">
        <v>763</v>
      </c>
      <c r="C766" s="163"/>
      <c r="D766" s="151"/>
      <c r="E766" s="151" t="s">
        <v>367</v>
      </c>
      <c r="F766" s="151" t="s">
        <v>367</v>
      </c>
      <c r="G766" s="151"/>
      <c r="H766" s="151"/>
      <c r="I766" s="151"/>
      <c r="J766" s="151">
        <v>1899</v>
      </c>
      <c r="K766" s="151">
        <v>12</v>
      </c>
    </row>
    <row r="767" spans="1:11" ht="13.5" customHeight="1" x14ac:dyDescent="0.15">
      <c r="A767" s="141"/>
      <c r="B767" s="148">
        <v>764</v>
      </c>
      <c r="C767" s="164"/>
      <c r="D767" s="152"/>
      <c r="E767" s="152" t="s">
        <v>367</v>
      </c>
      <c r="F767" s="152" t="s">
        <v>367</v>
      </c>
      <c r="G767" s="152"/>
      <c r="H767" s="152"/>
      <c r="I767" s="152"/>
      <c r="J767" s="152">
        <v>1899</v>
      </c>
      <c r="K767" s="152">
        <v>12</v>
      </c>
    </row>
    <row r="768" spans="1:11" ht="13.5" customHeight="1" x14ac:dyDescent="0.15">
      <c r="A768" s="141"/>
      <c r="B768" s="148">
        <v>765</v>
      </c>
      <c r="C768" s="163"/>
      <c r="D768" s="151"/>
      <c r="E768" s="151" t="s">
        <v>367</v>
      </c>
      <c r="F768" s="151" t="s">
        <v>367</v>
      </c>
      <c r="G768" s="151"/>
      <c r="H768" s="151"/>
      <c r="I768" s="151"/>
      <c r="J768" s="151">
        <v>1899</v>
      </c>
      <c r="K768" s="151">
        <v>12</v>
      </c>
    </row>
    <row r="769" spans="1:11" ht="13.5" customHeight="1" x14ac:dyDescent="0.15">
      <c r="A769" s="141"/>
      <c r="B769" s="148">
        <v>766</v>
      </c>
      <c r="C769" s="164"/>
      <c r="D769" s="152"/>
      <c r="E769" s="152" t="s">
        <v>367</v>
      </c>
      <c r="F769" s="152" t="s">
        <v>367</v>
      </c>
      <c r="G769" s="152"/>
      <c r="H769" s="152"/>
      <c r="I769" s="152"/>
      <c r="J769" s="152">
        <v>1899</v>
      </c>
      <c r="K769" s="152">
        <v>12</v>
      </c>
    </row>
    <row r="770" spans="1:11" ht="13.5" customHeight="1" x14ac:dyDescent="0.15">
      <c r="A770" s="141"/>
      <c r="B770" s="148">
        <v>767</v>
      </c>
      <c r="C770" s="163"/>
      <c r="D770" s="151"/>
      <c r="E770" s="151" t="s">
        <v>367</v>
      </c>
      <c r="F770" s="151" t="s">
        <v>367</v>
      </c>
      <c r="G770" s="151"/>
      <c r="H770" s="151"/>
      <c r="I770" s="151"/>
      <c r="J770" s="151">
        <v>1899</v>
      </c>
      <c r="K770" s="151">
        <v>12</v>
      </c>
    </row>
    <row r="771" spans="1:11" ht="13.5" customHeight="1" x14ac:dyDescent="0.15">
      <c r="A771" s="141"/>
      <c r="B771" s="148">
        <v>768</v>
      </c>
      <c r="C771" s="164"/>
      <c r="D771" s="152"/>
      <c r="E771" s="152" t="s">
        <v>367</v>
      </c>
      <c r="F771" s="152" t="s">
        <v>367</v>
      </c>
      <c r="G771" s="152"/>
      <c r="H771" s="152"/>
      <c r="I771" s="152"/>
      <c r="J771" s="152">
        <v>1899</v>
      </c>
      <c r="K771" s="152">
        <v>12</v>
      </c>
    </row>
    <row r="772" spans="1:11" ht="13.5" customHeight="1" x14ac:dyDescent="0.15">
      <c r="A772" s="141"/>
      <c r="B772" s="148">
        <v>769</v>
      </c>
      <c r="C772" s="163"/>
      <c r="D772" s="151"/>
      <c r="E772" s="151" t="s">
        <v>367</v>
      </c>
      <c r="F772" s="151" t="s">
        <v>367</v>
      </c>
      <c r="G772" s="151"/>
      <c r="H772" s="151"/>
      <c r="I772" s="151"/>
      <c r="J772" s="151">
        <v>1899</v>
      </c>
      <c r="K772" s="151">
        <v>12</v>
      </c>
    </row>
    <row r="773" spans="1:11" ht="13.5" customHeight="1" x14ac:dyDescent="0.15">
      <c r="A773" s="141"/>
      <c r="B773" s="148">
        <v>770</v>
      </c>
      <c r="C773" s="164"/>
      <c r="D773" s="152"/>
      <c r="E773" s="152" t="s">
        <v>367</v>
      </c>
      <c r="F773" s="152" t="s">
        <v>367</v>
      </c>
      <c r="G773" s="152"/>
      <c r="H773" s="152"/>
      <c r="I773" s="152"/>
      <c r="J773" s="152">
        <v>1899</v>
      </c>
      <c r="K773" s="152">
        <v>12</v>
      </c>
    </row>
    <row r="774" spans="1:11" ht="13.5" customHeight="1" x14ac:dyDescent="0.15">
      <c r="A774" s="141"/>
      <c r="B774" s="148">
        <v>771</v>
      </c>
      <c r="C774" s="163"/>
      <c r="D774" s="151"/>
      <c r="E774" s="151" t="s">
        <v>367</v>
      </c>
      <c r="F774" s="151" t="s">
        <v>367</v>
      </c>
      <c r="G774" s="151"/>
      <c r="H774" s="151"/>
      <c r="I774" s="151"/>
      <c r="J774" s="151">
        <v>1899</v>
      </c>
      <c r="K774" s="151">
        <v>12</v>
      </c>
    </row>
    <row r="775" spans="1:11" ht="13.5" customHeight="1" x14ac:dyDescent="0.15">
      <c r="A775" s="141"/>
      <c r="B775" s="148">
        <v>772</v>
      </c>
      <c r="C775" s="164"/>
      <c r="D775" s="152"/>
      <c r="E775" s="152" t="s">
        <v>367</v>
      </c>
      <c r="F775" s="152" t="s">
        <v>367</v>
      </c>
      <c r="G775" s="152"/>
      <c r="H775" s="152"/>
      <c r="I775" s="152"/>
      <c r="J775" s="152">
        <v>1899</v>
      </c>
      <c r="K775" s="152">
        <v>12</v>
      </c>
    </row>
    <row r="776" spans="1:11" ht="13.5" customHeight="1" x14ac:dyDescent="0.15">
      <c r="A776" s="141"/>
      <c r="B776" s="148">
        <v>773</v>
      </c>
      <c r="C776" s="163"/>
      <c r="D776" s="151"/>
      <c r="E776" s="151" t="s">
        <v>367</v>
      </c>
      <c r="F776" s="151" t="s">
        <v>367</v>
      </c>
      <c r="G776" s="151"/>
      <c r="H776" s="151"/>
      <c r="I776" s="151"/>
      <c r="J776" s="151">
        <v>1899</v>
      </c>
      <c r="K776" s="151">
        <v>12</v>
      </c>
    </row>
    <row r="777" spans="1:11" ht="13.5" customHeight="1" x14ac:dyDescent="0.15">
      <c r="A777" s="141"/>
      <c r="B777" s="148">
        <v>774</v>
      </c>
      <c r="C777" s="164"/>
      <c r="D777" s="152"/>
      <c r="E777" s="152" t="s">
        <v>367</v>
      </c>
      <c r="F777" s="152" t="s">
        <v>367</v>
      </c>
      <c r="G777" s="152"/>
      <c r="H777" s="152"/>
      <c r="I777" s="152"/>
      <c r="J777" s="152">
        <v>1899</v>
      </c>
      <c r="K777" s="152">
        <v>12</v>
      </c>
    </row>
    <row r="778" spans="1:11" ht="13.5" customHeight="1" x14ac:dyDescent="0.15">
      <c r="A778" s="141"/>
      <c r="B778" s="148">
        <v>775</v>
      </c>
      <c r="C778" s="163"/>
      <c r="D778" s="151"/>
      <c r="E778" s="151" t="s">
        <v>367</v>
      </c>
      <c r="F778" s="151" t="s">
        <v>367</v>
      </c>
      <c r="G778" s="151"/>
      <c r="H778" s="151"/>
      <c r="I778" s="151"/>
      <c r="J778" s="151">
        <v>1899</v>
      </c>
      <c r="K778" s="151">
        <v>12</v>
      </c>
    </row>
    <row r="779" spans="1:11" ht="13.5" customHeight="1" x14ac:dyDescent="0.15">
      <c r="A779" s="141"/>
      <c r="B779" s="148">
        <v>776</v>
      </c>
      <c r="C779" s="164"/>
      <c r="D779" s="152"/>
      <c r="E779" s="152" t="s">
        <v>367</v>
      </c>
      <c r="F779" s="152" t="s">
        <v>367</v>
      </c>
      <c r="G779" s="152"/>
      <c r="H779" s="152"/>
      <c r="I779" s="152"/>
      <c r="J779" s="152">
        <v>1899</v>
      </c>
      <c r="K779" s="152">
        <v>12</v>
      </c>
    </row>
    <row r="780" spans="1:11" ht="13.5" customHeight="1" x14ac:dyDescent="0.15">
      <c r="A780" s="141"/>
      <c r="B780" s="148">
        <v>777</v>
      </c>
      <c r="C780" s="163"/>
      <c r="D780" s="151"/>
      <c r="E780" s="151" t="s">
        <v>367</v>
      </c>
      <c r="F780" s="151" t="s">
        <v>367</v>
      </c>
      <c r="G780" s="151"/>
      <c r="H780" s="151"/>
      <c r="I780" s="151"/>
      <c r="J780" s="151">
        <v>1899</v>
      </c>
      <c r="K780" s="151">
        <v>12</v>
      </c>
    </row>
    <row r="781" spans="1:11" ht="13.5" customHeight="1" x14ac:dyDescent="0.15">
      <c r="A781" s="141"/>
      <c r="B781" s="148">
        <v>778</v>
      </c>
      <c r="C781" s="164"/>
      <c r="D781" s="152"/>
      <c r="E781" s="152" t="s">
        <v>367</v>
      </c>
      <c r="F781" s="152" t="s">
        <v>367</v>
      </c>
      <c r="G781" s="152"/>
      <c r="H781" s="152"/>
      <c r="I781" s="152"/>
      <c r="J781" s="152">
        <v>1899</v>
      </c>
      <c r="K781" s="152">
        <v>12</v>
      </c>
    </row>
    <row r="782" spans="1:11" ht="13.5" customHeight="1" x14ac:dyDescent="0.15">
      <c r="A782" s="141"/>
      <c r="B782" s="148">
        <v>779</v>
      </c>
      <c r="C782" s="163"/>
      <c r="D782" s="151"/>
      <c r="E782" s="151" t="s">
        <v>367</v>
      </c>
      <c r="F782" s="151" t="s">
        <v>367</v>
      </c>
      <c r="G782" s="151"/>
      <c r="H782" s="151"/>
      <c r="I782" s="151"/>
      <c r="J782" s="151">
        <v>1899</v>
      </c>
      <c r="K782" s="151">
        <v>12</v>
      </c>
    </row>
    <row r="783" spans="1:11" ht="13.5" customHeight="1" x14ac:dyDescent="0.15">
      <c r="A783" s="141"/>
      <c r="B783" s="148">
        <v>780</v>
      </c>
      <c r="C783" s="164"/>
      <c r="D783" s="152"/>
      <c r="E783" s="152" t="s">
        <v>367</v>
      </c>
      <c r="F783" s="152" t="s">
        <v>367</v>
      </c>
      <c r="G783" s="152"/>
      <c r="H783" s="152"/>
      <c r="I783" s="152"/>
      <c r="J783" s="152">
        <v>1899</v>
      </c>
      <c r="K783" s="152">
        <v>12</v>
      </c>
    </row>
    <row r="784" spans="1:11" ht="13.5" customHeight="1" x14ac:dyDescent="0.15">
      <c r="A784" s="141"/>
      <c r="B784" s="148">
        <v>781</v>
      </c>
      <c r="C784" s="163"/>
      <c r="D784" s="151"/>
      <c r="E784" s="151" t="s">
        <v>367</v>
      </c>
      <c r="F784" s="151" t="s">
        <v>367</v>
      </c>
      <c r="G784" s="151"/>
      <c r="H784" s="151"/>
      <c r="I784" s="151"/>
      <c r="J784" s="151">
        <v>1899</v>
      </c>
      <c r="K784" s="151">
        <v>12</v>
      </c>
    </row>
    <row r="785" spans="1:11" ht="13.5" customHeight="1" x14ac:dyDescent="0.15">
      <c r="A785" s="141"/>
      <c r="B785" s="148">
        <v>782</v>
      </c>
      <c r="C785" s="164"/>
      <c r="D785" s="152"/>
      <c r="E785" s="152" t="s">
        <v>367</v>
      </c>
      <c r="F785" s="152" t="s">
        <v>367</v>
      </c>
      <c r="G785" s="152"/>
      <c r="H785" s="152"/>
      <c r="I785" s="152"/>
      <c r="J785" s="152">
        <v>1899</v>
      </c>
      <c r="K785" s="152">
        <v>12</v>
      </c>
    </row>
    <row r="786" spans="1:11" ht="13.5" customHeight="1" x14ac:dyDescent="0.15">
      <c r="A786" s="141"/>
      <c r="B786" s="148">
        <v>783</v>
      </c>
      <c r="C786" s="163"/>
      <c r="D786" s="151"/>
      <c r="E786" s="151" t="s">
        <v>367</v>
      </c>
      <c r="F786" s="151" t="s">
        <v>367</v>
      </c>
      <c r="G786" s="151"/>
      <c r="H786" s="151"/>
      <c r="I786" s="151"/>
      <c r="J786" s="151">
        <v>1899</v>
      </c>
      <c r="K786" s="151">
        <v>12</v>
      </c>
    </row>
    <row r="787" spans="1:11" ht="13.5" customHeight="1" x14ac:dyDescent="0.15">
      <c r="A787" s="141"/>
      <c r="B787" s="148">
        <v>784</v>
      </c>
      <c r="C787" s="164"/>
      <c r="D787" s="152"/>
      <c r="E787" s="152" t="s">
        <v>367</v>
      </c>
      <c r="F787" s="152" t="s">
        <v>367</v>
      </c>
      <c r="G787" s="152"/>
      <c r="H787" s="152"/>
      <c r="I787" s="152"/>
      <c r="J787" s="152">
        <v>1899</v>
      </c>
      <c r="K787" s="152">
        <v>12</v>
      </c>
    </row>
    <row r="788" spans="1:11" ht="13.5" customHeight="1" x14ac:dyDescent="0.15">
      <c r="A788" s="141"/>
      <c r="B788" s="148">
        <v>785</v>
      </c>
      <c r="C788" s="163"/>
      <c r="D788" s="151"/>
      <c r="E788" s="151" t="s">
        <v>367</v>
      </c>
      <c r="F788" s="151" t="s">
        <v>367</v>
      </c>
      <c r="G788" s="151"/>
      <c r="H788" s="151"/>
      <c r="I788" s="151"/>
      <c r="J788" s="151">
        <v>1899</v>
      </c>
      <c r="K788" s="151">
        <v>12</v>
      </c>
    </row>
    <row r="789" spans="1:11" ht="13.5" customHeight="1" x14ac:dyDescent="0.15">
      <c r="A789" s="141"/>
      <c r="B789" s="148">
        <v>786</v>
      </c>
      <c r="C789" s="164"/>
      <c r="D789" s="152"/>
      <c r="E789" s="152" t="s">
        <v>367</v>
      </c>
      <c r="F789" s="152" t="s">
        <v>367</v>
      </c>
      <c r="G789" s="152"/>
      <c r="H789" s="152"/>
      <c r="I789" s="152"/>
      <c r="J789" s="152">
        <v>1899</v>
      </c>
      <c r="K789" s="152">
        <v>12</v>
      </c>
    </row>
    <row r="790" spans="1:11" ht="13.5" customHeight="1" x14ac:dyDescent="0.15">
      <c r="A790" s="141"/>
      <c r="B790" s="148">
        <v>787</v>
      </c>
      <c r="C790" s="163"/>
      <c r="D790" s="151"/>
      <c r="E790" s="151" t="s">
        <v>367</v>
      </c>
      <c r="F790" s="151" t="s">
        <v>367</v>
      </c>
      <c r="G790" s="151"/>
      <c r="H790" s="151"/>
      <c r="I790" s="151"/>
      <c r="J790" s="151">
        <v>1899</v>
      </c>
      <c r="K790" s="151">
        <v>12</v>
      </c>
    </row>
    <row r="791" spans="1:11" ht="13.5" customHeight="1" x14ac:dyDescent="0.15">
      <c r="A791" s="141"/>
      <c r="B791" s="148">
        <v>788</v>
      </c>
      <c r="C791" s="164"/>
      <c r="D791" s="152"/>
      <c r="E791" s="152" t="s">
        <v>367</v>
      </c>
      <c r="F791" s="152" t="s">
        <v>367</v>
      </c>
      <c r="G791" s="152"/>
      <c r="H791" s="152"/>
      <c r="I791" s="152"/>
      <c r="J791" s="152">
        <v>1899</v>
      </c>
      <c r="K791" s="152">
        <v>12</v>
      </c>
    </row>
    <row r="792" spans="1:11" ht="13.5" customHeight="1" x14ac:dyDescent="0.15">
      <c r="A792" s="141"/>
      <c r="B792" s="148">
        <v>789</v>
      </c>
      <c r="C792" s="163"/>
      <c r="D792" s="151"/>
      <c r="E792" s="151" t="s">
        <v>367</v>
      </c>
      <c r="F792" s="151" t="s">
        <v>367</v>
      </c>
      <c r="G792" s="151"/>
      <c r="H792" s="151"/>
      <c r="I792" s="151"/>
      <c r="J792" s="151">
        <v>1899</v>
      </c>
      <c r="K792" s="151">
        <v>12</v>
      </c>
    </row>
    <row r="793" spans="1:11" ht="13.5" customHeight="1" x14ac:dyDescent="0.15">
      <c r="A793" s="141"/>
      <c r="B793" s="148">
        <v>790</v>
      </c>
      <c r="C793" s="164"/>
      <c r="D793" s="152"/>
      <c r="E793" s="152" t="s">
        <v>367</v>
      </c>
      <c r="F793" s="152" t="s">
        <v>367</v>
      </c>
      <c r="G793" s="152"/>
      <c r="H793" s="152"/>
      <c r="I793" s="152"/>
      <c r="J793" s="152">
        <v>1899</v>
      </c>
      <c r="K793" s="152">
        <v>12</v>
      </c>
    </row>
    <row r="794" spans="1:11" ht="13.5" customHeight="1" x14ac:dyDescent="0.15">
      <c r="A794" s="141"/>
      <c r="B794" s="148">
        <v>791</v>
      </c>
      <c r="C794" s="163"/>
      <c r="D794" s="151"/>
      <c r="E794" s="151" t="s">
        <v>367</v>
      </c>
      <c r="F794" s="151" t="s">
        <v>367</v>
      </c>
      <c r="G794" s="151"/>
      <c r="H794" s="151"/>
      <c r="I794" s="151"/>
      <c r="J794" s="151">
        <v>1899</v>
      </c>
      <c r="K794" s="151">
        <v>12</v>
      </c>
    </row>
    <row r="795" spans="1:11" ht="13.5" customHeight="1" x14ac:dyDescent="0.15">
      <c r="A795" s="141"/>
      <c r="B795" s="148">
        <v>792</v>
      </c>
      <c r="C795" s="164"/>
      <c r="D795" s="152"/>
      <c r="E795" s="152" t="s">
        <v>367</v>
      </c>
      <c r="F795" s="152" t="s">
        <v>367</v>
      </c>
      <c r="G795" s="152"/>
      <c r="H795" s="152"/>
      <c r="I795" s="152"/>
      <c r="J795" s="152">
        <v>1899</v>
      </c>
      <c r="K795" s="152">
        <v>12</v>
      </c>
    </row>
    <row r="796" spans="1:11" ht="13.5" customHeight="1" x14ac:dyDescent="0.15">
      <c r="A796" s="141"/>
      <c r="B796" s="148">
        <v>793</v>
      </c>
      <c r="C796" s="163"/>
      <c r="D796" s="151"/>
      <c r="E796" s="151" t="s">
        <v>367</v>
      </c>
      <c r="F796" s="151" t="s">
        <v>367</v>
      </c>
      <c r="G796" s="151"/>
      <c r="H796" s="151"/>
      <c r="I796" s="151"/>
      <c r="J796" s="151">
        <v>1899</v>
      </c>
      <c r="K796" s="151">
        <v>12</v>
      </c>
    </row>
    <row r="797" spans="1:11" ht="13.5" customHeight="1" x14ac:dyDescent="0.15">
      <c r="A797" s="141"/>
      <c r="B797" s="148">
        <v>794</v>
      </c>
      <c r="C797" s="164"/>
      <c r="D797" s="152"/>
      <c r="E797" s="152" t="s">
        <v>367</v>
      </c>
      <c r="F797" s="152" t="s">
        <v>367</v>
      </c>
      <c r="G797" s="152"/>
      <c r="H797" s="152"/>
      <c r="I797" s="152"/>
      <c r="J797" s="152">
        <v>1899</v>
      </c>
      <c r="K797" s="152">
        <v>12</v>
      </c>
    </row>
    <row r="798" spans="1:11" ht="13.5" customHeight="1" x14ac:dyDescent="0.15">
      <c r="A798" s="141"/>
      <c r="B798" s="148">
        <v>795</v>
      </c>
      <c r="C798" s="163"/>
      <c r="D798" s="151"/>
      <c r="E798" s="151" t="s">
        <v>367</v>
      </c>
      <c r="F798" s="151" t="s">
        <v>367</v>
      </c>
      <c r="G798" s="151"/>
      <c r="H798" s="151"/>
      <c r="I798" s="151"/>
      <c r="J798" s="151">
        <v>1899</v>
      </c>
      <c r="K798" s="151">
        <v>12</v>
      </c>
    </row>
    <row r="799" spans="1:11" ht="13.5" customHeight="1" x14ac:dyDescent="0.15">
      <c r="A799" s="141"/>
      <c r="B799" s="148">
        <v>796</v>
      </c>
      <c r="C799" s="164"/>
      <c r="D799" s="152"/>
      <c r="E799" s="152" t="s">
        <v>367</v>
      </c>
      <c r="F799" s="152" t="s">
        <v>367</v>
      </c>
      <c r="G799" s="152"/>
      <c r="H799" s="152"/>
      <c r="I799" s="152"/>
      <c r="J799" s="152">
        <v>1899</v>
      </c>
      <c r="K799" s="152">
        <v>12</v>
      </c>
    </row>
    <row r="800" spans="1:11" ht="13.5" customHeight="1" x14ac:dyDescent="0.15">
      <c r="A800" s="141"/>
      <c r="B800" s="148">
        <v>797</v>
      </c>
      <c r="C800" s="163"/>
      <c r="D800" s="151"/>
      <c r="E800" s="151" t="s">
        <v>367</v>
      </c>
      <c r="F800" s="151" t="s">
        <v>367</v>
      </c>
      <c r="G800" s="151"/>
      <c r="H800" s="151"/>
      <c r="I800" s="151"/>
      <c r="J800" s="151">
        <v>1899</v>
      </c>
      <c r="K800" s="151">
        <v>12</v>
      </c>
    </row>
    <row r="801" spans="1:11" ht="13.5" customHeight="1" x14ac:dyDescent="0.15">
      <c r="A801" s="141"/>
      <c r="B801" s="148">
        <v>798</v>
      </c>
      <c r="C801" s="164"/>
      <c r="D801" s="152"/>
      <c r="E801" s="152" t="s">
        <v>367</v>
      </c>
      <c r="F801" s="152" t="s">
        <v>367</v>
      </c>
      <c r="G801" s="152"/>
      <c r="H801" s="152"/>
      <c r="I801" s="152"/>
      <c r="J801" s="152">
        <v>1899</v>
      </c>
      <c r="K801" s="152">
        <v>12</v>
      </c>
    </row>
    <row r="802" spans="1:11" ht="13.5" customHeight="1" x14ac:dyDescent="0.15">
      <c r="A802" s="141"/>
      <c r="B802" s="148">
        <v>799</v>
      </c>
      <c r="C802" s="163"/>
      <c r="D802" s="151"/>
      <c r="E802" s="151" t="s">
        <v>367</v>
      </c>
      <c r="F802" s="151" t="s">
        <v>367</v>
      </c>
      <c r="G802" s="151"/>
      <c r="H802" s="151"/>
      <c r="I802" s="151"/>
      <c r="J802" s="151">
        <v>1899</v>
      </c>
      <c r="K802" s="151">
        <v>12</v>
      </c>
    </row>
    <row r="803" spans="1:11" ht="13.5" customHeight="1" x14ac:dyDescent="0.15">
      <c r="A803" s="141"/>
      <c r="B803" s="148">
        <v>800</v>
      </c>
      <c r="C803" s="164"/>
      <c r="D803" s="152"/>
      <c r="E803" s="152" t="s">
        <v>367</v>
      </c>
      <c r="F803" s="152" t="s">
        <v>367</v>
      </c>
      <c r="G803" s="152"/>
      <c r="H803" s="152"/>
      <c r="I803" s="152"/>
      <c r="J803" s="152">
        <v>1899</v>
      </c>
      <c r="K803" s="152">
        <v>12</v>
      </c>
    </row>
    <row r="804" spans="1:11" ht="13.5" customHeight="1" x14ac:dyDescent="0.15">
      <c r="A804" s="141"/>
      <c r="B804" s="148">
        <v>801</v>
      </c>
      <c r="C804" s="163"/>
      <c r="D804" s="151"/>
      <c r="E804" s="151" t="s">
        <v>367</v>
      </c>
      <c r="F804" s="151" t="s">
        <v>367</v>
      </c>
      <c r="G804" s="151"/>
      <c r="H804" s="151"/>
      <c r="I804" s="151"/>
      <c r="J804" s="151">
        <v>1899</v>
      </c>
      <c r="K804" s="151">
        <v>12</v>
      </c>
    </row>
    <row r="805" spans="1:11" ht="13.5" customHeight="1" x14ac:dyDescent="0.15">
      <c r="A805" s="141"/>
      <c r="B805" s="148">
        <v>802</v>
      </c>
      <c r="C805" s="164"/>
      <c r="D805" s="152"/>
      <c r="E805" s="152" t="s">
        <v>367</v>
      </c>
      <c r="F805" s="152" t="s">
        <v>367</v>
      </c>
      <c r="G805" s="152"/>
      <c r="H805" s="152"/>
      <c r="I805" s="152"/>
      <c r="J805" s="152">
        <v>1899</v>
      </c>
      <c r="K805" s="152">
        <v>12</v>
      </c>
    </row>
    <row r="806" spans="1:11" ht="13.5" customHeight="1" x14ac:dyDescent="0.15">
      <c r="A806" s="141"/>
      <c r="B806" s="148">
        <v>803</v>
      </c>
      <c r="C806" s="163"/>
      <c r="D806" s="151"/>
      <c r="E806" s="151" t="s">
        <v>367</v>
      </c>
      <c r="F806" s="151" t="s">
        <v>367</v>
      </c>
      <c r="G806" s="151"/>
      <c r="H806" s="151"/>
      <c r="I806" s="151"/>
      <c r="J806" s="151">
        <v>1899</v>
      </c>
      <c r="K806" s="151">
        <v>12</v>
      </c>
    </row>
    <row r="807" spans="1:11" ht="13.5" customHeight="1" x14ac:dyDescent="0.15">
      <c r="A807" s="141"/>
      <c r="B807" s="148">
        <v>804</v>
      </c>
      <c r="C807" s="164"/>
      <c r="D807" s="152"/>
      <c r="E807" s="152" t="s">
        <v>367</v>
      </c>
      <c r="F807" s="152" t="s">
        <v>367</v>
      </c>
      <c r="G807" s="152"/>
      <c r="H807" s="152"/>
      <c r="I807" s="152"/>
      <c r="J807" s="152">
        <v>1899</v>
      </c>
      <c r="K807" s="152">
        <v>12</v>
      </c>
    </row>
    <row r="808" spans="1:11" ht="13.5" customHeight="1" x14ac:dyDescent="0.15">
      <c r="A808" s="141"/>
      <c r="B808" s="148">
        <v>805</v>
      </c>
      <c r="C808" s="163"/>
      <c r="D808" s="151"/>
      <c r="E808" s="151" t="s">
        <v>367</v>
      </c>
      <c r="F808" s="151" t="s">
        <v>367</v>
      </c>
      <c r="G808" s="151"/>
      <c r="H808" s="151"/>
      <c r="I808" s="151"/>
      <c r="J808" s="151">
        <v>1899</v>
      </c>
      <c r="K808" s="151">
        <v>12</v>
      </c>
    </row>
    <row r="809" spans="1:11" ht="13.5" customHeight="1" x14ac:dyDescent="0.15">
      <c r="A809" s="141"/>
      <c r="B809" s="148">
        <v>806</v>
      </c>
      <c r="C809" s="164"/>
      <c r="D809" s="152"/>
      <c r="E809" s="152" t="s">
        <v>367</v>
      </c>
      <c r="F809" s="152" t="s">
        <v>367</v>
      </c>
      <c r="G809" s="152"/>
      <c r="H809" s="152"/>
      <c r="I809" s="152"/>
      <c r="J809" s="152">
        <v>1899</v>
      </c>
      <c r="K809" s="152">
        <v>12</v>
      </c>
    </row>
    <row r="810" spans="1:11" ht="13.5" customHeight="1" x14ac:dyDescent="0.15">
      <c r="A810" s="141"/>
      <c r="B810" s="148">
        <v>807</v>
      </c>
      <c r="C810" s="163"/>
      <c r="D810" s="151"/>
      <c r="E810" s="151" t="s">
        <v>367</v>
      </c>
      <c r="F810" s="151" t="s">
        <v>367</v>
      </c>
      <c r="G810" s="151"/>
      <c r="H810" s="151"/>
      <c r="I810" s="151"/>
      <c r="J810" s="151">
        <v>1899</v>
      </c>
      <c r="K810" s="151">
        <v>12</v>
      </c>
    </row>
    <row r="811" spans="1:11" ht="13.5" customHeight="1" x14ac:dyDescent="0.15">
      <c r="A811" s="141"/>
      <c r="B811" s="148">
        <v>808</v>
      </c>
      <c r="C811" s="164"/>
      <c r="D811" s="152"/>
      <c r="E811" s="152" t="s">
        <v>367</v>
      </c>
      <c r="F811" s="152" t="s">
        <v>367</v>
      </c>
      <c r="G811" s="152"/>
      <c r="H811" s="152"/>
      <c r="I811" s="152"/>
      <c r="J811" s="152">
        <v>1899</v>
      </c>
      <c r="K811" s="152">
        <v>12</v>
      </c>
    </row>
    <row r="812" spans="1:11" ht="13.5" customHeight="1" x14ac:dyDescent="0.15">
      <c r="A812" s="141"/>
      <c r="B812" s="148">
        <v>809</v>
      </c>
      <c r="C812" s="163"/>
      <c r="D812" s="151"/>
      <c r="E812" s="151" t="s">
        <v>367</v>
      </c>
      <c r="F812" s="151" t="s">
        <v>367</v>
      </c>
      <c r="G812" s="151"/>
      <c r="H812" s="151"/>
      <c r="I812" s="151"/>
      <c r="J812" s="151">
        <v>1899</v>
      </c>
      <c r="K812" s="151">
        <v>12</v>
      </c>
    </row>
    <row r="813" spans="1:11" ht="13.5" customHeight="1" x14ac:dyDescent="0.15">
      <c r="A813" s="141"/>
      <c r="B813" s="148">
        <v>810</v>
      </c>
      <c r="C813" s="164"/>
      <c r="D813" s="152"/>
      <c r="E813" s="152" t="s">
        <v>367</v>
      </c>
      <c r="F813" s="152" t="s">
        <v>367</v>
      </c>
      <c r="G813" s="152"/>
      <c r="H813" s="152"/>
      <c r="I813" s="152"/>
      <c r="J813" s="152">
        <v>1899</v>
      </c>
      <c r="K813" s="152">
        <v>12</v>
      </c>
    </row>
    <row r="814" spans="1:11" ht="13.5" customHeight="1" x14ac:dyDescent="0.15">
      <c r="A814" s="141"/>
      <c r="B814" s="148">
        <v>811</v>
      </c>
      <c r="C814" s="163"/>
      <c r="D814" s="151"/>
      <c r="E814" s="151" t="s">
        <v>367</v>
      </c>
      <c r="F814" s="151" t="s">
        <v>367</v>
      </c>
      <c r="G814" s="151"/>
      <c r="H814" s="151"/>
      <c r="I814" s="151"/>
      <c r="J814" s="151">
        <v>1899</v>
      </c>
      <c r="K814" s="151">
        <v>12</v>
      </c>
    </row>
    <row r="815" spans="1:11" ht="13.5" customHeight="1" x14ac:dyDescent="0.15">
      <c r="A815" s="141"/>
      <c r="B815" s="148">
        <v>812</v>
      </c>
      <c r="C815" s="164"/>
      <c r="D815" s="152"/>
      <c r="E815" s="152" t="s">
        <v>367</v>
      </c>
      <c r="F815" s="152" t="s">
        <v>367</v>
      </c>
      <c r="G815" s="152"/>
      <c r="H815" s="152"/>
      <c r="I815" s="152"/>
      <c r="J815" s="152">
        <v>1899</v>
      </c>
      <c r="K815" s="152">
        <v>12</v>
      </c>
    </row>
    <row r="816" spans="1:11" ht="13.5" customHeight="1" x14ac:dyDescent="0.15">
      <c r="A816" s="141"/>
      <c r="B816" s="148">
        <v>813</v>
      </c>
      <c r="C816" s="163"/>
      <c r="D816" s="151"/>
      <c r="E816" s="151" t="s">
        <v>367</v>
      </c>
      <c r="F816" s="151" t="s">
        <v>367</v>
      </c>
      <c r="G816" s="151"/>
      <c r="H816" s="151"/>
      <c r="I816" s="151"/>
      <c r="J816" s="151">
        <v>1899</v>
      </c>
      <c r="K816" s="151">
        <v>12</v>
      </c>
    </row>
    <row r="817" spans="1:11" ht="13.5" customHeight="1" x14ac:dyDescent="0.15">
      <c r="A817" s="141"/>
      <c r="B817" s="148">
        <v>814</v>
      </c>
      <c r="C817" s="164"/>
      <c r="D817" s="152"/>
      <c r="E817" s="152" t="s">
        <v>367</v>
      </c>
      <c r="F817" s="152" t="s">
        <v>367</v>
      </c>
      <c r="G817" s="152"/>
      <c r="H817" s="152"/>
      <c r="I817" s="152"/>
      <c r="J817" s="152">
        <v>1899</v>
      </c>
      <c r="K817" s="152">
        <v>12</v>
      </c>
    </row>
    <row r="818" spans="1:11" ht="13.5" customHeight="1" x14ac:dyDescent="0.15">
      <c r="A818" s="141"/>
      <c r="B818" s="148">
        <v>815</v>
      </c>
      <c r="C818" s="163"/>
      <c r="D818" s="151"/>
      <c r="E818" s="151" t="s">
        <v>367</v>
      </c>
      <c r="F818" s="151" t="s">
        <v>367</v>
      </c>
      <c r="G818" s="151"/>
      <c r="H818" s="151"/>
      <c r="I818" s="151"/>
      <c r="J818" s="151">
        <v>1899</v>
      </c>
      <c r="K818" s="151">
        <v>12</v>
      </c>
    </row>
    <row r="819" spans="1:11" ht="13.5" customHeight="1" x14ac:dyDescent="0.15">
      <c r="A819" s="141"/>
      <c r="B819" s="148">
        <v>816</v>
      </c>
      <c r="C819" s="164"/>
      <c r="D819" s="152"/>
      <c r="E819" s="152" t="s">
        <v>367</v>
      </c>
      <c r="F819" s="152" t="s">
        <v>367</v>
      </c>
      <c r="G819" s="152"/>
      <c r="H819" s="152"/>
      <c r="I819" s="152"/>
      <c r="J819" s="152">
        <v>1899</v>
      </c>
      <c r="K819" s="152">
        <v>12</v>
      </c>
    </row>
    <row r="820" spans="1:11" ht="13.5" customHeight="1" x14ac:dyDescent="0.15">
      <c r="A820" s="141"/>
      <c r="B820" s="148">
        <v>817</v>
      </c>
      <c r="C820" s="163"/>
      <c r="D820" s="151"/>
      <c r="E820" s="151" t="s">
        <v>367</v>
      </c>
      <c r="F820" s="151" t="s">
        <v>367</v>
      </c>
      <c r="G820" s="151"/>
      <c r="H820" s="151"/>
      <c r="I820" s="151"/>
      <c r="J820" s="151">
        <v>1899</v>
      </c>
      <c r="K820" s="151">
        <v>12</v>
      </c>
    </row>
    <row r="821" spans="1:11" ht="13.5" customHeight="1" x14ac:dyDescent="0.15">
      <c r="A821" s="141"/>
      <c r="B821" s="148">
        <v>818</v>
      </c>
      <c r="C821" s="164"/>
      <c r="D821" s="152"/>
      <c r="E821" s="152" t="s">
        <v>367</v>
      </c>
      <c r="F821" s="152" t="s">
        <v>367</v>
      </c>
      <c r="G821" s="152"/>
      <c r="H821" s="152"/>
      <c r="I821" s="152"/>
      <c r="J821" s="152">
        <v>1899</v>
      </c>
      <c r="K821" s="152">
        <v>12</v>
      </c>
    </row>
    <row r="822" spans="1:11" ht="13.5" customHeight="1" x14ac:dyDescent="0.15">
      <c r="A822" s="141"/>
      <c r="B822" s="148">
        <v>819</v>
      </c>
      <c r="C822" s="163"/>
      <c r="D822" s="151"/>
      <c r="E822" s="151" t="s">
        <v>367</v>
      </c>
      <c r="F822" s="151" t="s">
        <v>367</v>
      </c>
      <c r="G822" s="151"/>
      <c r="H822" s="151"/>
      <c r="I822" s="151"/>
      <c r="J822" s="151">
        <v>1899</v>
      </c>
      <c r="K822" s="151">
        <v>12</v>
      </c>
    </row>
    <row r="823" spans="1:11" ht="13.5" customHeight="1" x14ac:dyDescent="0.15">
      <c r="A823" s="141"/>
      <c r="B823" s="148">
        <v>820</v>
      </c>
      <c r="C823" s="164"/>
      <c r="D823" s="152"/>
      <c r="E823" s="152" t="s">
        <v>367</v>
      </c>
      <c r="F823" s="152" t="s">
        <v>367</v>
      </c>
      <c r="G823" s="152"/>
      <c r="H823" s="152"/>
      <c r="I823" s="152"/>
      <c r="J823" s="152">
        <v>1899</v>
      </c>
      <c r="K823" s="152">
        <v>12</v>
      </c>
    </row>
    <row r="824" spans="1:11" ht="13.5" customHeight="1" x14ac:dyDescent="0.15">
      <c r="A824" s="141"/>
      <c r="B824" s="148">
        <v>821</v>
      </c>
      <c r="C824" s="163"/>
      <c r="D824" s="151"/>
      <c r="E824" s="151" t="s">
        <v>367</v>
      </c>
      <c r="F824" s="151" t="s">
        <v>367</v>
      </c>
      <c r="G824" s="151"/>
      <c r="H824" s="151"/>
      <c r="I824" s="151"/>
      <c r="J824" s="151">
        <v>1899</v>
      </c>
      <c r="K824" s="151">
        <v>12</v>
      </c>
    </row>
    <row r="825" spans="1:11" ht="13.5" customHeight="1" x14ac:dyDescent="0.15">
      <c r="A825" s="141"/>
      <c r="B825" s="148">
        <v>822</v>
      </c>
      <c r="C825" s="164"/>
      <c r="D825" s="152"/>
      <c r="E825" s="152" t="s">
        <v>367</v>
      </c>
      <c r="F825" s="152" t="s">
        <v>367</v>
      </c>
      <c r="G825" s="152"/>
      <c r="H825" s="152"/>
      <c r="I825" s="152"/>
      <c r="J825" s="152">
        <v>1899</v>
      </c>
      <c r="K825" s="152">
        <v>12</v>
      </c>
    </row>
    <row r="826" spans="1:11" ht="13.5" customHeight="1" x14ac:dyDescent="0.15">
      <c r="A826" s="141"/>
      <c r="B826" s="148">
        <v>823</v>
      </c>
      <c r="C826" s="163"/>
      <c r="D826" s="151"/>
      <c r="E826" s="151" t="s">
        <v>367</v>
      </c>
      <c r="F826" s="151" t="s">
        <v>367</v>
      </c>
      <c r="G826" s="151"/>
      <c r="H826" s="151"/>
      <c r="I826" s="151"/>
      <c r="J826" s="151">
        <v>1899</v>
      </c>
      <c r="K826" s="151">
        <v>12</v>
      </c>
    </row>
    <row r="827" spans="1:11" ht="13.5" customHeight="1" x14ac:dyDescent="0.15">
      <c r="A827" s="141"/>
      <c r="B827" s="148">
        <v>824</v>
      </c>
      <c r="C827" s="164"/>
      <c r="D827" s="152"/>
      <c r="E827" s="152" t="s">
        <v>367</v>
      </c>
      <c r="F827" s="152" t="s">
        <v>367</v>
      </c>
      <c r="G827" s="152"/>
      <c r="H827" s="152"/>
      <c r="I827" s="152"/>
      <c r="J827" s="152">
        <v>1899</v>
      </c>
      <c r="K827" s="152">
        <v>12</v>
      </c>
    </row>
    <row r="828" spans="1:11" ht="13.5" customHeight="1" x14ac:dyDescent="0.15">
      <c r="A828" s="141"/>
      <c r="B828" s="148">
        <v>825</v>
      </c>
      <c r="C828" s="163"/>
      <c r="D828" s="151"/>
      <c r="E828" s="151" t="s">
        <v>367</v>
      </c>
      <c r="F828" s="151" t="s">
        <v>367</v>
      </c>
      <c r="G828" s="151"/>
      <c r="H828" s="151"/>
      <c r="I828" s="151"/>
      <c r="J828" s="151">
        <v>1899</v>
      </c>
      <c r="K828" s="151">
        <v>12</v>
      </c>
    </row>
    <row r="829" spans="1:11" ht="13.5" customHeight="1" x14ac:dyDescent="0.15">
      <c r="A829" s="141"/>
      <c r="B829" s="148">
        <v>826</v>
      </c>
      <c r="C829" s="164"/>
      <c r="D829" s="152"/>
      <c r="E829" s="152" t="s">
        <v>367</v>
      </c>
      <c r="F829" s="152" t="s">
        <v>367</v>
      </c>
      <c r="G829" s="152"/>
      <c r="H829" s="152"/>
      <c r="I829" s="152"/>
      <c r="J829" s="152">
        <v>1899</v>
      </c>
      <c r="K829" s="152">
        <v>12</v>
      </c>
    </row>
    <row r="830" spans="1:11" ht="13.5" customHeight="1" x14ac:dyDescent="0.15">
      <c r="A830" s="141"/>
      <c r="B830" s="148">
        <v>827</v>
      </c>
      <c r="C830" s="163"/>
      <c r="D830" s="151"/>
      <c r="E830" s="151" t="s">
        <v>367</v>
      </c>
      <c r="F830" s="151" t="s">
        <v>367</v>
      </c>
      <c r="G830" s="151"/>
      <c r="H830" s="151"/>
      <c r="I830" s="151"/>
      <c r="J830" s="151">
        <v>1899</v>
      </c>
      <c r="K830" s="151">
        <v>12</v>
      </c>
    </row>
    <row r="831" spans="1:11" ht="13.5" customHeight="1" x14ac:dyDescent="0.15">
      <c r="A831" s="141"/>
      <c r="B831" s="148">
        <v>828</v>
      </c>
      <c r="C831" s="164"/>
      <c r="D831" s="152"/>
      <c r="E831" s="152" t="s">
        <v>367</v>
      </c>
      <c r="F831" s="152" t="s">
        <v>367</v>
      </c>
      <c r="G831" s="152"/>
      <c r="H831" s="152"/>
      <c r="I831" s="152"/>
      <c r="J831" s="152">
        <v>1899</v>
      </c>
      <c r="K831" s="152">
        <v>12</v>
      </c>
    </row>
    <row r="832" spans="1:11" ht="13.5" customHeight="1" x14ac:dyDescent="0.15">
      <c r="A832" s="141"/>
      <c r="B832" s="148">
        <v>829</v>
      </c>
      <c r="C832" s="163"/>
      <c r="D832" s="151"/>
      <c r="E832" s="151" t="s">
        <v>367</v>
      </c>
      <c r="F832" s="151" t="s">
        <v>367</v>
      </c>
      <c r="G832" s="151"/>
      <c r="H832" s="151"/>
      <c r="I832" s="151"/>
      <c r="J832" s="151">
        <v>1899</v>
      </c>
      <c r="K832" s="151">
        <v>12</v>
      </c>
    </row>
    <row r="833" spans="1:11" ht="13.5" customHeight="1" x14ac:dyDescent="0.15">
      <c r="A833" s="141"/>
      <c r="B833" s="148">
        <v>830</v>
      </c>
      <c r="C833" s="164"/>
      <c r="D833" s="152"/>
      <c r="E833" s="152" t="s">
        <v>367</v>
      </c>
      <c r="F833" s="152" t="s">
        <v>367</v>
      </c>
      <c r="G833" s="152"/>
      <c r="H833" s="152"/>
      <c r="I833" s="152"/>
      <c r="J833" s="152">
        <v>1899</v>
      </c>
      <c r="K833" s="152">
        <v>12</v>
      </c>
    </row>
    <row r="834" spans="1:11" ht="13.5" customHeight="1" x14ac:dyDescent="0.15">
      <c r="A834" s="141"/>
      <c r="B834" s="148">
        <v>831</v>
      </c>
      <c r="C834" s="163"/>
      <c r="D834" s="151"/>
      <c r="E834" s="151" t="s">
        <v>367</v>
      </c>
      <c r="F834" s="151" t="s">
        <v>367</v>
      </c>
      <c r="G834" s="151"/>
      <c r="H834" s="151"/>
      <c r="I834" s="151"/>
      <c r="J834" s="151">
        <v>1899</v>
      </c>
      <c r="K834" s="151">
        <v>12</v>
      </c>
    </row>
    <row r="835" spans="1:11" ht="13.5" customHeight="1" x14ac:dyDescent="0.15">
      <c r="A835" s="141"/>
      <c r="B835" s="148">
        <v>832</v>
      </c>
      <c r="C835" s="164"/>
      <c r="D835" s="152"/>
      <c r="E835" s="152" t="s">
        <v>367</v>
      </c>
      <c r="F835" s="152" t="s">
        <v>367</v>
      </c>
      <c r="G835" s="152"/>
      <c r="H835" s="152"/>
      <c r="I835" s="152"/>
      <c r="J835" s="152">
        <v>1899</v>
      </c>
      <c r="K835" s="152">
        <v>12</v>
      </c>
    </row>
    <row r="836" spans="1:11" ht="13.5" customHeight="1" x14ac:dyDescent="0.15">
      <c r="A836" s="141"/>
      <c r="B836" s="148">
        <v>833</v>
      </c>
      <c r="C836" s="163"/>
      <c r="D836" s="151"/>
      <c r="E836" s="151" t="s">
        <v>367</v>
      </c>
      <c r="F836" s="151" t="s">
        <v>367</v>
      </c>
      <c r="G836" s="151"/>
      <c r="H836" s="151"/>
      <c r="I836" s="151"/>
      <c r="J836" s="151">
        <v>1899</v>
      </c>
      <c r="K836" s="151">
        <v>12</v>
      </c>
    </row>
    <row r="837" spans="1:11" ht="13.5" customHeight="1" x14ac:dyDescent="0.15">
      <c r="A837" s="141"/>
      <c r="B837" s="148">
        <v>834</v>
      </c>
      <c r="C837" s="164"/>
      <c r="D837" s="152"/>
      <c r="E837" s="152" t="s">
        <v>367</v>
      </c>
      <c r="F837" s="152" t="s">
        <v>367</v>
      </c>
      <c r="G837" s="152"/>
      <c r="H837" s="152"/>
      <c r="I837" s="152"/>
      <c r="J837" s="152">
        <v>1899</v>
      </c>
      <c r="K837" s="152">
        <v>12</v>
      </c>
    </row>
    <row r="838" spans="1:11" ht="13.5" customHeight="1" x14ac:dyDescent="0.15">
      <c r="A838" s="141"/>
      <c r="B838" s="148">
        <v>835</v>
      </c>
      <c r="C838" s="163"/>
      <c r="D838" s="151"/>
      <c r="E838" s="151" t="s">
        <v>367</v>
      </c>
      <c r="F838" s="151" t="s">
        <v>367</v>
      </c>
      <c r="G838" s="151"/>
      <c r="H838" s="151"/>
      <c r="I838" s="151"/>
      <c r="J838" s="151">
        <v>1899</v>
      </c>
      <c r="K838" s="151">
        <v>12</v>
      </c>
    </row>
    <row r="839" spans="1:11" ht="13.5" customHeight="1" x14ac:dyDescent="0.15">
      <c r="A839" s="141"/>
      <c r="B839" s="148">
        <v>836</v>
      </c>
      <c r="C839" s="164"/>
      <c r="D839" s="152"/>
      <c r="E839" s="152" t="s">
        <v>367</v>
      </c>
      <c r="F839" s="152" t="s">
        <v>367</v>
      </c>
      <c r="G839" s="152"/>
      <c r="H839" s="152"/>
      <c r="I839" s="152"/>
      <c r="J839" s="152">
        <v>1899</v>
      </c>
      <c r="K839" s="152">
        <v>12</v>
      </c>
    </row>
    <row r="840" spans="1:11" ht="13.5" customHeight="1" x14ac:dyDescent="0.15">
      <c r="A840" s="141"/>
      <c r="B840" s="148">
        <v>837</v>
      </c>
      <c r="C840" s="163"/>
      <c r="D840" s="151"/>
      <c r="E840" s="151" t="s">
        <v>367</v>
      </c>
      <c r="F840" s="151" t="s">
        <v>367</v>
      </c>
      <c r="G840" s="151"/>
      <c r="H840" s="151"/>
      <c r="I840" s="151"/>
      <c r="J840" s="151">
        <v>1899</v>
      </c>
      <c r="K840" s="151">
        <v>12</v>
      </c>
    </row>
    <row r="841" spans="1:11" ht="13.5" customHeight="1" x14ac:dyDescent="0.15">
      <c r="A841" s="141"/>
      <c r="B841" s="148">
        <v>838</v>
      </c>
      <c r="C841" s="164"/>
      <c r="D841" s="152"/>
      <c r="E841" s="152" t="s">
        <v>367</v>
      </c>
      <c r="F841" s="152" t="s">
        <v>367</v>
      </c>
      <c r="G841" s="152"/>
      <c r="H841" s="152"/>
      <c r="I841" s="152"/>
      <c r="J841" s="152">
        <v>1899</v>
      </c>
      <c r="K841" s="152">
        <v>12</v>
      </c>
    </row>
    <row r="842" spans="1:11" ht="13.5" customHeight="1" x14ac:dyDescent="0.15">
      <c r="A842" s="141"/>
      <c r="B842" s="148">
        <v>839</v>
      </c>
      <c r="C842" s="163"/>
      <c r="D842" s="151"/>
      <c r="E842" s="151" t="s">
        <v>367</v>
      </c>
      <c r="F842" s="151" t="s">
        <v>367</v>
      </c>
      <c r="G842" s="151"/>
      <c r="H842" s="151"/>
      <c r="I842" s="151"/>
      <c r="J842" s="151">
        <v>1899</v>
      </c>
      <c r="K842" s="151">
        <v>12</v>
      </c>
    </row>
    <row r="843" spans="1:11" ht="13.5" customHeight="1" x14ac:dyDescent="0.15">
      <c r="A843" s="141"/>
      <c r="B843" s="148">
        <v>840</v>
      </c>
      <c r="C843" s="164"/>
      <c r="D843" s="152"/>
      <c r="E843" s="152" t="s">
        <v>367</v>
      </c>
      <c r="F843" s="152" t="s">
        <v>367</v>
      </c>
      <c r="G843" s="152"/>
      <c r="H843" s="152"/>
      <c r="I843" s="152"/>
      <c r="J843" s="152">
        <v>1899</v>
      </c>
      <c r="K843" s="152">
        <v>12</v>
      </c>
    </row>
    <row r="844" spans="1:11" ht="13.5" customHeight="1" x14ac:dyDescent="0.15">
      <c r="A844" s="141"/>
      <c r="B844" s="148">
        <v>841</v>
      </c>
      <c r="C844" s="163"/>
      <c r="D844" s="151"/>
      <c r="E844" s="151" t="s">
        <v>367</v>
      </c>
      <c r="F844" s="151" t="s">
        <v>367</v>
      </c>
      <c r="G844" s="151"/>
      <c r="H844" s="151"/>
      <c r="I844" s="151"/>
      <c r="J844" s="151">
        <v>1899</v>
      </c>
      <c r="K844" s="151">
        <v>12</v>
      </c>
    </row>
    <row r="845" spans="1:11" ht="13.5" customHeight="1" x14ac:dyDescent="0.15">
      <c r="A845" s="141"/>
      <c r="B845" s="148">
        <v>842</v>
      </c>
      <c r="C845" s="164"/>
      <c r="D845" s="152"/>
      <c r="E845" s="152" t="s">
        <v>367</v>
      </c>
      <c r="F845" s="152" t="s">
        <v>367</v>
      </c>
      <c r="G845" s="152"/>
      <c r="H845" s="152"/>
      <c r="I845" s="152"/>
      <c r="J845" s="152">
        <v>1899</v>
      </c>
      <c r="K845" s="152">
        <v>12</v>
      </c>
    </row>
    <row r="846" spans="1:11" ht="13.5" customHeight="1" x14ac:dyDescent="0.15">
      <c r="A846" s="141"/>
      <c r="B846" s="148">
        <v>843</v>
      </c>
      <c r="C846" s="163"/>
      <c r="D846" s="151"/>
      <c r="E846" s="151" t="s">
        <v>367</v>
      </c>
      <c r="F846" s="151" t="s">
        <v>367</v>
      </c>
      <c r="G846" s="151"/>
      <c r="H846" s="151"/>
      <c r="I846" s="151"/>
      <c r="J846" s="151">
        <v>1899</v>
      </c>
      <c r="K846" s="151">
        <v>12</v>
      </c>
    </row>
    <row r="847" spans="1:11" ht="13.5" customHeight="1" x14ac:dyDescent="0.15">
      <c r="A847" s="141"/>
      <c r="B847" s="148">
        <v>844</v>
      </c>
      <c r="C847" s="164"/>
      <c r="D847" s="152"/>
      <c r="E847" s="152" t="s">
        <v>367</v>
      </c>
      <c r="F847" s="152" t="s">
        <v>367</v>
      </c>
      <c r="G847" s="152"/>
      <c r="H847" s="152"/>
      <c r="I847" s="152"/>
      <c r="J847" s="152">
        <v>1899</v>
      </c>
      <c r="K847" s="152">
        <v>12</v>
      </c>
    </row>
    <row r="848" spans="1:11" ht="13.5" customHeight="1" x14ac:dyDescent="0.15">
      <c r="A848" s="141"/>
      <c r="B848" s="148">
        <v>845</v>
      </c>
      <c r="C848" s="163"/>
      <c r="D848" s="151"/>
      <c r="E848" s="151" t="s">
        <v>367</v>
      </c>
      <c r="F848" s="151" t="s">
        <v>367</v>
      </c>
      <c r="G848" s="151"/>
      <c r="H848" s="151"/>
      <c r="I848" s="151"/>
      <c r="J848" s="151">
        <v>1899</v>
      </c>
      <c r="K848" s="151">
        <v>12</v>
      </c>
    </row>
    <row r="849" spans="1:11" ht="13.5" customHeight="1" x14ac:dyDescent="0.15">
      <c r="A849" s="141"/>
      <c r="B849" s="148">
        <v>846</v>
      </c>
      <c r="C849" s="164"/>
      <c r="D849" s="152"/>
      <c r="E849" s="152" t="s">
        <v>367</v>
      </c>
      <c r="F849" s="152" t="s">
        <v>367</v>
      </c>
      <c r="G849" s="152"/>
      <c r="H849" s="152"/>
      <c r="I849" s="152"/>
      <c r="J849" s="152">
        <v>1899</v>
      </c>
      <c r="K849" s="152">
        <v>12</v>
      </c>
    </row>
    <row r="850" spans="1:11" ht="13.5" customHeight="1" x14ac:dyDescent="0.15">
      <c r="A850" s="141"/>
      <c r="B850" s="148">
        <v>847</v>
      </c>
      <c r="C850" s="163"/>
      <c r="D850" s="151"/>
      <c r="E850" s="151" t="s">
        <v>367</v>
      </c>
      <c r="F850" s="151" t="s">
        <v>367</v>
      </c>
      <c r="G850" s="151"/>
      <c r="H850" s="151"/>
      <c r="I850" s="151"/>
      <c r="J850" s="151">
        <v>1899</v>
      </c>
      <c r="K850" s="151">
        <v>12</v>
      </c>
    </row>
    <row r="851" spans="1:11" ht="13.5" customHeight="1" x14ac:dyDescent="0.15">
      <c r="A851" s="141"/>
      <c r="B851" s="148">
        <v>848</v>
      </c>
      <c r="C851" s="164"/>
      <c r="D851" s="152"/>
      <c r="E851" s="152" t="s">
        <v>367</v>
      </c>
      <c r="F851" s="152" t="s">
        <v>367</v>
      </c>
      <c r="G851" s="152"/>
      <c r="H851" s="152"/>
      <c r="I851" s="152"/>
      <c r="J851" s="152">
        <v>1899</v>
      </c>
      <c r="K851" s="152">
        <v>12</v>
      </c>
    </row>
    <row r="852" spans="1:11" ht="13.5" customHeight="1" x14ac:dyDescent="0.15">
      <c r="A852" s="141"/>
      <c r="B852" s="148">
        <v>849</v>
      </c>
      <c r="C852" s="163"/>
      <c r="D852" s="151"/>
      <c r="E852" s="151" t="s">
        <v>367</v>
      </c>
      <c r="F852" s="151" t="s">
        <v>367</v>
      </c>
      <c r="G852" s="151"/>
      <c r="H852" s="151"/>
      <c r="I852" s="151"/>
      <c r="J852" s="151">
        <v>1899</v>
      </c>
      <c r="K852" s="151">
        <v>12</v>
      </c>
    </row>
    <row r="853" spans="1:11" ht="13.5" customHeight="1" x14ac:dyDescent="0.15">
      <c r="A853" s="141"/>
      <c r="B853" s="148">
        <v>850</v>
      </c>
      <c r="C853" s="164"/>
      <c r="D853" s="152"/>
      <c r="E853" s="152" t="s">
        <v>367</v>
      </c>
      <c r="F853" s="152" t="s">
        <v>367</v>
      </c>
      <c r="G853" s="152"/>
      <c r="H853" s="152"/>
      <c r="I853" s="152"/>
      <c r="J853" s="152">
        <v>1899</v>
      </c>
      <c r="K853" s="152">
        <v>12</v>
      </c>
    </row>
    <row r="854" spans="1:11" ht="13.5" customHeight="1" x14ac:dyDescent="0.15">
      <c r="A854" s="141"/>
      <c r="B854" s="148">
        <v>851</v>
      </c>
      <c r="C854" s="163"/>
      <c r="D854" s="151"/>
      <c r="E854" s="151" t="s">
        <v>367</v>
      </c>
      <c r="F854" s="151" t="s">
        <v>367</v>
      </c>
      <c r="G854" s="151"/>
      <c r="H854" s="151"/>
      <c r="I854" s="151"/>
      <c r="J854" s="151">
        <v>1899</v>
      </c>
      <c r="K854" s="151">
        <v>12</v>
      </c>
    </row>
    <row r="855" spans="1:11" ht="13.5" customHeight="1" x14ac:dyDescent="0.15">
      <c r="A855" s="141"/>
      <c r="B855" s="148">
        <v>852</v>
      </c>
      <c r="C855" s="164"/>
      <c r="D855" s="152"/>
      <c r="E855" s="152" t="s">
        <v>367</v>
      </c>
      <c r="F855" s="152" t="s">
        <v>367</v>
      </c>
      <c r="G855" s="152"/>
      <c r="H855" s="152"/>
      <c r="I855" s="152"/>
      <c r="J855" s="152">
        <v>1899</v>
      </c>
      <c r="K855" s="152">
        <v>12</v>
      </c>
    </row>
    <row r="856" spans="1:11" ht="13.5" customHeight="1" x14ac:dyDescent="0.15">
      <c r="A856" s="141"/>
      <c r="B856" s="148">
        <v>853</v>
      </c>
      <c r="C856" s="163"/>
      <c r="D856" s="151"/>
      <c r="E856" s="151" t="s">
        <v>367</v>
      </c>
      <c r="F856" s="151" t="s">
        <v>367</v>
      </c>
      <c r="G856" s="151"/>
      <c r="H856" s="151"/>
      <c r="I856" s="151"/>
      <c r="J856" s="151">
        <v>1899</v>
      </c>
      <c r="K856" s="151">
        <v>12</v>
      </c>
    </row>
    <row r="857" spans="1:11" ht="13.5" customHeight="1" x14ac:dyDescent="0.15">
      <c r="A857" s="141"/>
      <c r="B857" s="148">
        <v>854</v>
      </c>
      <c r="C857" s="164"/>
      <c r="D857" s="152"/>
      <c r="E857" s="152" t="s">
        <v>367</v>
      </c>
      <c r="F857" s="152" t="s">
        <v>367</v>
      </c>
      <c r="G857" s="152"/>
      <c r="H857" s="152"/>
      <c r="I857" s="152"/>
      <c r="J857" s="152">
        <v>1899</v>
      </c>
      <c r="K857" s="152">
        <v>12</v>
      </c>
    </row>
    <row r="858" spans="1:11" ht="13.5" customHeight="1" x14ac:dyDescent="0.15">
      <c r="A858" s="141"/>
      <c r="B858" s="148">
        <v>855</v>
      </c>
      <c r="C858" s="163"/>
      <c r="D858" s="151"/>
      <c r="E858" s="151" t="s">
        <v>367</v>
      </c>
      <c r="F858" s="151" t="s">
        <v>367</v>
      </c>
      <c r="G858" s="151"/>
      <c r="H858" s="151"/>
      <c r="I858" s="151"/>
      <c r="J858" s="151">
        <v>1899</v>
      </c>
      <c r="K858" s="151">
        <v>12</v>
      </c>
    </row>
    <row r="859" spans="1:11" ht="13.5" customHeight="1" x14ac:dyDescent="0.15">
      <c r="A859" s="141"/>
      <c r="B859" s="148">
        <v>856</v>
      </c>
      <c r="C859" s="164"/>
      <c r="D859" s="152"/>
      <c r="E859" s="152" t="s">
        <v>367</v>
      </c>
      <c r="F859" s="152" t="s">
        <v>367</v>
      </c>
      <c r="G859" s="152"/>
      <c r="H859" s="152"/>
      <c r="I859" s="152"/>
      <c r="J859" s="152">
        <v>1899</v>
      </c>
      <c r="K859" s="152">
        <v>12</v>
      </c>
    </row>
    <row r="860" spans="1:11" ht="13.5" customHeight="1" x14ac:dyDescent="0.15">
      <c r="A860" s="141"/>
      <c r="B860" s="148">
        <v>857</v>
      </c>
      <c r="C860" s="163"/>
      <c r="D860" s="151"/>
      <c r="E860" s="151" t="s">
        <v>367</v>
      </c>
      <c r="F860" s="151" t="s">
        <v>367</v>
      </c>
      <c r="G860" s="151"/>
      <c r="H860" s="151"/>
      <c r="I860" s="151"/>
      <c r="J860" s="151">
        <v>1899</v>
      </c>
      <c r="K860" s="151">
        <v>12</v>
      </c>
    </row>
    <row r="861" spans="1:11" ht="13.5" customHeight="1" x14ac:dyDescent="0.15">
      <c r="A861" s="141"/>
      <c r="B861" s="148">
        <v>858</v>
      </c>
      <c r="C861" s="164"/>
      <c r="D861" s="152"/>
      <c r="E861" s="152" t="s">
        <v>367</v>
      </c>
      <c r="F861" s="152" t="s">
        <v>367</v>
      </c>
      <c r="G861" s="152"/>
      <c r="H861" s="152"/>
      <c r="I861" s="152"/>
      <c r="J861" s="152">
        <v>1899</v>
      </c>
      <c r="K861" s="152">
        <v>12</v>
      </c>
    </row>
    <row r="862" spans="1:11" ht="13.5" customHeight="1" x14ac:dyDescent="0.15">
      <c r="A862" s="141"/>
      <c r="B862" s="148">
        <v>859</v>
      </c>
      <c r="C862" s="163"/>
      <c r="D862" s="151"/>
      <c r="E862" s="151" t="s">
        <v>367</v>
      </c>
      <c r="F862" s="151" t="s">
        <v>367</v>
      </c>
      <c r="G862" s="151"/>
      <c r="H862" s="151"/>
      <c r="I862" s="151"/>
      <c r="J862" s="151">
        <v>1899</v>
      </c>
      <c r="K862" s="151">
        <v>12</v>
      </c>
    </row>
    <row r="863" spans="1:11" ht="13.5" customHeight="1" x14ac:dyDescent="0.15">
      <c r="A863" s="141"/>
      <c r="B863" s="148">
        <v>860</v>
      </c>
      <c r="C863" s="164"/>
      <c r="D863" s="152"/>
      <c r="E863" s="152" t="s">
        <v>367</v>
      </c>
      <c r="F863" s="152" t="s">
        <v>367</v>
      </c>
      <c r="G863" s="152"/>
      <c r="H863" s="152"/>
      <c r="I863" s="152"/>
      <c r="J863" s="152">
        <v>1899</v>
      </c>
      <c r="K863" s="152">
        <v>12</v>
      </c>
    </row>
    <row r="864" spans="1:11" ht="13.5" customHeight="1" x14ac:dyDescent="0.15">
      <c r="A864" s="141"/>
      <c r="B864" s="148">
        <v>861</v>
      </c>
      <c r="C864" s="163"/>
      <c r="D864" s="151"/>
      <c r="E864" s="151" t="s">
        <v>367</v>
      </c>
      <c r="F864" s="151" t="s">
        <v>367</v>
      </c>
      <c r="G864" s="151"/>
      <c r="H864" s="151"/>
      <c r="I864" s="151"/>
      <c r="J864" s="151">
        <v>1899</v>
      </c>
      <c r="K864" s="151">
        <v>12</v>
      </c>
    </row>
    <row r="865" spans="1:11" ht="13.5" customHeight="1" x14ac:dyDescent="0.15">
      <c r="A865" s="141"/>
      <c r="B865" s="148">
        <v>862</v>
      </c>
      <c r="C865" s="164"/>
      <c r="D865" s="152"/>
      <c r="E865" s="152" t="s">
        <v>367</v>
      </c>
      <c r="F865" s="152" t="s">
        <v>367</v>
      </c>
      <c r="G865" s="152"/>
      <c r="H865" s="152"/>
      <c r="I865" s="152"/>
      <c r="J865" s="152">
        <v>1899</v>
      </c>
      <c r="K865" s="152">
        <v>12</v>
      </c>
    </row>
    <row r="866" spans="1:11" ht="13.5" customHeight="1" x14ac:dyDescent="0.15">
      <c r="A866" s="141"/>
      <c r="B866" s="148">
        <v>863</v>
      </c>
      <c r="C866" s="163"/>
      <c r="D866" s="151"/>
      <c r="E866" s="151" t="s">
        <v>367</v>
      </c>
      <c r="F866" s="151" t="s">
        <v>367</v>
      </c>
      <c r="G866" s="151"/>
      <c r="H866" s="151"/>
      <c r="I866" s="151"/>
      <c r="J866" s="151">
        <v>1899</v>
      </c>
      <c r="K866" s="151">
        <v>12</v>
      </c>
    </row>
    <row r="867" spans="1:11" ht="13.5" customHeight="1" x14ac:dyDescent="0.15">
      <c r="A867" s="141"/>
      <c r="B867" s="148">
        <v>864</v>
      </c>
      <c r="C867" s="164"/>
      <c r="D867" s="152"/>
      <c r="E867" s="152" t="s">
        <v>367</v>
      </c>
      <c r="F867" s="152" t="s">
        <v>367</v>
      </c>
      <c r="G867" s="152"/>
      <c r="H867" s="152"/>
      <c r="I867" s="152"/>
      <c r="J867" s="152">
        <v>1899</v>
      </c>
      <c r="K867" s="152">
        <v>12</v>
      </c>
    </row>
    <row r="868" spans="1:11" ht="13.5" customHeight="1" x14ac:dyDescent="0.15">
      <c r="A868" s="141"/>
      <c r="B868" s="148">
        <v>865</v>
      </c>
      <c r="C868" s="163"/>
      <c r="D868" s="151"/>
      <c r="E868" s="151" t="s">
        <v>367</v>
      </c>
      <c r="F868" s="151" t="s">
        <v>367</v>
      </c>
      <c r="G868" s="151"/>
      <c r="H868" s="151"/>
      <c r="I868" s="151"/>
      <c r="J868" s="151">
        <v>1899</v>
      </c>
      <c r="K868" s="151">
        <v>12</v>
      </c>
    </row>
    <row r="869" spans="1:11" ht="13.5" customHeight="1" x14ac:dyDescent="0.15">
      <c r="A869" s="141"/>
      <c r="B869" s="148">
        <v>866</v>
      </c>
      <c r="C869" s="164"/>
      <c r="D869" s="152"/>
      <c r="E869" s="152" t="s">
        <v>367</v>
      </c>
      <c r="F869" s="152" t="s">
        <v>367</v>
      </c>
      <c r="G869" s="152"/>
      <c r="H869" s="152"/>
      <c r="I869" s="152"/>
      <c r="J869" s="152">
        <v>1899</v>
      </c>
      <c r="K869" s="152">
        <v>12</v>
      </c>
    </row>
    <row r="870" spans="1:11" ht="13.5" customHeight="1" x14ac:dyDescent="0.15">
      <c r="A870" s="141"/>
      <c r="B870" s="148">
        <v>867</v>
      </c>
      <c r="C870" s="163"/>
      <c r="D870" s="151"/>
      <c r="E870" s="151" t="s">
        <v>367</v>
      </c>
      <c r="F870" s="151" t="s">
        <v>367</v>
      </c>
      <c r="G870" s="151"/>
      <c r="H870" s="151"/>
      <c r="I870" s="151"/>
      <c r="J870" s="151">
        <v>1899</v>
      </c>
      <c r="K870" s="151">
        <v>12</v>
      </c>
    </row>
    <row r="871" spans="1:11" ht="13.5" customHeight="1" x14ac:dyDescent="0.15">
      <c r="A871" s="141"/>
      <c r="B871" s="148">
        <v>868</v>
      </c>
      <c r="C871" s="164"/>
      <c r="D871" s="152"/>
      <c r="E871" s="152" t="s">
        <v>367</v>
      </c>
      <c r="F871" s="152" t="s">
        <v>367</v>
      </c>
      <c r="G871" s="152"/>
      <c r="H871" s="152"/>
      <c r="I871" s="152"/>
      <c r="J871" s="152">
        <v>1899</v>
      </c>
      <c r="K871" s="152">
        <v>12</v>
      </c>
    </row>
    <row r="872" spans="1:11" ht="13.5" customHeight="1" x14ac:dyDescent="0.15">
      <c r="A872" s="141"/>
      <c r="B872" s="148">
        <v>869</v>
      </c>
      <c r="C872" s="163"/>
      <c r="D872" s="151"/>
      <c r="E872" s="151" t="s">
        <v>367</v>
      </c>
      <c r="F872" s="151" t="s">
        <v>367</v>
      </c>
      <c r="G872" s="151"/>
      <c r="H872" s="151"/>
      <c r="I872" s="151"/>
      <c r="J872" s="151">
        <v>1899</v>
      </c>
      <c r="K872" s="151">
        <v>12</v>
      </c>
    </row>
    <row r="873" spans="1:11" ht="13.5" customHeight="1" x14ac:dyDescent="0.15">
      <c r="A873" s="141"/>
      <c r="B873" s="148">
        <v>870</v>
      </c>
      <c r="C873" s="164"/>
      <c r="D873" s="152"/>
      <c r="E873" s="152" t="s">
        <v>367</v>
      </c>
      <c r="F873" s="152" t="s">
        <v>367</v>
      </c>
      <c r="G873" s="152"/>
      <c r="H873" s="152"/>
      <c r="I873" s="152"/>
      <c r="J873" s="152">
        <v>1899</v>
      </c>
      <c r="K873" s="152">
        <v>12</v>
      </c>
    </row>
    <row r="874" spans="1:11" ht="13.5" customHeight="1" x14ac:dyDescent="0.15">
      <c r="A874" s="141"/>
      <c r="B874" s="148">
        <v>871</v>
      </c>
      <c r="C874" s="163"/>
      <c r="D874" s="151"/>
      <c r="E874" s="151" t="s">
        <v>367</v>
      </c>
      <c r="F874" s="151" t="s">
        <v>367</v>
      </c>
      <c r="G874" s="151"/>
      <c r="H874" s="151"/>
      <c r="I874" s="151"/>
      <c r="J874" s="151">
        <v>1899</v>
      </c>
      <c r="K874" s="151">
        <v>12</v>
      </c>
    </row>
    <row r="875" spans="1:11" ht="13.5" customHeight="1" x14ac:dyDescent="0.15">
      <c r="A875" s="141"/>
      <c r="B875" s="148">
        <v>872</v>
      </c>
      <c r="C875" s="164"/>
      <c r="D875" s="152"/>
      <c r="E875" s="152" t="s">
        <v>367</v>
      </c>
      <c r="F875" s="152" t="s">
        <v>367</v>
      </c>
      <c r="G875" s="152"/>
      <c r="H875" s="152"/>
      <c r="I875" s="152"/>
      <c r="J875" s="152">
        <v>1899</v>
      </c>
      <c r="K875" s="152">
        <v>12</v>
      </c>
    </row>
    <row r="876" spans="1:11" ht="13.5" customHeight="1" x14ac:dyDescent="0.15">
      <c r="A876" s="141"/>
      <c r="B876" s="148">
        <v>873</v>
      </c>
      <c r="C876" s="163"/>
      <c r="D876" s="151"/>
      <c r="E876" s="151" t="s">
        <v>367</v>
      </c>
      <c r="F876" s="151" t="s">
        <v>367</v>
      </c>
      <c r="G876" s="151"/>
      <c r="H876" s="151"/>
      <c r="I876" s="151"/>
      <c r="J876" s="151">
        <v>1899</v>
      </c>
      <c r="K876" s="151">
        <v>12</v>
      </c>
    </row>
    <row r="877" spans="1:11" ht="13.5" customHeight="1" x14ac:dyDescent="0.15">
      <c r="A877" s="141"/>
      <c r="B877" s="148">
        <v>874</v>
      </c>
      <c r="C877" s="164"/>
      <c r="D877" s="152"/>
      <c r="E877" s="152" t="s">
        <v>367</v>
      </c>
      <c r="F877" s="152" t="s">
        <v>367</v>
      </c>
      <c r="G877" s="152"/>
      <c r="H877" s="152"/>
      <c r="I877" s="152"/>
      <c r="J877" s="152">
        <v>1899</v>
      </c>
      <c r="K877" s="152">
        <v>12</v>
      </c>
    </row>
    <row r="878" spans="1:11" ht="13.5" customHeight="1" x14ac:dyDescent="0.15">
      <c r="A878" s="141"/>
      <c r="B878" s="148">
        <v>875</v>
      </c>
      <c r="C878" s="163"/>
      <c r="D878" s="151"/>
      <c r="E878" s="151" t="s">
        <v>367</v>
      </c>
      <c r="F878" s="151" t="s">
        <v>367</v>
      </c>
      <c r="G878" s="151"/>
      <c r="H878" s="151"/>
      <c r="I878" s="151"/>
      <c r="J878" s="151">
        <v>1899</v>
      </c>
      <c r="K878" s="151">
        <v>12</v>
      </c>
    </row>
    <row r="879" spans="1:11" ht="13.5" customHeight="1" x14ac:dyDescent="0.15">
      <c r="A879" s="141"/>
      <c r="B879" s="148">
        <v>876</v>
      </c>
      <c r="C879" s="164"/>
      <c r="D879" s="152"/>
      <c r="E879" s="152" t="s">
        <v>367</v>
      </c>
      <c r="F879" s="152" t="s">
        <v>367</v>
      </c>
      <c r="G879" s="152"/>
      <c r="H879" s="152"/>
      <c r="I879" s="152"/>
      <c r="J879" s="152">
        <v>1899</v>
      </c>
      <c r="K879" s="152">
        <v>12</v>
      </c>
    </row>
    <row r="880" spans="1:11" ht="13.5" customHeight="1" x14ac:dyDescent="0.15">
      <c r="A880" s="141"/>
      <c r="B880" s="148">
        <v>877</v>
      </c>
      <c r="C880" s="163"/>
      <c r="D880" s="151"/>
      <c r="E880" s="151" t="s">
        <v>367</v>
      </c>
      <c r="F880" s="151" t="s">
        <v>367</v>
      </c>
      <c r="G880" s="151"/>
      <c r="H880" s="151"/>
      <c r="I880" s="151"/>
      <c r="J880" s="151">
        <v>1899</v>
      </c>
      <c r="K880" s="151">
        <v>12</v>
      </c>
    </row>
    <row r="881" spans="1:11" ht="13.5" customHeight="1" x14ac:dyDescent="0.15">
      <c r="A881" s="141"/>
      <c r="B881" s="148">
        <v>878</v>
      </c>
      <c r="C881" s="164"/>
      <c r="D881" s="152"/>
      <c r="E881" s="152" t="s">
        <v>367</v>
      </c>
      <c r="F881" s="152" t="s">
        <v>367</v>
      </c>
      <c r="G881" s="152"/>
      <c r="H881" s="152"/>
      <c r="I881" s="152"/>
      <c r="J881" s="152">
        <v>1899</v>
      </c>
      <c r="K881" s="152">
        <v>12</v>
      </c>
    </row>
    <row r="882" spans="1:11" ht="13.5" customHeight="1" x14ac:dyDescent="0.15">
      <c r="A882" s="141"/>
      <c r="B882" s="148">
        <v>879</v>
      </c>
      <c r="C882" s="163"/>
      <c r="D882" s="151"/>
      <c r="E882" s="151" t="s">
        <v>367</v>
      </c>
      <c r="F882" s="151" t="s">
        <v>367</v>
      </c>
      <c r="G882" s="151"/>
      <c r="H882" s="151"/>
      <c r="I882" s="151"/>
      <c r="J882" s="151">
        <v>1899</v>
      </c>
      <c r="K882" s="151">
        <v>12</v>
      </c>
    </row>
    <row r="883" spans="1:11" ht="13.5" customHeight="1" x14ac:dyDescent="0.15">
      <c r="A883" s="141"/>
      <c r="B883" s="148">
        <v>880</v>
      </c>
      <c r="C883" s="164"/>
      <c r="D883" s="152"/>
      <c r="E883" s="152" t="s">
        <v>367</v>
      </c>
      <c r="F883" s="152" t="s">
        <v>367</v>
      </c>
      <c r="G883" s="152"/>
      <c r="H883" s="152"/>
      <c r="I883" s="152"/>
      <c r="J883" s="152">
        <v>1899</v>
      </c>
      <c r="K883" s="152">
        <v>12</v>
      </c>
    </row>
    <row r="884" spans="1:11" ht="13.5" customHeight="1" x14ac:dyDescent="0.15">
      <c r="A884" s="141"/>
      <c r="B884" s="148">
        <v>881</v>
      </c>
      <c r="C884" s="163"/>
      <c r="D884" s="151"/>
      <c r="E884" s="151" t="s">
        <v>367</v>
      </c>
      <c r="F884" s="151" t="s">
        <v>367</v>
      </c>
      <c r="G884" s="151"/>
      <c r="H884" s="151"/>
      <c r="I884" s="151"/>
      <c r="J884" s="151">
        <v>1899</v>
      </c>
      <c r="K884" s="151">
        <v>12</v>
      </c>
    </row>
    <row r="885" spans="1:11" ht="13.5" customHeight="1" x14ac:dyDescent="0.15">
      <c r="A885" s="141"/>
      <c r="B885" s="148">
        <v>882</v>
      </c>
      <c r="C885" s="164"/>
      <c r="D885" s="152"/>
      <c r="E885" s="152" t="s">
        <v>367</v>
      </c>
      <c r="F885" s="152" t="s">
        <v>367</v>
      </c>
      <c r="G885" s="152"/>
      <c r="H885" s="152"/>
      <c r="I885" s="152"/>
      <c r="J885" s="152">
        <v>1899</v>
      </c>
      <c r="K885" s="152">
        <v>12</v>
      </c>
    </row>
    <row r="886" spans="1:11" ht="13.5" customHeight="1" x14ac:dyDescent="0.15">
      <c r="A886" s="141"/>
      <c r="B886" s="148">
        <v>883</v>
      </c>
      <c r="C886" s="163"/>
      <c r="D886" s="151"/>
      <c r="E886" s="151" t="s">
        <v>367</v>
      </c>
      <c r="F886" s="151" t="s">
        <v>367</v>
      </c>
      <c r="G886" s="151"/>
      <c r="H886" s="151"/>
      <c r="I886" s="151"/>
      <c r="J886" s="151">
        <v>1899</v>
      </c>
      <c r="K886" s="151">
        <v>12</v>
      </c>
    </row>
    <row r="887" spans="1:11" ht="13.5" customHeight="1" x14ac:dyDescent="0.15">
      <c r="A887" s="141"/>
      <c r="B887" s="148">
        <v>884</v>
      </c>
      <c r="C887" s="164"/>
      <c r="D887" s="152"/>
      <c r="E887" s="152" t="s">
        <v>367</v>
      </c>
      <c r="F887" s="152" t="s">
        <v>367</v>
      </c>
      <c r="G887" s="152"/>
      <c r="H887" s="152"/>
      <c r="I887" s="152"/>
      <c r="J887" s="152">
        <v>1899</v>
      </c>
      <c r="K887" s="152">
        <v>12</v>
      </c>
    </row>
    <row r="888" spans="1:11" ht="13.5" customHeight="1" x14ac:dyDescent="0.15">
      <c r="A888" s="141"/>
      <c r="B888" s="148">
        <v>885</v>
      </c>
      <c r="C888" s="163"/>
      <c r="D888" s="151"/>
      <c r="E888" s="151" t="s">
        <v>367</v>
      </c>
      <c r="F888" s="151" t="s">
        <v>367</v>
      </c>
      <c r="G888" s="151"/>
      <c r="H888" s="151"/>
      <c r="I888" s="151"/>
      <c r="J888" s="151">
        <v>1899</v>
      </c>
      <c r="K888" s="151">
        <v>12</v>
      </c>
    </row>
    <row r="889" spans="1:11" ht="13.5" customHeight="1" x14ac:dyDescent="0.15">
      <c r="A889" s="141"/>
      <c r="B889" s="148">
        <v>886</v>
      </c>
      <c r="C889" s="164"/>
      <c r="D889" s="152"/>
      <c r="E889" s="152" t="s">
        <v>367</v>
      </c>
      <c r="F889" s="152" t="s">
        <v>367</v>
      </c>
      <c r="G889" s="152"/>
      <c r="H889" s="152"/>
      <c r="I889" s="152"/>
      <c r="J889" s="152">
        <v>1899</v>
      </c>
      <c r="K889" s="152">
        <v>12</v>
      </c>
    </row>
    <row r="890" spans="1:11" ht="13.5" customHeight="1" x14ac:dyDescent="0.15">
      <c r="A890" s="141"/>
      <c r="B890" s="148">
        <v>887</v>
      </c>
      <c r="C890" s="163"/>
      <c r="D890" s="151"/>
      <c r="E890" s="151" t="s">
        <v>367</v>
      </c>
      <c r="F890" s="151" t="s">
        <v>367</v>
      </c>
      <c r="G890" s="151"/>
      <c r="H890" s="151"/>
      <c r="I890" s="151"/>
      <c r="J890" s="151">
        <v>1899</v>
      </c>
      <c r="K890" s="151">
        <v>12</v>
      </c>
    </row>
    <row r="891" spans="1:11" ht="13.5" customHeight="1" x14ac:dyDescent="0.15">
      <c r="A891" s="141"/>
      <c r="B891" s="148">
        <v>888</v>
      </c>
      <c r="C891" s="164"/>
      <c r="D891" s="152"/>
      <c r="E891" s="152" t="s">
        <v>367</v>
      </c>
      <c r="F891" s="152" t="s">
        <v>367</v>
      </c>
      <c r="G891" s="152"/>
      <c r="H891" s="152"/>
      <c r="I891" s="152"/>
      <c r="J891" s="152">
        <v>1899</v>
      </c>
      <c r="K891" s="152">
        <v>12</v>
      </c>
    </row>
    <row r="892" spans="1:11" ht="13.5" customHeight="1" x14ac:dyDescent="0.15">
      <c r="A892" s="141"/>
      <c r="B892" s="165">
        <v>889</v>
      </c>
      <c r="C892" s="166"/>
      <c r="D892" s="153"/>
      <c r="E892" s="153" t="s">
        <v>367</v>
      </c>
      <c r="F892" s="153" t="s">
        <v>367</v>
      </c>
      <c r="G892" s="153"/>
      <c r="H892" s="153"/>
      <c r="I892" s="153"/>
      <c r="J892" s="153">
        <v>1899</v>
      </c>
      <c r="K892" s="153">
        <v>12</v>
      </c>
    </row>
    <row r="893" spans="1:11" ht="13.5" customHeight="1" x14ac:dyDescent="0.15">
      <c r="A893" s="141"/>
      <c r="B893" s="165">
        <v>890</v>
      </c>
      <c r="C893" s="166"/>
      <c r="D893" s="153"/>
      <c r="E893" s="153" t="s">
        <v>367</v>
      </c>
      <c r="F893" s="153" t="s">
        <v>367</v>
      </c>
      <c r="G893" s="153"/>
      <c r="H893" s="153"/>
      <c r="I893" s="153"/>
      <c r="J893" s="153">
        <v>1899</v>
      </c>
      <c r="K893" s="153">
        <v>12</v>
      </c>
    </row>
    <row r="894" spans="1:11" ht="13.5" customHeight="1" x14ac:dyDescent="0.15">
      <c r="A894" s="141"/>
      <c r="B894" s="165">
        <v>891</v>
      </c>
      <c r="C894" s="166"/>
      <c r="D894" s="153"/>
      <c r="E894" s="153" t="s">
        <v>367</v>
      </c>
      <c r="F894" s="153" t="s">
        <v>367</v>
      </c>
      <c r="G894" s="153"/>
      <c r="H894" s="153"/>
      <c r="I894" s="153"/>
      <c r="J894" s="153">
        <v>1899</v>
      </c>
      <c r="K894" s="153">
        <v>12</v>
      </c>
    </row>
    <row r="895" spans="1:11" ht="13.5" customHeight="1" x14ac:dyDescent="0.15">
      <c r="A895" s="141"/>
      <c r="B895" s="165">
        <v>892</v>
      </c>
      <c r="C895" s="166"/>
      <c r="D895" s="153"/>
      <c r="E895" s="153" t="s">
        <v>367</v>
      </c>
      <c r="F895" s="153" t="s">
        <v>367</v>
      </c>
      <c r="G895" s="153"/>
      <c r="H895" s="153"/>
      <c r="I895" s="153"/>
      <c r="J895" s="153">
        <v>1899</v>
      </c>
      <c r="K895" s="153">
        <v>12</v>
      </c>
    </row>
    <row r="896" spans="1:11" ht="13.5" customHeight="1" x14ac:dyDescent="0.15">
      <c r="A896" s="141"/>
      <c r="B896" s="165">
        <v>893</v>
      </c>
      <c r="C896" s="166"/>
      <c r="D896" s="153"/>
      <c r="E896" s="153" t="s">
        <v>367</v>
      </c>
      <c r="F896" s="153" t="s">
        <v>367</v>
      </c>
      <c r="G896" s="153"/>
      <c r="H896" s="153"/>
      <c r="I896" s="153"/>
      <c r="J896" s="153">
        <v>1899</v>
      </c>
      <c r="K896" s="153">
        <v>12</v>
      </c>
    </row>
    <row r="897" spans="1:11" ht="13.5" customHeight="1" x14ac:dyDescent="0.15">
      <c r="A897" s="141"/>
      <c r="B897" s="165">
        <v>894</v>
      </c>
      <c r="C897" s="166"/>
      <c r="D897" s="153"/>
      <c r="E897" s="153" t="s">
        <v>367</v>
      </c>
      <c r="F897" s="153" t="s">
        <v>367</v>
      </c>
      <c r="G897" s="153"/>
      <c r="H897" s="153"/>
      <c r="I897" s="153"/>
      <c r="J897" s="153">
        <v>1899</v>
      </c>
      <c r="K897" s="153">
        <v>12</v>
      </c>
    </row>
    <row r="898" spans="1:11" ht="13.5" customHeight="1" x14ac:dyDescent="0.15">
      <c r="A898" s="141"/>
      <c r="B898" s="165">
        <v>895</v>
      </c>
      <c r="C898" s="166"/>
      <c r="D898" s="153"/>
      <c r="E898" s="153" t="s">
        <v>367</v>
      </c>
      <c r="F898" s="153" t="s">
        <v>367</v>
      </c>
      <c r="G898" s="153"/>
      <c r="H898" s="153"/>
      <c r="I898" s="153"/>
      <c r="J898" s="153">
        <v>1899</v>
      </c>
      <c r="K898" s="153">
        <v>12</v>
      </c>
    </row>
    <row r="899" spans="1:11" ht="13.5" customHeight="1" x14ac:dyDescent="0.15">
      <c r="A899" s="141"/>
      <c r="B899" s="165">
        <v>896</v>
      </c>
      <c r="C899" s="166"/>
      <c r="D899" s="153"/>
      <c r="E899" s="153" t="s">
        <v>367</v>
      </c>
      <c r="F899" s="153" t="s">
        <v>367</v>
      </c>
      <c r="G899" s="153"/>
      <c r="H899" s="153"/>
      <c r="I899" s="153"/>
      <c r="J899" s="153">
        <v>1899</v>
      </c>
      <c r="K899" s="153">
        <v>12</v>
      </c>
    </row>
    <row r="900" spans="1:11" ht="13.5" customHeight="1" x14ac:dyDescent="0.15">
      <c r="A900" s="141"/>
      <c r="B900" s="165">
        <v>897</v>
      </c>
      <c r="C900" s="166"/>
      <c r="D900" s="153"/>
      <c r="E900" s="153" t="s">
        <v>367</v>
      </c>
      <c r="F900" s="153" t="s">
        <v>367</v>
      </c>
      <c r="G900" s="153"/>
      <c r="H900" s="153"/>
      <c r="I900" s="153"/>
      <c r="J900" s="153">
        <v>1899</v>
      </c>
      <c r="K900" s="153">
        <v>12</v>
      </c>
    </row>
    <row r="901" spans="1:11" ht="13.5" customHeight="1" x14ac:dyDescent="0.15">
      <c r="A901" s="141"/>
      <c r="B901" s="165">
        <v>898</v>
      </c>
      <c r="C901" s="166"/>
      <c r="D901" s="153"/>
      <c r="E901" s="153" t="s">
        <v>367</v>
      </c>
      <c r="F901" s="153" t="s">
        <v>367</v>
      </c>
      <c r="G901" s="153"/>
      <c r="H901" s="153"/>
      <c r="I901" s="153"/>
      <c r="J901" s="153">
        <v>1899</v>
      </c>
      <c r="K901" s="153">
        <v>12</v>
      </c>
    </row>
    <row r="902" spans="1:11" ht="13.5" customHeight="1" x14ac:dyDescent="0.15">
      <c r="A902" s="141"/>
      <c r="B902" s="165">
        <v>899</v>
      </c>
      <c r="C902" s="166"/>
      <c r="D902" s="153"/>
      <c r="E902" s="153" t="s">
        <v>367</v>
      </c>
      <c r="F902" s="153" t="s">
        <v>367</v>
      </c>
      <c r="G902" s="153"/>
      <c r="H902" s="153"/>
      <c r="I902" s="153"/>
      <c r="J902" s="153">
        <v>1899</v>
      </c>
      <c r="K902" s="153">
        <v>12</v>
      </c>
    </row>
    <row r="903" spans="1:11" ht="13.5" customHeight="1" x14ac:dyDescent="0.15">
      <c r="A903" s="141"/>
      <c r="B903" s="165">
        <v>900</v>
      </c>
      <c r="C903" s="166"/>
      <c r="D903" s="153"/>
      <c r="E903" s="153" t="s">
        <v>367</v>
      </c>
      <c r="F903" s="153" t="s">
        <v>367</v>
      </c>
      <c r="G903" s="153"/>
      <c r="H903" s="153"/>
      <c r="I903" s="153"/>
      <c r="J903" s="153">
        <v>1899</v>
      </c>
      <c r="K903" s="153">
        <v>12</v>
      </c>
    </row>
    <row r="904" spans="1:11" ht="13.5" customHeight="1" x14ac:dyDescent="0.15">
      <c r="A904" s="141"/>
      <c r="B904" s="165">
        <v>901</v>
      </c>
      <c r="C904" s="166"/>
      <c r="D904" s="153"/>
      <c r="E904" s="153" t="s">
        <v>367</v>
      </c>
      <c r="F904" s="153" t="s">
        <v>367</v>
      </c>
      <c r="G904" s="153"/>
      <c r="H904" s="153"/>
      <c r="I904" s="153"/>
      <c r="J904" s="153">
        <v>1899</v>
      </c>
      <c r="K904" s="153">
        <v>12</v>
      </c>
    </row>
    <row r="905" spans="1:11" ht="13.5" customHeight="1" x14ac:dyDescent="0.15">
      <c r="A905" s="141"/>
      <c r="B905" s="165">
        <v>902</v>
      </c>
      <c r="C905" s="166"/>
      <c r="D905" s="153"/>
      <c r="E905" s="153" t="s">
        <v>367</v>
      </c>
      <c r="F905" s="153" t="s">
        <v>367</v>
      </c>
      <c r="G905" s="153"/>
      <c r="H905" s="153"/>
      <c r="I905" s="153"/>
      <c r="J905" s="153">
        <v>1899</v>
      </c>
      <c r="K905" s="153">
        <v>12</v>
      </c>
    </row>
    <row r="906" spans="1:11" ht="13.5" customHeight="1" x14ac:dyDescent="0.15">
      <c r="A906" s="141"/>
      <c r="B906" s="165">
        <v>903</v>
      </c>
      <c r="C906" s="166"/>
      <c r="D906" s="153"/>
      <c r="E906" s="153" t="s">
        <v>367</v>
      </c>
      <c r="F906" s="153" t="s">
        <v>367</v>
      </c>
      <c r="G906" s="153"/>
      <c r="H906" s="153"/>
      <c r="I906" s="153"/>
      <c r="J906" s="153">
        <v>1899</v>
      </c>
      <c r="K906" s="153">
        <v>12</v>
      </c>
    </row>
    <row r="907" spans="1:11" ht="13.5" customHeight="1" x14ac:dyDescent="0.15">
      <c r="A907" s="141"/>
      <c r="B907" s="165">
        <v>904</v>
      </c>
      <c r="C907" s="166"/>
      <c r="D907" s="153"/>
      <c r="E907" s="153" t="s">
        <v>367</v>
      </c>
      <c r="F907" s="153" t="s">
        <v>367</v>
      </c>
      <c r="G907" s="153"/>
      <c r="H907" s="153"/>
      <c r="I907" s="153"/>
      <c r="J907" s="153">
        <v>1899</v>
      </c>
      <c r="K907" s="153">
        <v>12</v>
      </c>
    </row>
    <row r="908" spans="1:11" ht="13.5" customHeight="1" x14ac:dyDescent="0.15">
      <c r="A908" s="141"/>
      <c r="B908" s="165">
        <v>905</v>
      </c>
      <c r="C908" s="166"/>
      <c r="D908" s="153"/>
      <c r="E908" s="153" t="s">
        <v>367</v>
      </c>
      <c r="F908" s="153" t="s">
        <v>367</v>
      </c>
      <c r="G908" s="153"/>
      <c r="H908" s="153"/>
      <c r="I908" s="153"/>
      <c r="J908" s="153">
        <v>1899</v>
      </c>
      <c r="K908" s="153">
        <v>12</v>
      </c>
    </row>
    <row r="909" spans="1:11" ht="13.5" customHeight="1" x14ac:dyDescent="0.15">
      <c r="A909" s="141"/>
      <c r="B909" s="165">
        <v>906</v>
      </c>
      <c r="C909" s="166"/>
      <c r="D909" s="153"/>
      <c r="E909" s="153" t="s">
        <v>367</v>
      </c>
      <c r="F909" s="153" t="s">
        <v>367</v>
      </c>
      <c r="G909" s="153"/>
      <c r="H909" s="153"/>
      <c r="I909" s="153"/>
      <c r="J909" s="153">
        <v>1899</v>
      </c>
      <c r="K909" s="153">
        <v>12</v>
      </c>
    </row>
    <row r="910" spans="1:11" ht="13.5" customHeight="1" x14ac:dyDescent="0.15">
      <c r="A910" s="141"/>
      <c r="B910" s="165">
        <v>907</v>
      </c>
      <c r="C910" s="166"/>
      <c r="D910" s="153"/>
      <c r="E910" s="153" t="s">
        <v>367</v>
      </c>
      <c r="F910" s="153" t="s">
        <v>367</v>
      </c>
      <c r="G910" s="153"/>
      <c r="H910" s="153"/>
      <c r="I910" s="153"/>
      <c r="J910" s="153">
        <v>1899</v>
      </c>
      <c r="K910" s="153">
        <v>12</v>
      </c>
    </row>
    <row r="911" spans="1:11" ht="13.5" customHeight="1" x14ac:dyDescent="0.15">
      <c r="A911" s="141"/>
      <c r="B911" s="165">
        <v>908</v>
      </c>
      <c r="C911" s="166"/>
      <c r="D911" s="153"/>
      <c r="E911" s="153" t="s">
        <v>367</v>
      </c>
      <c r="F911" s="153" t="s">
        <v>367</v>
      </c>
      <c r="G911" s="153"/>
      <c r="H911" s="153"/>
      <c r="I911" s="153"/>
      <c r="J911" s="153">
        <v>1899</v>
      </c>
      <c r="K911" s="153">
        <v>12</v>
      </c>
    </row>
    <row r="912" spans="1:11" ht="13.5" customHeight="1" x14ac:dyDescent="0.15">
      <c r="A912" s="141"/>
      <c r="B912" s="165">
        <v>909</v>
      </c>
      <c r="C912" s="166"/>
      <c r="D912" s="153"/>
      <c r="E912" s="153" t="s">
        <v>367</v>
      </c>
      <c r="F912" s="153" t="s">
        <v>367</v>
      </c>
      <c r="G912" s="153"/>
      <c r="H912" s="153"/>
      <c r="I912" s="153"/>
      <c r="J912" s="153">
        <v>1899</v>
      </c>
      <c r="K912" s="153">
        <v>12</v>
      </c>
    </row>
    <row r="913" spans="1:11" ht="13.5" customHeight="1" x14ac:dyDescent="0.15">
      <c r="A913" s="141"/>
      <c r="B913" s="165">
        <v>910</v>
      </c>
      <c r="C913" s="166"/>
      <c r="D913" s="153"/>
      <c r="E913" s="153" t="s">
        <v>367</v>
      </c>
      <c r="F913" s="153" t="s">
        <v>367</v>
      </c>
      <c r="G913" s="153"/>
      <c r="H913" s="153"/>
      <c r="I913" s="153"/>
      <c r="J913" s="153">
        <v>1899</v>
      </c>
      <c r="K913" s="153">
        <v>12</v>
      </c>
    </row>
    <row r="914" spans="1:11" ht="13.5" customHeight="1" x14ac:dyDescent="0.15">
      <c r="A914" s="141"/>
      <c r="B914" s="165">
        <v>911</v>
      </c>
      <c r="C914" s="166"/>
      <c r="D914" s="153"/>
      <c r="E914" s="153" t="s">
        <v>367</v>
      </c>
      <c r="F914" s="153" t="s">
        <v>367</v>
      </c>
      <c r="G914" s="153"/>
      <c r="H914" s="153"/>
      <c r="I914" s="153"/>
      <c r="J914" s="153">
        <v>1899</v>
      </c>
      <c r="K914" s="153">
        <v>12</v>
      </c>
    </row>
    <row r="915" spans="1:11" ht="13.5" customHeight="1" x14ac:dyDescent="0.15">
      <c r="A915" s="141"/>
      <c r="B915" s="165">
        <v>912</v>
      </c>
      <c r="C915" s="166"/>
      <c r="D915" s="153"/>
      <c r="E915" s="153" t="s">
        <v>367</v>
      </c>
      <c r="F915" s="153" t="s">
        <v>367</v>
      </c>
      <c r="G915" s="153"/>
      <c r="H915" s="153"/>
      <c r="I915" s="153"/>
      <c r="J915" s="153">
        <v>1899</v>
      </c>
      <c r="K915" s="153">
        <v>12</v>
      </c>
    </row>
    <row r="916" spans="1:11" ht="13.5" customHeight="1" x14ac:dyDescent="0.15">
      <c r="A916" s="141"/>
      <c r="B916" s="165">
        <v>913</v>
      </c>
      <c r="C916" s="166"/>
      <c r="D916" s="153"/>
      <c r="E916" s="153" t="s">
        <v>367</v>
      </c>
      <c r="F916" s="153" t="s">
        <v>367</v>
      </c>
      <c r="G916" s="153"/>
      <c r="H916" s="153"/>
      <c r="I916" s="153"/>
      <c r="J916" s="153">
        <v>1899</v>
      </c>
      <c r="K916" s="153">
        <v>12</v>
      </c>
    </row>
    <row r="917" spans="1:11" ht="13.5" customHeight="1" x14ac:dyDescent="0.15">
      <c r="A917" s="141"/>
      <c r="B917" s="165">
        <v>914</v>
      </c>
      <c r="C917" s="166"/>
      <c r="D917" s="153"/>
      <c r="E917" s="153" t="s">
        <v>367</v>
      </c>
      <c r="F917" s="153" t="s">
        <v>367</v>
      </c>
      <c r="G917" s="153"/>
      <c r="H917" s="153"/>
      <c r="I917" s="153"/>
      <c r="J917" s="153">
        <v>1899</v>
      </c>
      <c r="K917" s="153">
        <v>12</v>
      </c>
    </row>
    <row r="918" spans="1:11" ht="13.5" customHeight="1" x14ac:dyDescent="0.15">
      <c r="A918" s="141"/>
      <c r="B918" s="165">
        <v>915</v>
      </c>
      <c r="C918" s="166"/>
      <c r="D918" s="153"/>
      <c r="E918" s="153" t="s">
        <v>367</v>
      </c>
      <c r="F918" s="153" t="s">
        <v>367</v>
      </c>
      <c r="G918" s="153"/>
      <c r="H918" s="153"/>
      <c r="I918" s="153"/>
      <c r="J918" s="153">
        <v>1899</v>
      </c>
      <c r="K918" s="153">
        <v>12</v>
      </c>
    </row>
    <row r="919" spans="1:11" ht="13.5" customHeight="1" x14ac:dyDescent="0.15">
      <c r="A919" s="141"/>
      <c r="B919" s="165">
        <v>916</v>
      </c>
      <c r="C919" s="166"/>
      <c r="D919" s="153"/>
      <c r="E919" s="153" t="s">
        <v>367</v>
      </c>
      <c r="F919" s="153" t="s">
        <v>367</v>
      </c>
      <c r="G919" s="153"/>
      <c r="H919" s="153"/>
      <c r="I919" s="153"/>
      <c r="J919" s="153">
        <v>1899</v>
      </c>
      <c r="K919" s="153">
        <v>12</v>
      </c>
    </row>
    <row r="920" spans="1:11" ht="13.5" customHeight="1" x14ac:dyDescent="0.15">
      <c r="A920" s="141"/>
      <c r="B920" s="165">
        <v>917</v>
      </c>
      <c r="C920" s="166"/>
      <c r="D920" s="153"/>
      <c r="E920" s="153" t="s">
        <v>367</v>
      </c>
      <c r="F920" s="153" t="s">
        <v>367</v>
      </c>
      <c r="G920" s="153"/>
      <c r="H920" s="153"/>
      <c r="I920" s="153"/>
      <c r="J920" s="153">
        <v>1899</v>
      </c>
      <c r="K920" s="153">
        <v>12</v>
      </c>
    </row>
    <row r="921" spans="1:11" ht="13.5" customHeight="1" x14ac:dyDescent="0.15">
      <c r="A921" s="141"/>
      <c r="B921" s="165">
        <v>918</v>
      </c>
      <c r="C921" s="166"/>
      <c r="D921" s="153"/>
      <c r="E921" s="153" t="s">
        <v>367</v>
      </c>
      <c r="F921" s="153" t="s">
        <v>367</v>
      </c>
      <c r="G921" s="153"/>
      <c r="H921" s="153"/>
      <c r="I921" s="153"/>
      <c r="J921" s="153">
        <v>1899</v>
      </c>
      <c r="K921" s="153">
        <v>12</v>
      </c>
    </row>
    <row r="922" spans="1:11" ht="13.5" customHeight="1" x14ac:dyDescent="0.15">
      <c r="A922" s="141"/>
      <c r="B922" s="165">
        <v>919</v>
      </c>
      <c r="C922" s="166"/>
      <c r="D922" s="153"/>
      <c r="E922" s="153" t="s">
        <v>367</v>
      </c>
      <c r="F922" s="153" t="s">
        <v>367</v>
      </c>
      <c r="G922" s="153"/>
      <c r="H922" s="153"/>
      <c r="I922" s="153"/>
      <c r="J922" s="153">
        <v>1899</v>
      </c>
      <c r="K922" s="153">
        <v>12</v>
      </c>
    </row>
    <row r="923" spans="1:11" ht="13.5" customHeight="1" x14ac:dyDescent="0.15">
      <c r="A923" s="141"/>
      <c r="B923" s="165">
        <v>920</v>
      </c>
      <c r="C923" s="166"/>
      <c r="D923" s="153"/>
      <c r="E923" s="153" t="s">
        <v>367</v>
      </c>
      <c r="F923" s="153" t="s">
        <v>367</v>
      </c>
      <c r="G923" s="153"/>
      <c r="H923" s="153"/>
      <c r="I923" s="153"/>
      <c r="J923" s="153">
        <v>1899</v>
      </c>
      <c r="K923" s="153">
        <v>12</v>
      </c>
    </row>
    <row r="924" spans="1:11" ht="13.5" customHeight="1" x14ac:dyDescent="0.15">
      <c r="A924" s="141"/>
      <c r="B924" s="165">
        <v>921</v>
      </c>
      <c r="C924" s="166"/>
      <c r="D924" s="153"/>
      <c r="E924" s="153" t="s">
        <v>367</v>
      </c>
      <c r="F924" s="153" t="s">
        <v>367</v>
      </c>
      <c r="G924" s="153"/>
      <c r="H924" s="153"/>
      <c r="I924" s="153"/>
      <c r="J924" s="153">
        <v>1899</v>
      </c>
      <c r="K924" s="153">
        <v>12</v>
      </c>
    </row>
    <row r="925" spans="1:11" ht="13.5" customHeight="1" x14ac:dyDescent="0.15">
      <c r="A925" s="141"/>
      <c r="B925" s="165">
        <v>922</v>
      </c>
      <c r="C925" s="166"/>
      <c r="D925" s="153"/>
      <c r="E925" s="153" t="s">
        <v>367</v>
      </c>
      <c r="F925" s="153" t="s">
        <v>367</v>
      </c>
      <c r="G925" s="153"/>
      <c r="H925" s="153"/>
      <c r="I925" s="153"/>
      <c r="J925" s="153">
        <v>1899</v>
      </c>
      <c r="K925" s="153">
        <v>12</v>
      </c>
    </row>
    <row r="926" spans="1:11" ht="13.5" customHeight="1" x14ac:dyDescent="0.15">
      <c r="A926" s="141"/>
      <c r="B926" s="165">
        <v>923</v>
      </c>
      <c r="C926" s="166"/>
      <c r="D926" s="153"/>
      <c r="E926" s="153" t="s">
        <v>367</v>
      </c>
      <c r="F926" s="153" t="s">
        <v>367</v>
      </c>
      <c r="G926" s="153"/>
      <c r="H926" s="153"/>
      <c r="I926" s="153"/>
      <c r="J926" s="153">
        <v>1899</v>
      </c>
      <c r="K926" s="153">
        <v>12</v>
      </c>
    </row>
    <row r="927" spans="1:11" ht="13.5" customHeight="1" x14ac:dyDescent="0.15">
      <c r="A927" s="141"/>
      <c r="B927" s="165">
        <v>924</v>
      </c>
      <c r="C927" s="166"/>
      <c r="D927" s="153"/>
      <c r="E927" s="153" t="s">
        <v>367</v>
      </c>
      <c r="F927" s="153" t="s">
        <v>367</v>
      </c>
      <c r="G927" s="153"/>
      <c r="H927" s="153"/>
      <c r="I927" s="153"/>
      <c r="J927" s="153">
        <v>1899</v>
      </c>
      <c r="K927" s="153">
        <v>12</v>
      </c>
    </row>
    <row r="928" spans="1:11" ht="13.5" customHeight="1" x14ac:dyDescent="0.15">
      <c r="A928" s="141"/>
      <c r="B928" s="165">
        <v>925</v>
      </c>
      <c r="C928" s="166"/>
      <c r="D928" s="153"/>
      <c r="E928" s="153" t="s">
        <v>367</v>
      </c>
      <c r="F928" s="153" t="s">
        <v>367</v>
      </c>
      <c r="G928" s="153"/>
      <c r="H928" s="153"/>
      <c r="I928" s="153"/>
      <c r="J928" s="153">
        <v>1899</v>
      </c>
      <c r="K928" s="153">
        <v>12</v>
      </c>
    </row>
    <row r="929" spans="1:11" ht="13.5" customHeight="1" x14ac:dyDescent="0.15">
      <c r="A929" s="141"/>
      <c r="B929" s="165">
        <v>926</v>
      </c>
      <c r="C929" s="166"/>
      <c r="D929" s="153"/>
      <c r="E929" s="153" t="s">
        <v>367</v>
      </c>
      <c r="F929" s="153" t="s">
        <v>367</v>
      </c>
      <c r="G929" s="153"/>
      <c r="H929" s="153"/>
      <c r="I929" s="153"/>
      <c r="J929" s="153">
        <v>1899</v>
      </c>
      <c r="K929" s="153">
        <v>12</v>
      </c>
    </row>
    <row r="930" spans="1:11" ht="13.5" customHeight="1" x14ac:dyDescent="0.15">
      <c r="A930" s="141"/>
      <c r="B930" s="165">
        <v>927</v>
      </c>
      <c r="C930" s="166"/>
      <c r="D930" s="153"/>
      <c r="E930" s="153" t="s">
        <v>367</v>
      </c>
      <c r="F930" s="153" t="s">
        <v>367</v>
      </c>
      <c r="G930" s="153"/>
      <c r="H930" s="153"/>
      <c r="I930" s="153"/>
      <c r="J930" s="153">
        <v>1899</v>
      </c>
      <c r="K930" s="153">
        <v>12</v>
      </c>
    </row>
    <row r="931" spans="1:11" ht="13.5" customHeight="1" x14ac:dyDescent="0.15">
      <c r="A931" s="141"/>
      <c r="B931" s="165">
        <v>928</v>
      </c>
      <c r="C931" s="166"/>
      <c r="D931" s="153"/>
      <c r="E931" s="153" t="s">
        <v>367</v>
      </c>
      <c r="F931" s="153" t="s">
        <v>367</v>
      </c>
      <c r="G931" s="153"/>
      <c r="H931" s="153"/>
      <c r="I931" s="153"/>
      <c r="J931" s="153">
        <v>1899</v>
      </c>
      <c r="K931" s="153">
        <v>12</v>
      </c>
    </row>
    <row r="932" spans="1:11" ht="13.5" customHeight="1" x14ac:dyDescent="0.15">
      <c r="A932" s="141"/>
      <c r="B932" s="165">
        <v>929</v>
      </c>
      <c r="C932" s="166"/>
      <c r="D932" s="153"/>
      <c r="E932" s="153" t="s">
        <v>367</v>
      </c>
      <c r="F932" s="153" t="s">
        <v>367</v>
      </c>
      <c r="G932" s="153"/>
      <c r="H932" s="153"/>
      <c r="I932" s="153"/>
      <c r="J932" s="153">
        <v>1899</v>
      </c>
      <c r="K932" s="153">
        <v>12</v>
      </c>
    </row>
    <row r="933" spans="1:11" ht="13.5" customHeight="1" x14ac:dyDescent="0.15">
      <c r="A933" s="141"/>
      <c r="B933" s="165">
        <v>930</v>
      </c>
      <c r="C933" s="166"/>
      <c r="D933" s="153"/>
      <c r="E933" s="153" t="s">
        <v>367</v>
      </c>
      <c r="F933" s="153" t="s">
        <v>367</v>
      </c>
      <c r="G933" s="153"/>
      <c r="H933" s="153"/>
      <c r="I933" s="153"/>
      <c r="J933" s="153">
        <v>1899</v>
      </c>
      <c r="K933" s="153">
        <v>12</v>
      </c>
    </row>
    <row r="934" spans="1:11" ht="13.5" customHeight="1" x14ac:dyDescent="0.15">
      <c r="A934" s="141"/>
      <c r="B934" s="165">
        <v>931</v>
      </c>
      <c r="C934" s="166"/>
      <c r="D934" s="153"/>
      <c r="E934" s="153" t="s">
        <v>367</v>
      </c>
      <c r="F934" s="153" t="s">
        <v>367</v>
      </c>
      <c r="G934" s="153"/>
      <c r="H934" s="153"/>
      <c r="I934" s="153"/>
      <c r="J934" s="153">
        <v>1899</v>
      </c>
      <c r="K934" s="153">
        <v>12</v>
      </c>
    </row>
    <row r="935" spans="1:11" ht="13.5" customHeight="1" x14ac:dyDescent="0.15">
      <c r="A935" s="141"/>
      <c r="B935" s="165">
        <v>932</v>
      </c>
      <c r="C935" s="166"/>
      <c r="D935" s="153"/>
      <c r="E935" s="153" t="s">
        <v>367</v>
      </c>
      <c r="F935" s="153" t="s">
        <v>367</v>
      </c>
      <c r="G935" s="153"/>
      <c r="H935" s="153"/>
      <c r="I935" s="153"/>
      <c r="J935" s="153">
        <v>1899</v>
      </c>
      <c r="K935" s="153">
        <v>12</v>
      </c>
    </row>
    <row r="936" spans="1:11" ht="13.5" customHeight="1" x14ac:dyDescent="0.15">
      <c r="A936" s="141"/>
      <c r="B936" s="165">
        <v>933</v>
      </c>
      <c r="C936" s="166"/>
      <c r="D936" s="153"/>
      <c r="E936" s="153" t="s">
        <v>367</v>
      </c>
      <c r="F936" s="153" t="s">
        <v>367</v>
      </c>
      <c r="G936" s="153"/>
      <c r="H936" s="153"/>
      <c r="I936" s="153"/>
      <c r="J936" s="153">
        <v>1899</v>
      </c>
      <c r="K936" s="153">
        <v>12</v>
      </c>
    </row>
    <row r="937" spans="1:11" ht="13.5" customHeight="1" x14ac:dyDescent="0.15">
      <c r="A937" s="141"/>
      <c r="B937" s="165">
        <v>934</v>
      </c>
      <c r="C937" s="166"/>
      <c r="D937" s="153"/>
      <c r="E937" s="153" t="s">
        <v>367</v>
      </c>
      <c r="F937" s="153" t="s">
        <v>367</v>
      </c>
      <c r="G937" s="153"/>
      <c r="H937" s="153"/>
      <c r="I937" s="153"/>
      <c r="J937" s="153">
        <v>1899</v>
      </c>
      <c r="K937" s="153">
        <v>12</v>
      </c>
    </row>
    <row r="938" spans="1:11" ht="13.5" customHeight="1" x14ac:dyDescent="0.15">
      <c r="A938" s="141"/>
      <c r="B938" s="165">
        <v>935</v>
      </c>
      <c r="C938" s="166"/>
      <c r="D938" s="153"/>
      <c r="E938" s="153" t="s">
        <v>367</v>
      </c>
      <c r="F938" s="153" t="s">
        <v>367</v>
      </c>
      <c r="G938" s="153"/>
      <c r="H938" s="153"/>
      <c r="I938" s="153"/>
      <c r="J938" s="153">
        <v>1899</v>
      </c>
      <c r="K938" s="153">
        <v>12</v>
      </c>
    </row>
    <row r="939" spans="1:11" ht="13.5" customHeight="1" x14ac:dyDescent="0.15">
      <c r="A939" s="141"/>
      <c r="B939" s="165">
        <v>936</v>
      </c>
      <c r="C939" s="166"/>
      <c r="D939" s="153"/>
      <c r="E939" s="153" t="s">
        <v>367</v>
      </c>
      <c r="F939" s="153" t="s">
        <v>367</v>
      </c>
      <c r="G939" s="153"/>
      <c r="H939" s="153"/>
      <c r="I939" s="153"/>
      <c r="J939" s="153">
        <v>1899</v>
      </c>
      <c r="K939" s="153">
        <v>12</v>
      </c>
    </row>
    <row r="940" spans="1:11" ht="13.5" customHeight="1" x14ac:dyDescent="0.15">
      <c r="A940" s="141"/>
      <c r="B940" s="165">
        <v>937</v>
      </c>
      <c r="C940" s="166"/>
      <c r="D940" s="153"/>
      <c r="E940" s="153" t="s">
        <v>367</v>
      </c>
      <c r="F940" s="153" t="s">
        <v>367</v>
      </c>
      <c r="G940" s="153"/>
      <c r="H940" s="153"/>
      <c r="I940" s="153"/>
      <c r="J940" s="153">
        <v>1899</v>
      </c>
      <c r="K940" s="153">
        <v>12</v>
      </c>
    </row>
    <row r="941" spans="1:11" ht="13.5" customHeight="1" x14ac:dyDescent="0.15">
      <c r="A941" s="141"/>
      <c r="B941" s="165">
        <v>938</v>
      </c>
      <c r="C941" s="166"/>
      <c r="D941" s="153"/>
      <c r="E941" s="153" t="s">
        <v>367</v>
      </c>
      <c r="F941" s="153" t="s">
        <v>367</v>
      </c>
      <c r="G941" s="153"/>
      <c r="H941" s="153"/>
      <c r="I941" s="153"/>
      <c r="J941" s="153">
        <v>1899</v>
      </c>
      <c r="K941" s="153">
        <v>12</v>
      </c>
    </row>
    <row r="942" spans="1:11" ht="13.5" customHeight="1" x14ac:dyDescent="0.15">
      <c r="A942" s="141"/>
      <c r="B942" s="165">
        <v>939</v>
      </c>
      <c r="C942" s="166"/>
      <c r="D942" s="153"/>
      <c r="E942" s="153" t="s">
        <v>367</v>
      </c>
      <c r="F942" s="153" t="s">
        <v>367</v>
      </c>
      <c r="G942" s="153"/>
      <c r="H942" s="153"/>
      <c r="I942" s="153"/>
      <c r="J942" s="153">
        <v>1899</v>
      </c>
      <c r="K942" s="153">
        <v>12</v>
      </c>
    </row>
    <row r="943" spans="1:11" ht="13.5" customHeight="1" x14ac:dyDescent="0.15">
      <c r="A943" s="141"/>
      <c r="B943" s="165">
        <v>940</v>
      </c>
      <c r="C943" s="166"/>
      <c r="D943" s="153"/>
      <c r="E943" s="153" t="s">
        <v>367</v>
      </c>
      <c r="F943" s="153" t="s">
        <v>367</v>
      </c>
      <c r="G943" s="153"/>
      <c r="H943" s="153"/>
      <c r="I943" s="153"/>
      <c r="J943" s="153">
        <v>1899</v>
      </c>
      <c r="K943" s="153">
        <v>12</v>
      </c>
    </row>
    <row r="944" spans="1:11" ht="13.5" customHeight="1" x14ac:dyDescent="0.15">
      <c r="A944" s="141"/>
      <c r="B944" s="165">
        <v>941</v>
      </c>
      <c r="C944" s="166"/>
      <c r="D944" s="153"/>
      <c r="E944" s="153" t="s">
        <v>367</v>
      </c>
      <c r="F944" s="153" t="s">
        <v>367</v>
      </c>
      <c r="G944" s="153"/>
      <c r="H944" s="153"/>
      <c r="I944" s="153"/>
      <c r="J944" s="153">
        <v>1899</v>
      </c>
      <c r="K944" s="153">
        <v>12</v>
      </c>
    </row>
    <row r="945" spans="1:11" ht="13.5" customHeight="1" x14ac:dyDescent="0.15">
      <c r="A945" s="141"/>
      <c r="B945" s="165">
        <v>942</v>
      </c>
      <c r="C945" s="166"/>
      <c r="D945" s="153"/>
      <c r="E945" s="153" t="s">
        <v>367</v>
      </c>
      <c r="F945" s="153" t="s">
        <v>367</v>
      </c>
      <c r="G945" s="153"/>
      <c r="H945" s="153"/>
      <c r="I945" s="153"/>
      <c r="J945" s="153">
        <v>1899</v>
      </c>
      <c r="K945" s="153">
        <v>12</v>
      </c>
    </row>
    <row r="946" spans="1:11" ht="13.5" customHeight="1" x14ac:dyDescent="0.15">
      <c r="A946" s="141"/>
      <c r="B946" s="165">
        <v>943</v>
      </c>
      <c r="C946" s="166"/>
      <c r="D946" s="153"/>
      <c r="E946" s="153" t="s">
        <v>367</v>
      </c>
      <c r="F946" s="153" t="s">
        <v>367</v>
      </c>
      <c r="G946" s="153"/>
      <c r="H946" s="153"/>
      <c r="I946" s="153"/>
      <c r="J946" s="153">
        <v>1899</v>
      </c>
      <c r="K946" s="153">
        <v>12</v>
      </c>
    </row>
    <row r="947" spans="1:11" ht="13.5" customHeight="1" x14ac:dyDescent="0.15">
      <c r="A947" s="141"/>
      <c r="B947" s="165">
        <v>944</v>
      </c>
      <c r="C947" s="166"/>
      <c r="D947" s="153"/>
      <c r="E947" s="153" t="s">
        <v>367</v>
      </c>
      <c r="F947" s="153" t="s">
        <v>367</v>
      </c>
      <c r="G947" s="153"/>
      <c r="H947" s="153"/>
      <c r="I947" s="153"/>
      <c r="J947" s="153">
        <v>1899</v>
      </c>
      <c r="K947" s="153">
        <v>12</v>
      </c>
    </row>
    <row r="948" spans="1:11" ht="13.5" customHeight="1" x14ac:dyDescent="0.15">
      <c r="A948" s="141"/>
      <c r="B948" s="165">
        <v>945</v>
      </c>
      <c r="C948" s="166"/>
      <c r="D948" s="153"/>
      <c r="E948" s="153" t="s">
        <v>367</v>
      </c>
      <c r="F948" s="153" t="s">
        <v>367</v>
      </c>
      <c r="G948" s="153"/>
      <c r="H948" s="153"/>
      <c r="I948" s="153"/>
      <c r="J948" s="153">
        <v>1899</v>
      </c>
      <c r="K948" s="153">
        <v>12</v>
      </c>
    </row>
    <row r="949" spans="1:11" ht="13.5" customHeight="1" x14ac:dyDescent="0.15">
      <c r="A949" s="141"/>
      <c r="B949" s="165">
        <v>946</v>
      </c>
      <c r="C949" s="166"/>
      <c r="D949" s="153"/>
      <c r="E949" s="153" t="s">
        <v>367</v>
      </c>
      <c r="F949" s="153" t="s">
        <v>367</v>
      </c>
      <c r="G949" s="153"/>
      <c r="H949" s="153"/>
      <c r="I949" s="153"/>
      <c r="J949" s="153">
        <v>1899</v>
      </c>
      <c r="K949" s="153">
        <v>12</v>
      </c>
    </row>
    <row r="950" spans="1:11" ht="13.5" customHeight="1" x14ac:dyDescent="0.15">
      <c r="A950" s="141"/>
      <c r="B950" s="165">
        <v>947</v>
      </c>
      <c r="C950" s="166"/>
      <c r="D950" s="153"/>
      <c r="E950" s="153" t="s">
        <v>367</v>
      </c>
      <c r="F950" s="153" t="s">
        <v>367</v>
      </c>
      <c r="G950" s="153"/>
      <c r="H950" s="153"/>
      <c r="I950" s="153"/>
      <c r="J950" s="153">
        <v>1899</v>
      </c>
      <c r="K950" s="153">
        <v>12</v>
      </c>
    </row>
    <row r="951" spans="1:11" ht="13.5" customHeight="1" x14ac:dyDescent="0.15">
      <c r="A951" s="141"/>
      <c r="B951" s="165">
        <v>948</v>
      </c>
      <c r="C951" s="166"/>
      <c r="D951" s="153"/>
      <c r="E951" s="153" t="s">
        <v>367</v>
      </c>
      <c r="F951" s="153" t="s">
        <v>367</v>
      </c>
      <c r="G951" s="153"/>
      <c r="H951" s="153"/>
      <c r="I951" s="153"/>
      <c r="J951" s="153">
        <v>1899</v>
      </c>
      <c r="K951" s="153">
        <v>12</v>
      </c>
    </row>
    <row r="952" spans="1:11" ht="13.5" customHeight="1" x14ac:dyDescent="0.15">
      <c r="A952" s="141"/>
      <c r="B952" s="165">
        <v>949</v>
      </c>
      <c r="C952" s="166"/>
      <c r="D952" s="153"/>
      <c r="E952" s="153" t="s">
        <v>367</v>
      </c>
      <c r="F952" s="153" t="s">
        <v>367</v>
      </c>
      <c r="G952" s="153"/>
      <c r="H952" s="153"/>
      <c r="I952" s="153"/>
      <c r="J952" s="153">
        <v>1899</v>
      </c>
      <c r="K952" s="153">
        <v>12</v>
      </c>
    </row>
    <row r="953" spans="1:11" ht="13.5" customHeight="1" x14ac:dyDescent="0.15">
      <c r="A953" s="141"/>
      <c r="B953" s="165">
        <v>950</v>
      </c>
      <c r="C953" s="166"/>
      <c r="D953" s="153"/>
      <c r="E953" s="153" t="s">
        <v>367</v>
      </c>
      <c r="F953" s="153" t="s">
        <v>367</v>
      </c>
      <c r="G953" s="153"/>
      <c r="H953" s="153"/>
      <c r="I953" s="153"/>
      <c r="J953" s="153">
        <v>1899</v>
      </c>
      <c r="K953" s="153">
        <v>12</v>
      </c>
    </row>
    <row r="954" spans="1:11" ht="13.5" customHeight="1" x14ac:dyDescent="0.15">
      <c r="A954" s="141"/>
      <c r="B954" s="165">
        <v>951</v>
      </c>
      <c r="C954" s="166"/>
      <c r="D954" s="153"/>
      <c r="E954" s="153" t="s">
        <v>367</v>
      </c>
      <c r="F954" s="153" t="s">
        <v>367</v>
      </c>
      <c r="G954" s="153"/>
      <c r="H954" s="153"/>
      <c r="I954" s="153"/>
      <c r="J954" s="153">
        <v>1899</v>
      </c>
      <c r="K954" s="153">
        <v>12</v>
      </c>
    </row>
    <row r="955" spans="1:11" ht="13.5" customHeight="1" x14ac:dyDescent="0.15">
      <c r="A955" s="141"/>
      <c r="B955" s="165">
        <v>952</v>
      </c>
      <c r="C955" s="166"/>
      <c r="D955" s="153"/>
      <c r="E955" s="153" t="s">
        <v>367</v>
      </c>
      <c r="F955" s="153" t="s">
        <v>367</v>
      </c>
      <c r="G955" s="153"/>
      <c r="H955" s="153"/>
      <c r="I955" s="153"/>
      <c r="J955" s="153">
        <v>1899</v>
      </c>
      <c r="K955" s="153">
        <v>12</v>
      </c>
    </row>
    <row r="956" spans="1:11" ht="13.5" customHeight="1" x14ac:dyDescent="0.15">
      <c r="A956" s="141"/>
      <c r="B956" s="165">
        <v>953</v>
      </c>
      <c r="C956" s="166"/>
      <c r="D956" s="153"/>
      <c r="E956" s="153" t="s">
        <v>367</v>
      </c>
      <c r="F956" s="153" t="s">
        <v>367</v>
      </c>
      <c r="G956" s="153"/>
      <c r="H956" s="153"/>
      <c r="I956" s="153"/>
      <c r="J956" s="153">
        <v>1899</v>
      </c>
      <c r="K956" s="153">
        <v>12</v>
      </c>
    </row>
    <row r="957" spans="1:11" ht="13.5" customHeight="1" x14ac:dyDescent="0.15">
      <c r="A957" s="141"/>
      <c r="B957" s="165">
        <v>954</v>
      </c>
      <c r="C957" s="166"/>
      <c r="D957" s="153"/>
      <c r="E957" s="153" t="s">
        <v>367</v>
      </c>
      <c r="F957" s="153" t="s">
        <v>367</v>
      </c>
      <c r="G957" s="153"/>
      <c r="H957" s="153"/>
      <c r="I957" s="153"/>
      <c r="J957" s="153">
        <v>1899</v>
      </c>
      <c r="K957" s="153">
        <v>12</v>
      </c>
    </row>
    <row r="958" spans="1:11" ht="13.5" customHeight="1" x14ac:dyDescent="0.15">
      <c r="A958" s="141"/>
      <c r="B958" s="165">
        <v>955</v>
      </c>
      <c r="C958" s="166"/>
      <c r="D958" s="153"/>
      <c r="E958" s="153" t="s">
        <v>367</v>
      </c>
      <c r="F958" s="153" t="s">
        <v>367</v>
      </c>
      <c r="G958" s="153"/>
      <c r="H958" s="153"/>
      <c r="I958" s="153"/>
      <c r="J958" s="153">
        <v>1899</v>
      </c>
      <c r="K958" s="153">
        <v>12</v>
      </c>
    </row>
    <row r="959" spans="1:11" ht="13.5" customHeight="1" x14ac:dyDescent="0.15">
      <c r="A959" s="141"/>
      <c r="B959" s="165">
        <v>956</v>
      </c>
      <c r="C959" s="166"/>
      <c r="D959" s="153"/>
      <c r="E959" s="153" t="s">
        <v>367</v>
      </c>
      <c r="F959" s="153" t="s">
        <v>367</v>
      </c>
      <c r="G959" s="153"/>
      <c r="H959" s="153"/>
      <c r="I959" s="153"/>
      <c r="J959" s="153">
        <v>1899</v>
      </c>
      <c r="K959" s="153">
        <v>12</v>
      </c>
    </row>
    <row r="960" spans="1:11" ht="13.5" customHeight="1" x14ac:dyDescent="0.15">
      <c r="A960" s="141"/>
      <c r="B960" s="165">
        <v>957</v>
      </c>
      <c r="C960" s="166"/>
      <c r="D960" s="153"/>
      <c r="E960" s="153" t="s">
        <v>367</v>
      </c>
      <c r="F960" s="153" t="s">
        <v>367</v>
      </c>
      <c r="G960" s="153"/>
      <c r="H960" s="153"/>
      <c r="I960" s="153"/>
      <c r="J960" s="153">
        <v>1899</v>
      </c>
      <c r="K960" s="153">
        <v>12</v>
      </c>
    </row>
    <row r="961" spans="1:11" ht="13.5" customHeight="1" x14ac:dyDescent="0.15">
      <c r="A961" s="141"/>
      <c r="B961" s="165">
        <v>958</v>
      </c>
      <c r="C961" s="166"/>
      <c r="D961" s="153"/>
      <c r="E961" s="153" t="s">
        <v>367</v>
      </c>
      <c r="F961" s="153" t="s">
        <v>367</v>
      </c>
      <c r="G961" s="153"/>
      <c r="H961" s="153"/>
      <c r="I961" s="153"/>
      <c r="J961" s="153">
        <v>1899</v>
      </c>
      <c r="K961" s="153">
        <v>12</v>
      </c>
    </row>
    <row r="962" spans="1:11" ht="13.5" customHeight="1" x14ac:dyDescent="0.15">
      <c r="A962" s="141"/>
      <c r="B962" s="165">
        <v>959</v>
      </c>
      <c r="C962" s="166"/>
      <c r="D962" s="153"/>
      <c r="E962" s="153" t="s">
        <v>367</v>
      </c>
      <c r="F962" s="153" t="s">
        <v>367</v>
      </c>
      <c r="G962" s="153"/>
      <c r="H962" s="153"/>
      <c r="I962" s="153"/>
      <c r="J962" s="153">
        <v>1899</v>
      </c>
      <c r="K962" s="153">
        <v>12</v>
      </c>
    </row>
    <row r="963" spans="1:11" ht="13.5" customHeight="1" x14ac:dyDescent="0.15">
      <c r="A963" s="141"/>
      <c r="B963" s="165">
        <v>960</v>
      </c>
      <c r="C963" s="166"/>
      <c r="D963" s="153"/>
      <c r="E963" s="153" t="s">
        <v>367</v>
      </c>
      <c r="F963" s="153" t="s">
        <v>367</v>
      </c>
      <c r="G963" s="153"/>
      <c r="H963" s="153"/>
      <c r="I963" s="153"/>
      <c r="J963" s="153">
        <v>1899</v>
      </c>
      <c r="K963" s="153">
        <v>12</v>
      </c>
    </row>
    <row r="964" spans="1:11" ht="13.5" customHeight="1" x14ac:dyDescent="0.15">
      <c r="A964" s="141"/>
      <c r="B964" s="165">
        <v>961</v>
      </c>
      <c r="C964" s="166"/>
      <c r="D964" s="153"/>
      <c r="E964" s="153" t="s">
        <v>367</v>
      </c>
      <c r="F964" s="153" t="s">
        <v>367</v>
      </c>
      <c r="G964" s="153"/>
      <c r="H964" s="153"/>
      <c r="I964" s="153"/>
      <c r="J964" s="153">
        <v>1899</v>
      </c>
      <c r="K964" s="153">
        <v>12</v>
      </c>
    </row>
    <row r="965" spans="1:11" ht="13.5" customHeight="1" x14ac:dyDescent="0.15">
      <c r="A965" s="141"/>
      <c r="B965" s="165">
        <v>962</v>
      </c>
      <c r="C965" s="166"/>
      <c r="D965" s="153"/>
      <c r="E965" s="153" t="s">
        <v>367</v>
      </c>
      <c r="F965" s="153" t="s">
        <v>367</v>
      </c>
      <c r="G965" s="153"/>
      <c r="H965" s="153"/>
      <c r="I965" s="153"/>
      <c r="J965" s="153">
        <v>1899</v>
      </c>
      <c r="K965" s="153">
        <v>12</v>
      </c>
    </row>
    <row r="966" spans="1:11" ht="13.5" customHeight="1" x14ac:dyDescent="0.15">
      <c r="A966" s="141"/>
      <c r="B966" s="165">
        <v>963</v>
      </c>
      <c r="C966" s="166"/>
      <c r="D966" s="153"/>
      <c r="E966" s="153" t="s">
        <v>367</v>
      </c>
      <c r="F966" s="153" t="s">
        <v>367</v>
      </c>
      <c r="G966" s="153"/>
      <c r="H966" s="153"/>
      <c r="I966" s="153"/>
      <c r="J966" s="153">
        <v>1899</v>
      </c>
      <c r="K966" s="153">
        <v>12</v>
      </c>
    </row>
    <row r="967" spans="1:11" ht="13.5" customHeight="1" x14ac:dyDescent="0.15">
      <c r="A967" s="141"/>
      <c r="B967" s="165">
        <v>964</v>
      </c>
      <c r="C967" s="166"/>
      <c r="D967" s="153"/>
      <c r="E967" s="153" t="s">
        <v>367</v>
      </c>
      <c r="F967" s="153" t="s">
        <v>367</v>
      </c>
      <c r="G967" s="153"/>
      <c r="H967" s="153"/>
      <c r="I967" s="153"/>
      <c r="J967" s="153">
        <v>1899</v>
      </c>
      <c r="K967" s="153">
        <v>12</v>
      </c>
    </row>
    <row r="968" spans="1:11" ht="13.5" customHeight="1" x14ac:dyDescent="0.15">
      <c r="A968" s="141"/>
      <c r="B968" s="165">
        <v>965</v>
      </c>
      <c r="C968" s="166"/>
      <c r="D968" s="153"/>
      <c r="E968" s="153" t="s">
        <v>367</v>
      </c>
      <c r="F968" s="153" t="s">
        <v>367</v>
      </c>
      <c r="G968" s="153"/>
      <c r="H968" s="153"/>
      <c r="I968" s="153"/>
      <c r="J968" s="153">
        <v>1899</v>
      </c>
      <c r="K968" s="153">
        <v>12</v>
      </c>
    </row>
    <row r="969" spans="1:11" ht="13.5" customHeight="1" x14ac:dyDescent="0.15">
      <c r="A969" s="141"/>
      <c r="B969" s="165">
        <v>966</v>
      </c>
      <c r="C969" s="166"/>
      <c r="D969" s="153"/>
      <c r="E969" s="153" t="s">
        <v>367</v>
      </c>
      <c r="F969" s="153" t="s">
        <v>367</v>
      </c>
      <c r="G969" s="153"/>
      <c r="H969" s="153"/>
      <c r="I969" s="153"/>
      <c r="J969" s="153">
        <v>1899</v>
      </c>
      <c r="K969" s="153">
        <v>12</v>
      </c>
    </row>
    <row r="970" spans="1:11" ht="13.5" customHeight="1" x14ac:dyDescent="0.15">
      <c r="A970" s="141"/>
      <c r="B970" s="165">
        <v>967</v>
      </c>
      <c r="C970" s="166"/>
      <c r="D970" s="153"/>
      <c r="E970" s="153" t="s">
        <v>367</v>
      </c>
      <c r="F970" s="153" t="s">
        <v>367</v>
      </c>
      <c r="G970" s="153"/>
      <c r="H970" s="153"/>
      <c r="I970" s="153"/>
      <c r="J970" s="153">
        <v>1899</v>
      </c>
      <c r="K970" s="153">
        <v>12</v>
      </c>
    </row>
    <row r="971" spans="1:11" ht="13.5" customHeight="1" x14ac:dyDescent="0.15">
      <c r="A971" s="141"/>
      <c r="B971" s="165">
        <v>968</v>
      </c>
      <c r="C971" s="166"/>
      <c r="D971" s="153"/>
      <c r="E971" s="153" t="s">
        <v>367</v>
      </c>
      <c r="F971" s="153" t="s">
        <v>367</v>
      </c>
      <c r="G971" s="153"/>
      <c r="H971" s="153"/>
      <c r="I971" s="153"/>
      <c r="J971" s="153">
        <v>1899</v>
      </c>
      <c r="K971" s="153">
        <v>12</v>
      </c>
    </row>
    <row r="972" spans="1:11" ht="13.5" customHeight="1" x14ac:dyDescent="0.15">
      <c r="A972" s="141"/>
      <c r="B972" s="165">
        <v>969</v>
      </c>
      <c r="C972" s="166"/>
      <c r="D972" s="153"/>
      <c r="E972" s="153" t="s">
        <v>367</v>
      </c>
      <c r="F972" s="153" t="s">
        <v>367</v>
      </c>
      <c r="G972" s="153"/>
      <c r="H972" s="153"/>
      <c r="I972" s="153"/>
      <c r="J972" s="153">
        <v>1899</v>
      </c>
      <c r="K972" s="153">
        <v>12</v>
      </c>
    </row>
    <row r="973" spans="1:11" ht="13.5" customHeight="1" x14ac:dyDescent="0.15">
      <c r="A973" s="141"/>
      <c r="B973" s="165">
        <v>970</v>
      </c>
      <c r="C973" s="166"/>
      <c r="D973" s="153"/>
      <c r="E973" s="153" t="s">
        <v>367</v>
      </c>
      <c r="F973" s="153" t="s">
        <v>367</v>
      </c>
      <c r="G973" s="153"/>
      <c r="H973" s="153"/>
      <c r="I973" s="153"/>
      <c r="J973" s="153">
        <v>1899</v>
      </c>
      <c r="K973" s="153">
        <v>12</v>
      </c>
    </row>
    <row r="974" spans="1:11" ht="13.5" customHeight="1" x14ac:dyDescent="0.15">
      <c r="A974" s="141"/>
      <c r="B974" s="165">
        <v>971</v>
      </c>
      <c r="C974" s="166"/>
      <c r="D974" s="153"/>
      <c r="E974" s="153" t="s">
        <v>367</v>
      </c>
      <c r="F974" s="153" t="s">
        <v>367</v>
      </c>
      <c r="G974" s="153"/>
      <c r="H974" s="153"/>
      <c r="I974" s="153"/>
      <c r="J974" s="153">
        <v>1899</v>
      </c>
      <c r="K974" s="153">
        <v>12</v>
      </c>
    </row>
    <row r="975" spans="1:11" ht="13.5" customHeight="1" x14ac:dyDescent="0.15">
      <c r="A975" s="141"/>
      <c r="B975" s="165">
        <v>972</v>
      </c>
      <c r="C975" s="166"/>
      <c r="D975" s="153"/>
      <c r="E975" s="153" t="s">
        <v>367</v>
      </c>
      <c r="F975" s="153" t="s">
        <v>367</v>
      </c>
      <c r="G975" s="153"/>
      <c r="H975" s="153"/>
      <c r="I975" s="153"/>
      <c r="J975" s="153">
        <v>1899</v>
      </c>
      <c r="K975" s="153">
        <v>12</v>
      </c>
    </row>
    <row r="976" spans="1:11" ht="13.5" customHeight="1" x14ac:dyDescent="0.15">
      <c r="A976" s="141"/>
      <c r="B976" s="165">
        <v>973</v>
      </c>
      <c r="C976" s="166"/>
      <c r="D976" s="153"/>
      <c r="E976" s="153" t="s">
        <v>367</v>
      </c>
      <c r="F976" s="153" t="s">
        <v>367</v>
      </c>
      <c r="G976" s="153"/>
      <c r="H976" s="153"/>
      <c r="I976" s="153"/>
      <c r="J976" s="153">
        <v>1899</v>
      </c>
      <c r="K976" s="153">
        <v>12</v>
      </c>
    </row>
    <row r="977" spans="1:11" ht="13.5" customHeight="1" x14ac:dyDescent="0.15">
      <c r="A977" s="141"/>
      <c r="B977" s="165">
        <v>974</v>
      </c>
      <c r="C977" s="166"/>
      <c r="D977" s="153"/>
      <c r="E977" s="153" t="s">
        <v>367</v>
      </c>
      <c r="F977" s="153" t="s">
        <v>367</v>
      </c>
      <c r="G977" s="153"/>
      <c r="H977" s="153"/>
      <c r="I977" s="153"/>
      <c r="J977" s="153">
        <v>1899</v>
      </c>
      <c r="K977" s="153">
        <v>12</v>
      </c>
    </row>
    <row r="978" spans="1:11" ht="13.5" customHeight="1" x14ac:dyDescent="0.15">
      <c r="A978" s="141"/>
      <c r="B978" s="165">
        <v>975</v>
      </c>
      <c r="C978" s="166"/>
      <c r="D978" s="153"/>
      <c r="E978" s="153" t="s">
        <v>367</v>
      </c>
      <c r="F978" s="153" t="s">
        <v>367</v>
      </c>
      <c r="G978" s="153"/>
      <c r="H978" s="153"/>
      <c r="I978" s="153"/>
      <c r="J978" s="153">
        <v>1899</v>
      </c>
      <c r="K978" s="153">
        <v>12</v>
      </c>
    </row>
    <row r="979" spans="1:11" ht="13.5" customHeight="1" x14ac:dyDescent="0.15">
      <c r="A979" s="141"/>
      <c r="B979" s="165">
        <v>976</v>
      </c>
      <c r="C979" s="166"/>
      <c r="D979" s="153"/>
      <c r="E979" s="153" t="s">
        <v>367</v>
      </c>
      <c r="F979" s="153" t="s">
        <v>367</v>
      </c>
      <c r="G979" s="153"/>
      <c r="H979" s="153"/>
      <c r="I979" s="153"/>
      <c r="J979" s="153">
        <v>1899</v>
      </c>
      <c r="K979" s="153">
        <v>12</v>
      </c>
    </row>
    <row r="980" spans="1:11" ht="13.5" customHeight="1" x14ac:dyDescent="0.15">
      <c r="A980" s="141"/>
      <c r="B980" s="165">
        <v>977</v>
      </c>
      <c r="C980" s="166"/>
      <c r="D980" s="153"/>
      <c r="E980" s="153" t="s">
        <v>367</v>
      </c>
      <c r="F980" s="153" t="s">
        <v>367</v>
      </c>
      <c r="G980" s="153"/>
      <c r="H980" s="153"/>
      <c r="I980" s="153"/>
      <c r="J980" s="153">
        <v>1899</v>
      </c>
      <c r="K980" s="153">
        <v>12</v>
      </c>
    </row>
    <row r="981" spans="1:11" ht="13.5" customHeight="1" x14ac:dyDescent="0.15">
      <c r="A981" s="141"/>
      <c r="B981" s="165">
        <v>978</v>
      </c>
      <c r="C981" s="166"/>
      <c r="D981" s="153"/>
      <c r="E981" s="153" t="s">
        <v>367</v>
      </c>
      <c r="F981" s="153" t="s">
        <v>367</v>
      </c>
      <c r="G981" s="153"/>
      <c r="H981" s="153"/>
      <c r="I981" s="153"/>
      <c r="J981" s="153">
        <v>1899</v>
      </c>
      <c r="K981" s="153">
        <v>12</v>
      </c>
    </row>
    <row r="982" spans="1:11" ht="13.5" customHeight="1" x14ac:dyDescent="0.15">
      <c r="A982" s="141"/>
      <c r="B982" s="165">
        <v>979</v>
      </c>
      <c r="C982" s="166"/>
      <c r="D982" s="153"/>
      <c r="E982" s="153" t="s">
        <v>367</v>
      </c>
      <c r="F982" s="153" t="s">
        <v>367</v>
      </c>
      <c r="G982" s="153"/>
      <c r="H982" s="153"/>
      <c r="I982" s="153"/>
      <c r="J982" s="153">
        <v>1899</v>
      </c>
      <c r="K982" s="153">
        <v>12</v>
      </c>
    </row>
    <row r="983" spans="1:11" ht="13.5" customHeight="1" x14ac:dyDescent="0.15">
      <c r="A983" s="141"/>
      <c r="B983" s="165">
        <v>980</v>
      </c>
      <c r="C983" s="166"/>
      <c r="D983" s="153"/>
      <c r="E983" s="153" t="s">
        <v>367</v>
      </c>
      <c r="F983" s="153" t="s">
        <v>367</v>
      </c>
      <c r="G983" s="153"/>
      <c r="H983" s="153"/>
      <c r="I983" s="153"/>
      <c r="J983" s="153">
        <v>1899</v>
      </c>
      <c r="K983" s="153">
        <v>12</v>
      </c>
    </row>
    <row r="984" spans="1:11" ht="13.5" customHeight="1" x14ac:dyDescent="0.15">
      <c r="A984" s="141"/>
      <c r="B984" s="165">
        <v>981</v>
      </c>
      <c r="C984" s="166"/>
      <c r="D984" s="153"/>
      <c r="E984" s="153" t="s">
        <v>367</v>
      </c>
      <c r="F984" s="153" t="s">
        <v>367</v>
      </c>
      <c r="G984" s="153"/>
      <c r="H984" s="153"/>
      <c r="I984" s="153"/>
      <c r="J984" s="153">
        <v>1899</v>
      </c>
      <c r="K984" s="153">
        <v>12</v>
      </c>
    </row>
    <row r="985" spans="1:11" ht="13.5" customHeight="1" x14ac:dyDescent="0.15">
      <c r="A985" s="141"/>
      <c r="B985" s="165">
        <v>982</v>
      </c>
      <c r="C985" s="166"/>
      <c r="D985" s="153"/>
      <c r="E985" s="153" t="s">
        <v>367</v>
      </c>
      <c r="F985" s="153" t="s">
        <v>367</v>
      </c>
      <c r="G985" s="153"/>
      <c r="H985" s="153"/>
      <c r="I985" s="153"/>
      <c r="J985" s="153">
        <v>1899</v>
      </c>
      <c r="K985" s="153">
        <v>12</v>
      </c>
    </row>
    <row r="986" spans="1:11" ht="13.5" customHeight="1" x14ac:dyDescent="0.15">
      <c r="A986" s="141"/>
      <c r="B986" s="165">
        <v>983</v>
      </c>
      <c r="C986" s="166"/>
      <c r="D986" s="153"/>
      <c r="E986" s="153" t="s">
        <v>367</v>
      </c>
      <c r="F986" s="153" t="s">
        <v>367</v>
      </c>
      <c r="G986" s="153"/>
      <c r="H986" s="153"/>
      <c r="I986" s="153"/>
      <c r="J986" s="153">
        <v>1899</v>
      </c>
      <c r="K986" s="153">
        <v>12</v>
      </c>
    </row>
    <row r="987" spans="1:11" ht="13.5" customHeight="1" x14ac:dyDescent="0.15">
      <c r="A987" s="141"/>
      <c r="B987" s="165">
        <v>984</v>
      </c>
      <c r="C987" s="166"/>
      <c r="D987" s="153"/>
      <c r="E987" s="153" t="s">
        <v>367</v>
      </c>
      <c r="F987" s="153" t="s">
        <v>367</v>
      </c>
      <c r="G987" s="153"/>
      <c r="H987" s="153"/>
      <c r="I987" s="153"/>
      <c r="J987" s="153">
        <v>1899</v>
      </c>
      <c r="K987" s="153">
        <v>12</v>
      </c>
    </row>
    <row r="988" spans="1:11" ht="13.5" customHeight="1" x14ac:dyDescent="0.15">
      <c r="A988" s="141"/>
      <c r="B988" s="165">
        <v>985</v>
      </c>
      <c r="C988" s="166"/>
      <c r="D988" s="153"/>
      <c r="E988" s="153" t="s">
        <v>367</v>
      </c>
      <c r="F988" s="153" t="s">
        <v>367</v>
      </c>
      <c r="G988" s="153"/>
      <c r="H988" s="153"/>
      <c r="I988" s="153"/>
      <c r="J988" s="153">
        <v>1899</v>
      </c>
      <c r="K988" s="153">
        <v>12</v>
      </c>
    </row>
    <row r="989" spans="1:11" ht="13.5" customHeight="1" x14ac:dyDescent="0.15">
      <c r="A989" s="141"/>
      <c r="B989" s="165">
        <v>986</v>
      </c>
      <c r="C989" s="166"/>
      <c r="D989" s="153"/>
      <c r="E989" s="153" t="s">
        <v>367</v>
      </c>
      <c r="F989" s="153" t="s">
        <v>367</v>
      </c>
      <c r="G989" s="153"/>
      <c r="H989" s="153"/>
      <c r="I989" s="153"/>
      <c r="J989" s="153">
        <v>1899</v>
      </c>
      <c r="K989" s="153">
        <v>12</v>
      </c>
    </row>
    <row r="990" spans="1:11" ht="13.5" customHeight="1" x14ac:dyDescent="0.15">
      <c r="A990" s="141"/>
      <c r="B990" s="165">
        <v>987</v>
      </c>
      <c r="C990" s="166"/>
      <c r="D990" s="153"/>
      <c r="E990" s="153" t="s">
        <v>367</v>
      </c>
      <c r="F990" s="153" t="s">
        <v>367</v>
      </c>
      <c r="G990" s="153"/>
      <c r="H990" s="153"/>
      <c r="I990" s="153"/>
      <c r="J990" s="153">
        <v>1899</v>
      </c>
      <c r="K990" s="153">
        <v>12</v>
      </c>
    </row>
    <row r="991" spans="1:11" ht="13.5" customHeight="1" x14ac:dyDescent="0.15">
      <c r="A991" s="141"/>
      <c r="B991" s="165">
        <v>988</v>
      </c>
      <c r="C991" s="166"/>
      <c r="D991" s="153"/>
      <c r="E991" s="153" t="s">
        <v>367</v>
      </c>
      <c r="F991" s="153" t="s">
        <v>367</v>
      </c>
      <c r="G991" s="153"/>
      <c r="H991" s="153"/>
      <c r="I991" s="153"/>
      <c r="J991" s="153">
        <v>1899</v>
      </c>
      <c r="K991" s="153">
        <v>12</v>
      </c>
    </row>
    <row r="992" spans="1:11" ht="13.5" customHeight="1" x14ac:dyDescent="0.15">
      <c r="A992" s="141"/>
      <c r="B992" s="165">
        <v>989</v>
      </c>
      <c r="C992" s="166"/>
      <c r="D992" s="153"/>
      <c r="E992" s="153" t="s">
        <v>367</v>
      </c>
      <c r="F992" s="153" t="s">
        <v>367</v>
      </c>
      <c r="G992" s="153"/>
      <c r="H992" s="153"/>
      <c r="I992" s="153"/>
      <c r="J992" s="153">
        <v>1899</v>
      </c>
      <c r="K992" s="153">
        <v>12</v>
      </c>
    </row>
    <row r="993" spans="1:11" ht="13.5" customHeight="1" x14ac:dyDescent="0.15">
      <c r="A993" s="141"/>
      <c r="B993" s="165">
        <v>990</v>
      </c>
      <c r="C993" s="166"/>
      <c r="D993" s="153"/>
      <c r="E993" s="153" t="s">
        <v>367</v>
      </c>
      <c r="F993" s="153" t="s">
        <v>367</v>
      </c>
      <c r="G993" s="153"/>
      <c r="H993" s="153"/>
      <c r="I993" s="153"/>
      <c r="J993" s="153">
        <v>1899</v>
      </c>
      <c r="K993" s="153">
        <v>12</v>
      </c>
    </row>
    <row r="994" spans="1:11" ht="13.5" customHeight="1" x14ac:dyDescent="0.15">
      <c r="A994" s="141"/>
      <c r="B994" s="165">
        <v>991</v>
      </c>
      <c r="C994" s="166"/>
      <c r="D994" s="153"/>
      <c r="E994" s="153" t="s">
        <v>367</v>
      </c>
      <c r="F994" s="153" t="s">
        <v>367</v>
      </c>
      <c r="G994" s="153"/>
      <c r="H994" s="153"/>
      <c r="I994" s="153"/>
      <c r="J994" s="153">
        <v>1899</v>
      </c>
      <c r="K994" s="153">
        <v>12</v>
      </c>
    </row>
    <row r="995" spans="1:11" ht="13.5" customHeight="1" x14ac:dyDescent="0.15">
      <c r="A995" s="141"/>
      <c r="B995" s="165">
        <v>992</v>
      </c>
      <c r="C995" s="166"/>
      <c r="D995" s="153"/>
      <c r="E995" s="153" t="s">
        <v>367</v>
      </c>
      <c r="F995" s="153" t="s">
        <v>367</v>
      </c>
      <c r="G995" s="153"/>
      <c r="H995" s="153"/>
      <c r="I995" s="153"/>
      <c r="J995" s="153">
        <v>1899</v>
      </c>
      <c r="K995" s="153">
        <v>12</v>
      </c>
    </row>
    <row r="996" spans="1:11" ht="13.5" customHeight="1" x14ac:dyDescent="0.15">
      <c r="A996" s="141"/>
      <c r="B996" s="165">
        <v>993</v>
      </c>
      <c r="C996" s="166"/>
      <c r="D996" s="153"/>
      <c r="E996" s="153" t="s">
        <v>367</v>
      </c>
      <c r="F996" s="153" t="s">
        <v>367</v>
      </c>
      <c r="G996" s="153"/>
      <c r="H996" s="153"/>
      <c r="I996" s="153"/>
      <c r="J996" s="153">
        <v>1899</v>
      </c>
      <c r="K996" s="153">
        <v>12</v>
      </c>
    </row>
    <row r="997" spans="1:11" ht="13.5" customHeight="1" x14ac:dyDescent="0.15">
      <c r="A997" s="141"/>
      <c r="B997" s="165">
        <v>994</v>
      </c>
      <c r="C997" s="166"/>
      <c r="D997" s="153"/>
      <c r="E997" s="153" t="s">
        <v>367</v>
      </c>
      <c r="F997" s="153" t="s">
        <v>367</v>
      </c>
      <c r="G997" s="153"/>
      <c r="H997" s="153"/>
      <c r="I997" s="153"/>
      <c r="J997" s="153">
        <v>1899</v>
      </c>
      <c r="K997" s="153">
        <v>12</v>
      </c>
    </row>
    <row r="998" spans="1:11" ht="13.5" customHeight="1" x14ac:dyDescent="0.15">
      <c r="A998" s="141"/>
      <c r="B998" s="165">
        <v>995</v>
      </c>
      <c r="C998" s="166"/>
      <c r="D998" s="153"/>
      <c r="E998" s="153" t="s">
        <v>367</v>
      </c>
      <c r="F998" s="153" t="s">
        <v>367</v>
      </c>
      <c r="G998" s="153"/>
      <c r="H998" s="153"/>
      <c r="I998" s="153"/>
      <c r="J998" s="153">
        <v>1899</v>
      </c>
      <c r="K998" s="153">
        <v>12</v>
      </c>
    </row>
    <row r="999" spans="1:11" ht="13.5" customHeight="1" x14ac:dyDescent="0.15">
      <c r="A999" s="141"/>
      <c r="B999" s="165">
        <v>996</v>
      </c>
      <c r="C999" s="166"/>
      <c r="D999" s="153"/>
      <c r="E999" s="153" t="s">
        <v>367</v>
      </c>
      <c r="F999" s="153" t="s">
        <v>367</v>
      </c>
      <c r="G999" s="153"/>
      <c r="H999" s="153"/>
      <c r="I999" s="153"/>
      <c r="J999" s="153">
        <v>1899</v>
      </c>
      <c r="K999" s="153">
        <v>12</v>
      </c>
    </row>
    <row r="1000" spans="1:11" ht="13.5" customHeight="1" x14ac:dyDescent="0.15">
      <c r="A1000" s="141"/>
      <c r="B1000" s="165">
        <v>997</v>
      </c>
      <c r="C1000" s="166"/>
      <c r="D1000" s="153"/>
      <c r="E1000" s="153" t="s">
        <v>367</v>
      </c>
      <c r="F1000" s="153" t="s">
        <v>367</v>
      </c>
      <c r="G1000" s="153"/>
      <c r="H1000" s="153"/>
      <c r="I1000" s="153"/>
      <c r="J1000" s="153">
        <v>1899</v>
      </c>
      <c r="K1000" s="153">
        <v>12</v>
      </c>
    </row>
    <row r="1001" spans="1:11" ht="13.5" customHeight="1" x14ac:dyDescent="0.15">
      <c r="A1001" s="141"/>
      <c r="B1001" s="165">
        <v>998</v>
      </c>
      <c r="C1001" s="166"/>
      <c r="D1001" s="153"/>
      <c r="E1001" s="153" t="s">
        <v>367</v>
      </c>
      <c r="F1001" s="153" t="s">
        <v>367</v>
      </c>
      <c r="G1001" s="153"/>
      <c r="H1001" s="153"/>
      <c r="I1001" s="153"/>
      <c r="J1001" s="153">
        <v>1899</v>
      </c>
      <c r="K1001" s="153">
        <v>12</v>
      </c>
    </row>
    <row r="1002" spans="1:11" ht="13.5" customHeight="1" x14ac:dyDescent="0.15">
      <c r="A1002" s="141"/>
      <c r="B1002" s="165">
        <v>999</v>
      </c>
      <c r="C1002" s="166"/>
      <c r="D1002" s="153"/>
      <c r="E1002" s="153" t="s">
        <v>367</v>
      </c>
      <c r="F1002" s="153" t="s">
        <v>367</v>
      </c>
      <c r="G1002" s="153"/>
      <c r="H1002" s="153"/>
      <c r="I1002" s="153"/>
      <c r="J1002" s="153">
        <v>1899</v>
      </c>
      <c r="K1002" s="153">
        <v>12</v>
      </c>
    </row>
    <row r="1003" spans="1:11" ht="13.5" customHeight="1" x14ac:dyDescent="0.15">
      <c r="A1003" s="141"/>
      <c r="B1003" s="165">
        <v>1000</v>
      </c>
      <c r="C1003" s="166"/>
      <c r="D1003" s="153"/>
      <c r="E1003" s="153" t="s">
        <v>367</v>
      </c>
      <c r="F1003" s="153" t="s">
        <v>367</v>
      </c>
      <c r="G1003" s="153"/>
      <c r="H1003" s="153"/>
      <c r="I1003" s="153"/>
      <c r="J1003" s="153">
        <v>1899</v>
      </c>
      <c r="K1003" s="153">
        <v>12</v>
      </c>
    </row>
    <row r="1004" spans="1:11" ht="13.5" customHeight="1" x14ac:dyDescent="0.15">
      <c r="A1004" s="141"/>
      <c r="B1004" s="210" t="s">
        <v>387</v>
      </c>
      <c r="C1004" s="211"/>
      <c r="D1004" s="211"/>
      <c r="E1004" s="211"/>
      <c r="F1004" s="211"/>
      <c r="G1004" s="211"/>
      <c r="H1004" s="211"/>
      <c r="I1004" s="211"/>
      <c r="J1004" s="211"/>
      <c r="K1004" s="212"/>
    </row>
    <row r="1005" spans="1:11" ht="13.5" customHeight="1" x14ac:dyDescent="0.15">
      <c r="A1005" s="141"/>
      <c r="B1005" s="142"/>
      <c r="C1005" s="156"/>
      <c r="D1005" s="143"/>
      <c r="E1005" s="143"/>
      <c r="F1005" s="143"/>
      <c r="G1005" s="143"/>
      <c r="H1005" s="143"/>
      <c r="I1005" s="143"/>
      <c r="J1005" s="141"/>
      <c r="K1005" s="141"/>
    </row>
  </sheetData>
  <mergeCells count="1">
    <mergeCell ref="B1004:K1004"/>
  </mergeCells>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00000000-0004-0000-0800-000000000000}"/>
    <hyperlink ref="E2" location="'當前庫存'!D2" display="當前庫存" xr:uid="{00000000-0004-0000-0800-000001000000}"/>
    <hyperlink ref="F2" location="'期初庫存'!F2" display="期初庫存" xr:uid="{00000000-0004-0000-0800-000002000000}"/>
  </hyperlinks>
  <pageMargins left="0.7" right="0.7" top="0.75" bottom="0.75" header="0" footer="0"/>
  <pageSetup paperSize="9" fitToWidth="0" fitToHeight="0"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烤漆色號編碼!$A$2:$A$27</xm:f>
          </x14:formula1>
          <xm:sqref>D30:D47</xm:sqref>
        </x14:dataValidation>
        <x14:dataValidation type="list" allowBlank="1" showErrorMessage="1" xr:uid="{00000000-0002-0000-0800-000001000000}">
          <x14:formula1>
            <xm:f>烤漆色號編碼!$A$2:$A$45</xm:f>
          </x14:formula1>
          <xm:sqref>D4:D29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5"/>
  <sheetViews>
    <sheetView workbookViewId="0"/>
  </sheetViews>
  <sheetFormatPr defaultColWidth="13.97265625" defaultRowHeight="15" customHeight="1" x14ac:dyDescent="0.15"/>
  <cols>
    <col min="1" max="1" width="1.71484375" customWidth="1"/>
    <col min="2" max="2" width="3.4296875" customWidth="1"/>
    <col min="3" max="3" width="9.31640625" customWidth="1"/>
    <col min="4" max="4" width="12.50390625" customWidth="1"/>
    <col min="5" max="5" width="9.4375" customWidth="1"/>
    <col min="6" max="6" width="10.05078125" customWidth="1"/>
    <col min="7" max="8" width="9.19140625" customWidth="1"/>
    <col min="9" max="11" width="10.05078125" customWidth="1"/>
  </cols>
  <sheetData>
    <row r="1" spans="1:11" ht="8.25" customHeight="1" x14ac:dyDescent="0.15">
      <c r="A1" s="141"/>
      <c r="B1" s="142"/>
      <c r="C1" s="156"/>
      <c r="D1" s="143"/>
      <c r="E1" s="143"/>
      <c r="F1" s="143"/>
      <c r="G1" s="143"/>
      <c r="H1" s="143"/>
      <c r="I1" s="143"/>
      <c r="J1" s="141"/>
      <c r="K1" s="141"/>
    </row>
    <row r="2" spans="1:11" ht="13.5" customHeight="1" x14ac:dyDescent="0.15">
      <c r="A2" s="141"/>
      <c r="B2" s="157"/>
      <c r="C2" s="157"/>
      <c r="D2" s="108" t="s">
        <v>357</v>
      </c>
      <c r="E2" s="108" t="s">
        <v>358</v>
      </c>
      <c r="F2" s="108" t="s">
        <v>359</v>
      </c>
      <c r="G2" s="109" t="s">
        <v>388</v>
      </c>
      <c r="H2" s="157"/>
      <c r="I2" s="157"/>
      <c r="J2" s="157"/>
      <c r="K2" s="157"/>
    </row>
    <row r="3" spans="1:11" ht="13.5" customHeight="1" x14ac:dyDescent="0.15">
      <c r="A3" s="141"/>
      <c r="B3" s="148" t="s">
        <v>361</v>
      </c>
      <c r="C3" s="158" t="s">
        <v>382</v>
      </c>
      <c r="D3" s="116" t="s">
        <v>23</v>
      </c>
      <c r="E3" s="116" t="s">
        <v>362</v>
      </c>
      <c r="F3" s="116" t="s">
        <v>17</v>
      </c>
      <c r="G3" s="146" t="s">
        <v>383</v>
      </c>
      <c r="H3" s="146" t="s">
        <v>324</v>
      </c>
      <c r="I3" s="146" t="s">
        <v>384</v>
      </c>
      <c r="J3" s="146" t="s">
        <v>385</v>
      </c>
      <c r="K3" s="148" t="s">
        <v>386</v>
      </c>
    </row>
    <row r="4" spans="1:11" ht="13.5" customHeight="1" x14ac:dyDescent="0.15">
      <c r="A4" s="141"/>
      <c r="B4" s="149">
        <v>1</v>
      </c>
      <c r="C4" s="79"/>
      <c r="D4" s="55"/>
      <c r="E4" s="55" t="str">
        <f>IFERROR(VLOOKUP($D4,烤漆色號編碼!$A:$C,3,FALSE),"-")</f>
        <v>-</v>
      </c>
      <c r="F4" s="55" t="str">
        <f>IFERROR(VLOOKUP($D4,烤漆色號編碼!$A:$C,2,FALSE),"-")</f>
        <v>-</v>
      </c>
      <c r="G4" s="55"/>
      <c r="H4" s="55"/>
      <c r="I4" s="55" t="str">
        <f>IFERROR(VLOOKUP($D4,烤漆色號編碼!$A:$D,4,FALSE)*G4+H4,"-")</f>
        <v>-</v>
      </c>
      <c r="J4" s="55">
        <v>2025</v>
      </c>
      <c r="K4" s="159">
        <v>12</v>
      </c>
    </row>
    <row r="5" spans="1:11" ht="13.5" customHeight="1" x14ac:dyDescent="0.15">
      <c r="A5" s="141"/>
      <c r="B5" s="149">
        <v>2</v>
      </c>
      <c r="C5" s="79"/>
      <c r="D5" s="55"/>
      <c r="E5" s="55" t="str">
        <f>IFERROR(VLOOKUP($D5,烤漆色號編碼!$A:$C,3,FALSE),"-")</f>
        <v>-</v>
      </c>
      <c r="F5" s="55" t="str">
        <f>IFERROR(VLOOKUP($D5,烤漆色號編碼!$A:$C,2,FALSE),"-")</f>
        <v>-</v>
      </c>
      <c r="G5" s="55"/>
      <c r="H5" s="55"/>
      <c r="I5" s="55" t="str">
        <f>IFERROR(VLOOKUP($D5,烤漆色號編碼!$A:$D,4,FALSE)*G5+H5,"-")</f>
        <v>-</v>
      </c>
      <c r="J5" s="55">
        <v>2025</v>
      </c>
      <c r="K5" s="160">
        <v>12</v>
      </c>
    </row>
    <row r="6" spans="1:11" ht="13.5" customHeight="1" x14ac:dyDescent="0.15">
      <c r="A6" s="141"/>
      <c r="B6" s="149">
        <v>3</v>
      </c>
      <c r="C6" s="79"/>
      <c r="D6" s="55"/>
      <c r="E6" s="55" t="str">
        <f>IFERROR(VLOOKUP($D6,烤漆色號編碼!$A:$C,3,FALSE),"-")</f>
        <v>-</v>
      </c>
      <c r="F6" s="55" t="str">
        <f>IFERROR(VLOOKUP($D6,烤漆色號編碼!$A:$C,2,FALSE),"-")</f>
        <v>-</v>
      </c>
      <c r="G6" s="55"/>
      <c r="H6" s="55"/>
      <c r="I6" s="55" t="str">
        <f>IFERROR(VLOOKUP($D6,烤漆色號編碼!$A:$D,4,FALSE)*G6+H6,"-")</f>
        <v>-</v>
      </c>
      <c r="J6" s="55">
        <v>2025</v>
      </c>
      <c r="K6" s="159">
        <v>12</v>
      </c>
    </row>
    <row r="7" spans="1:11" ht="13.5" customHeight="1" x14ac:dyDescent="0.15">
      <c r="A7" s="141"/>
      <c r="B7" s="149">
        <v>4</v>
      </c>
      <c r="C7" s="79"/>
      <c r="D7" s="55"/>
      <c r="E7" s="55" t="str">
        <f>IFERROR(VLOOKUP($D7,烤漆色號編碼!$A:$C,3,FALSE),"-")</f>
        <v>-</v>
      </c>
      <c r="F7" s="55" t="str">
        <f>IFERROR(VLOOKUP($D7,烤漆色號編碼!$A:$C,2,FALSE),"-")</f>
        <v>-</v>
      </c>
      <c r="G7" s="55"/>
      <c r="H7" s="55"/>
      <c r="I7" s="55" t="str">
        <f>IFERROR(VLOOKUP($D7,烤漆色號編碼!$A:$D,4,FALSE)*G7+H7,"-")</f>
        <v>-</v>
      </c>
      <c r="J7" s="55">
        <v>2025</v>
      </c>
      <c r="K7" s="160">
        <v>12</v>
      </c>
    </row>
    <row r="8" spans="1:11" ht="13.5" customHeight="1" x14ac:dyDescent="0.15">
      <c r="A8" s="141"/>
      <c r="B8" s="149">
        <v>5</v>
      </c>
      <c r="C8" s="79"/>
      <c r="D8" s="55"/>
      <c r="E8" s="55" t="str">
        <f>IFERROR(VLOOKUP($D8,烤漆色號編碼!$A:$C,3,FALSE),"-")</f>
        <v>-</v>
      </c>
      <c r="F8" s="55" t="str">
        <f>IFERROR(VLOOKUP($D8,烤漆色號編碼!$A:$C,2,FALSE),"-")</f>
        <v>-</v>
      </c>
      <c r="G8" s="55"/>
      <c r="H8" s="55"/>
      <c r="I8" s="55" t="str">
        <f>IFERROR(VLOOKUP($D8,烤漆色號編碼!$A:$D,4,FALSE)*G8+H8,"-")</f>
        <v>-</v>
      </c>
      <c r="J8" s="55">
        <v>2025</v>
      </c>
      <c r="K8" s="159">
        <v>12</v>
      </c>
    </row>
    <row r="9" spans="1:11" ht="13.5" customHeight="1" x14ac:dyDescent="0.15">
      <c r="A9" s="141"/>
      <c r="B9" s="149">
        <v>6</v>
      </c>
      <c r="C9" s="79"/>
      <c r="D9" s="55"/>
      <c r="E9" s="55" t="str">
        <f>IFERROR(VLOOKUP($D9,烤漆色號編碼!$A:$C,3,FALSE),"-")</f>
        <v>-</v>
      </c>
      <c r="F9" s="55" t="str">
        <f>IFERROR(VLOOKUP($D9,烤漆色號編碼!$A:$C,2,FALSE),"-")</f>
        <v>-</v>
      </c>
      <c r="G9" s="55"/>
      <c r="H9" s="55"/>
      <c r="I9" s="55" t="str">
        <f>IFERROR(VLOOKUP($D9,烤漆色號編碼!$A:$D,4,FALSE)*G9+H9,"-")</f>
        <v>-</v>
      </c>
      <c r="J9" s="55">
        <v>2025</v>
      </c>
      <c r="K9" s="160">
        <v>12</v>
      </c>
    </row>
    <row r="10" spans="1:11" ht="13.5" customHeight="1" x14ac:dyDescent="0.15">
      <c r="A10" s="141"/>
      <c r="B10" s="149">
        <v>7</v>
      </c>
      <c r="C10" s="79"/>
      <c r="D10" s="55"/>
      <c r="E10" s="55" t="str">
        <f>IFERROR(VLOOKUP($D10,烤漆色號編碼!$A:$C,3,FALSE),"-")</f>
        <v>-</v>
      </c>
      <c r="F10" s="55" t="str">
        <f>IFERROR(VLOOKUP($D10,烤漆色號編碼!$A:$C,2,FALSE),"-")</f>
        <v>-</v>
      </c>
      <c r="G10" s="55"/>
      <c r="H10" s="55"/>
      <c r="I10" s="55" t="str">
        <f>IFERROR(VLOOKUP($D10,烤漆色號編碼!$A:$D,4,FALSE)*G10+H10,"-")</f>
        <v>-</v>
      </c>
      <c r="J10" s="55">
        <v>2025</v>
      </c>
      <c r="K10" s="159">
        <v>12</v>
      </c>
    </row>
    <row r="11" spans="1:11" ht="13.5" customHeight="1" x14ac:dyDescent="0.15">
      <c r="A11" s="141"/>
      <c r="B11" s="149">
        <v>8</v>
      </c>
      <c r="C11" s="79"/>
      <c r="D11" s="55"/>
      <c r="E11" s="55" t="str">
        <f>IFERROR(VLOOKUP($D11,烤漆色號編碼!$A:$C,3,FALSE),"-")</f>
        <v>-</v>
      </c>
      <c r="F11" s="55" t="str">
        <f>IFERROR(VLOOKUP($D11,烤漆色號編碼!$A:$C,2,FALSE),"-")</f>
        <v>-</v>
      </c>
      <c r="G11" s="55"/>
      <c r="H11" s="55"/>
      <c r="I11" s="55" t="str">
        <f>IFERROR(VLOOKUP($D11,烤漆色號編碼!$A:$D,4,FALSE)*G11+H11,"-")</f>
        <v>-</v>
      </c>
      <c r="J11" s="55">
        <v>2025</v>
      </c>
      <c r="K11" s="160">
        <v>12</v>
      </c>
    </row>
    <row r="12" spans="1:11" ht="13.5" customHeight="1" x14ac:dyDescent="0.15">
      <c r="A12" s="141"/>
      <c r="B12" s="149">
        <v>9</v>
      </c>
      <c r="C12" s="79"/>
      <c r="D12" s="55"/>
      <c r="E12" s="55" t="str">
        <f>IFERROR(VLOOKUP($D12,烤漆色號編碼!$A:$C,3,FALSE),"-")</f>
        <v>-</v>
      </c>
      <c r="F12" s="55" t="str">
        <f>IFERROR(VLOOKUP($D12,烤漆色號編碼!$A:$C,2,FALSE),"-")</f>
        <v>-</v>
      </c>
      <c r="G12" s="55"/>
      <c r="H12" s="55"/>
      <c r="I12" s="55" t="str">
        <f>IFERROR(VLOOKUP($D12,烤漆色號編碼!$A:$D,4,FALSE)*G12+H12,"-")</f>
        <v>-</v>
      </c>
      <c r="J12" s="55">
        <v>2025</v>
      </c>
      <c r="K12" s="159">
        <v>12</v>
      </c>
    </row>
    <row r="13" spans="1:11" ht="13.5" customHeight="1" x14ac:dyDescent="0.15">
      <c r="A13" s="141"/>
      <c r="B13" s="149">
        <v>10</v>
      </c>
      <c r="C13" s="79"/>
      <c r="D13" s="55"/>
      <c r="E13" s="55" t="str">
        <f>IFERROR(VLOOKUP($D13,烤漆色號編碼!$A:$C,3,FALSE),"-")</f>
        <v>-</v>
      </c>
      <c r="F13" s="55" t="str">
        <f>IFERROR(VLOOKUP($D13,烤漆色號編碼!$A:$C,2,FALSE),"-")</f>
        <v>-</v>
      </c>
      <c r="G13" s="55"/>
      <c r="H13" s="55"/>
      <c r="I13" s="55" t="str">
        <f>IFERROR(VLOOKUP($D13,烤漆色號編碼!$A:$D,4,FALSE)*G13+H13,"-")</f>
        <v>-</v>
      </c>
      <c r="J13" s="55">
        <v>2025</v>
      </c>
      <c r="K13" s="160">
        <v>12</v>
      </c>
    </row>
    <row r="14" spans="1:11" ht="13.5" customHeight="1" x14ac:dyDescent="0.15">
      <c r="A14" s="141"/>
      <c r="B14" s="149">
        <v>11</v>
      </c>
      <c r="C14" s="79"/>
      <c r="D14" s="55"/>
      <c r="E14" s="55" t="str">
        <f>IFERROR(VLOOKUP($D14,烤漆色號編碼!$A:$C,3,FALSE),"-")</f>
        <v>-</v>
      </c>
      <c r="F14" s="55" t="str">
        <f>IFERROR(VLOOKUP($D14,烤漆色號編碼!$A:$C,2,FALSE),"-")</f>
        <v>-</v>
      </c>
      <c r="G14" s="55"/>
      <c r="H14" s="55"/>
      <c r="I14" s="55" t="str">
        <f>IFERROR(VLOOKUP($D14,烤漆色號編碼!$A:$D,4,FALSE)*G14+H14,"-")</f>
        <v>-</v>
      </c>
      <c r="J14" s="55">
        <v>2025</v>
      </c>
      <c r="K14" s="159">
        <v>12</v>
      </c>
    </row>
    <row r="15" spans="1:11" ht="13.5" customHeight="1" x14ac:dyDescent="0.15">
      <c r="A15" s="141"/>
      <c r="B15" s="149">
        <v>12</v>
      </c>
      <c r="C15" s="79"/>
      <c r="D15" s="55"/>
      <c r="E15" s="55" t="str">
        <f>IFERROR(VLOOKUP($D15,烤漆色號編碼!$A:$C,3,FALSE),"-")</f>
        <v>-</v>
      </c>
      <c r="F15" s="55" t="str">
        <f>IFERROR(VLOOKUP($D15,烤漆色號編碼!$A:$C,2,FALSE),"-")</f>
        <v>-</v>
      </c>
      <c r="G15" s="55"/>
      <c r="H15" s="55"/>
      <c r="I15" s="55" t="str">
        <f>IFERROR(VLOOKUP($D15,烤漆色號編碼!$A:$D,4,FALSE)*G15+H15,"-")</f>
        <v>-</v>
      </c>
      <c r="J15" s="55">
        <v>2025</v>
      </c>
      <c r="K15" s="160">
        <v>12</v>
      </c>
    </row>
    <row r="16" spans="1:11" ht="13.5" customHeight="1" x14ac:dyDescent="0.15">
      <c r="A16" s="141"/>
      <c r="B16" s="149">
        <v>13</v>
      </c>
      <c r="C16" s="79"/>
      <c r="D16" s="55"/>
      <c r="E16" s="55" t="str">
        <f>IFERROR(VLOOKUP($D16,烤漆色號編碼!$A:$C,3,FALSE),"-")</f>
        <v>-</v>
      </c>
      <c r="F16" s="55" t="str">
        <f>IFERROR(VLOOKUP($D16,烤漆色號編碼!$A:$C,2,FALSE),"-")</f>
        <v>-</v>
      </c>
      <c r="G16" s="55"/>
      <c r="H16" s="55"/>
      <c r="I16" s="55" t="str">
        <f>IFERROR(VLOOKUP($D16,烤漆色號編碼!$A:$D,4,FALSE)*G16+H16,"-")</f>
        <v>-</v>
      </c>
      <c r="J16" s="55">
        <v>2025</v>
      </c>
      <c r="K16" s="159">
        <v>12</v>
      </c>
    </row>
    <row r="17" spans="1:11" ht="13.5" customHeight="1" x14ac:dyDescent="0.15">
      <c r="A17" s="141"/>
      <c r="B17" s="149">
        <v>14</v>
      </c>
      <c r="C17" s="79"/>
      <c r="D17" s="55"/>
      <c r="E17" s="55" t="str">
        <f>IFERROR(VLOOKUP($D17,烤漆色號編碼!$A:$C,3,FALSE),"-")</f>
        <v>-</v>
      </c>
      <c r="F17" s="55" t="str">
        <f>IFERROR(VLOOKUP($D17,烤漆色號編碼!$A:$C,2,FALSE),"-")</f>
        <v>-</v>
      </c>
      <c r="G17" s="55"/>
      <c r="H17" s="55"/>
      <c r="I17" s="55" t="str">
        <f>IFERROR(VLOOKUP($D17,烤漆色號編碼!$A:$D,4,FALSE)*G17+H17,"-")</f>
        <v>-</v>
      </c>
      <c r="J17" s="55">
        <v>2025</v>
      </c>
      <c r="K17" s="160">
        <v>12</v>
      </c>
    </row>
    <row r="18" spans="1:11" ht="13.5" customHeight="1" x14ac:dyDescent="0.15">
      <c r="A18" s="141"/>
      <c r="B18" s="149">
        <v>15</v>
      </c>
      <c r="C18" s="79"/>
      <c r="D18" s="55"/>
      <c r="E18" s="55" t="str">
        <f>IFERROR(VLOOKUP($D18,烤漆色號編碼!$A:$C,3,FALSE),"-")</f>
        <v>-</v>
      </c>
      <c r="F18" s="55" t="str">
        <f>IFERROR(VLOOKUP($D18,烤漆色號編碼!$A:$C,2,FALSE),"-")</f>
        <v>-</v>
      </c>
      <c r="G18" s="55"/>
      <c r="H18" s="55"/>
      <c r="I18" s="55" t="str">
        <f>IFERROR(VLOOKUP($D18,烤漆色號編碼!$A:$D,4,FALSE)*G18+H18,"-")</f>
        <v>-</v>
      </c>
      <c r="J18" s="55">
        <v>2025</v>
      </c>
      <c r="K18" s="159">
        <v>12</v>
      </c>
    </row>
    <row r="19" spans="1:11" ht="13.5" customHeight="1" x14ac:dyDescent="0.15">
      <c r="A19" s="141"/>
      <c r="B19" s="149">
        <v>16</v>
      </c>
      <c r="C19" s="79"/>
      <c r="D19" s="55"/>
      <c r="E19" s="55" t="str">
        <f>IFERROR(VLOOKUP($D19,烤漆色號編碼!$A:$C,3,FALSE),"-")</f>
        <v>-</v>
      </c>
      <c r="F19" s="55" t="str">
        <f>IFERROR(VLOOKUP($D19,烤漆色號編碼!$A:$C,2,FALSE),"-")</f>
        <v>-</v>
      </c>
      <c r="G19" s="55"/>
      <c r="H19" s="55"/>
      <c r="I19" s="55" t="str">
        <f>IFERROR(VLOOKUP($D19,烤漆色號編碼!$A:$D,4,FALSE)*G19+H19,"-")</f>
        <v>-</v>
      </c>
      <c r="J19" s="55">
        <v>2025</v>
      </c>
      <c r="K19" s="160">
        <v>12</v>
      </c>
    </row>
    <row r="20" spans="1:11" ht="13.5" customHeight="1" x14ac:dyDescent="0.15">
      <c r="A20" s="141"/>
      <c r="B20" s="149">
        <v>17</v>
      </c>
      <c r="C20" s="79"/>
      <c r="D20" s="55"/>
      <c r="E20" s="55" t="str">
        <f>IFERROR(VLOOKUP($D20,烤漆色號編碼!$A:$C,3,FALSE),"-")</f>
        <v>-</v>
      </c>
      <c r="F20" s="55" t="str">
        <f>IFERROR(VLOOKUP($D20,烤漆色號編碼!$A:$C,2,FALSE),"-")</f>
        <v>-</v>
      </c>
      <c r="G20" s="55"/>
      <c r="H20" s="55"/>
      <c r="I20" s="55" t="str">
        <f>IFERROR(VLOOKUP($D20,烤漆色號編碼!$A:$D,4,FALSE)*G20+H20,"-")</f>
        <v>-</v>
      </c>
      <c r="J20" s="55">
        <v>2025</v>
      </c>
      <c r="K20" s="159">
        <v>12</v>
      </c>
    </row>
    <row r="21" spans="1:11" ht="13.5" customHeight="1" x14ac:dyDescent="0.15">
      <c r="A21" s="141"/>
      <c r="B21" s="149">
        <v>18</v>
      </c>
      <c r="C21" s="79"/>
      <c r="D21" s="55"/>
      <c r="E21" s="55" t="str">
        <f>IFERROR(VLOOKUP($D21,烤漆色號編碼!$A:$C,3,FALSE),"-")</f>
        <v>-</v>
      </c>
      <c r="F21" s="55" t="str">
        <f>IFERROR(VLOOKUP($D21,烤漆色號編碼!$A:$C,2,FALSE),"-")</f>
        <v>-</v>
      </c>
      <c r="G21" s="55"/>
      <c r="H21" s="55"/>
      <c r="I21" s="55" t="str">
        <f>IFERROR(VLOOKUP($D21,烤漆色號編碼!$A:$D,4,FALSE)*G21+H21,"-")</f>
        <v>-</v>
      </c>
      <c r="J21" s="55">
        <v>2025</v>
      </c>
      <c r="K21" s="160">
        <v>12</v>
      </c>
    </row>
    <row r="22" spans="1:11" ht="13.5" customHeight="1" x14ac:dyDescent="0.15">
      <c r="A22" s="141"/>
      <c r="B22" s="149">
        <v>19</v>
      </c>
      <c r="C22" s="79"/>
      <c r="D22" s="55"/>
      <c r="E22" s="55" t="str">
        <f>IFERROR(VLOOKUP($D22,烤漆色號編碼!$A:$C,3,FALSE),"-")</f>
        <v>-</v>
      </c>
      <c r="F22" s="55" t="str">
        <f>IFERROR(VLOOKUP($D22,烤漆色號編碼!$A:$C,2,FALSE),"-")</f>
        <v>-</v>
      </c>
      <c r="G22" s="55"/>
      <c r="H22" s="55"/>
      <c r="I22" s="55" t="str">
        <f>IFERROR(VLOOKUP($D22,烤漆色號編碼!$A:$D,4,FALSE)*G22+H22,"-")</f>
        <v>-</v>
      </c>
      <c r="J22" s="55">
        <v>2025</v>
      </c>
      <c r="K22" s="159">
        <v>12</v>
      </c>
    </row>
    <row r="23" spans="1:11" ht="13.5" customHeight="1" x14ac:dyDescent="0.15">
      <c r="A23" s="141"/>
      <c r="B23" s="149">
        <v>20</v>
      </c>
      <c r="C23" s="79"/>
      <c r="D23" s="55"/>
      <c r="E23" s="55" t="str">
        <f>IFERROR(VLOOKUP($D23,烤漆色號編碼!$A:$C,3,FALSE),"-")</f>
        <v>-</v>
      </c>
      <c r="F23" s="55" t="str">
        <f>IFERROR(VLOOKUP($D23,烤漆色號編碼!$A:$C,2,FALSE),"-")</f>
        <v>-</v>
      </c>
      <c r="G23" s="55"/>
      <c r="H23" s="55"/>
      <c r="I23" s="55" t="str">
        <f>IFERROR(VLOOKUP($D23,烤漆色號編碼!$A:$D,4,FALSE)*G23+H23,"-")</f>
        <v>-</v>
      </c>
      <c r="J23" s="55">
        <v>2025</v>
      </c>
      <c r="K23" s="160">
        <v>12</v>
      </c>
    </row>
    <row r="24" spans="1:11" ht="13.5" customHeight="1" x14ac:dyDescent="0.15">
      <c r="A24" s="141"/>
      <c r="B24" s="149">
        <v>21</v>
      </c>
      <c r="C24" s="79"/>
      <c r="D24" s="55"/>
      <c r="E24" s="55" t="str">
        <f>IFERROR(VLOOKUP($D24,烤漆色號編碼!$A:$C,3,FALSE),"-")</f>
        <v>-</v>
      </c>
      <c r="F24" s="55" t="str">
        <f>IFERROR(VLOOKUP($D24,烤漆色號編碼!$A:$C,2,FALSE),"-")</f>
        <v>-</v>
      </c>
      <c r="G24" s="55"/>
      <c r="H24" s="55"/>
      <c r="I24" s="55" t="str">
        <f>IFERROR(VLOOKUP($D24,烤漆色號編碼!$A:$D,4,FALSE)*G24+H24,"-")</f>
        <v>-</v>
      </c>
      <c r="J24" s="55">
        <v>2025</v>
      </c>
      <c r="K24" s="159">
        <v>12</v>
      </c>
    </row>
    <row r="25" spans="1:11" ht="13.5" customHeight="1" x14ac:dyDescent="0.15">
      <c r="A25" s="141"/>
      <c r="B25" s="149">
        <v>22</v>
      </c>
      <c r="C25" s="79"/>
      <c r="D25" s="55"/>
      <c r="E25" s="55" t="str">
        <f>IFERROR(VLOOKUP($D25,烤漆色號編碼!$A:$C,3,FALSE),"-")</f>
        <v>-</v>
      </c>
      <c r="F25" s="55" t="str">
        <f>IFERROR(VLOOKUP($D25,烤漆色號編碼!$A:$C,2,FALSE),"-")</f>
        <v>-</v>
      </c>
      <c r="G25" s="55"/>
      <c r="H25" s="55"/>
      <c r="I25" s="55" t="str">
        <f>IFERROR(VLOOKUP($D25,烤漆色號編碼!$A:$D,4,FALSE)*G25+H25,"-")</f>
        <v>-</v>
      </c>
      <c r="J25" s="55">
        <v>2025</v>
      </c>
      <c r="K25" s="160">
        <v>12</v>
      </c>
    </row>
    <row r="26" spans="1:11" ht="13.5" customHeight="1" x14ac:dyDescent="0.15">
      <c r="A26" s="141"/>
      <c r="B26" s="149">
        <v>23</v>
      </c>
      <c r="C26" s="79"/>
      <c r="D26" s="55"/>
      <c r="E26" s="55" t="str">
        <f>IFERROR(VLOOKUP($D26,烤漆色號編碼!$A:$C,3,FALSE),"-")</f>
        <v>-</v>
      </c>
      <c r="F26" s="55" t="str">
        <f>IFERROR(VLOOKUP($D26,烤漆色號編碼!$A:$C,2,FALSE),"-")</f>
        <v>-</v>
      </c>
      <c r="G26" s="55"/>
      <c r="H26" s="55"/>
      <c r="I26" s="55" t="str">
        <f>IFERROR(VLOOKUP($D26,烤漆色號編碼!$A:$D,4,FALSE)*G26+H26,"-")</f>
        <v>-</v>
      </c>
      <c r="J26" s="55">
        <v>2025</v>
      </c>
      <c r="K26" s="159">
        <v>12</v>
      </c>
    </row>
    <row r="27" spans="1:11" ht="13.5" customHeight="1" x14ac:dyDescent="0.15">
      <c r="A27" s="141"/>
      <c r="B27" s="149">
        <v>24</v>
      </c>
      <c r="C27" s="79"/>
      <c r="D27" s="55"/>
      <c r="E27" s="55" t="str">
        <f>IFERROR(VLOOKUP($D27,烤漆色號編碼!$A:$C,3,FALSE),"-")</f>
        <v>-</v>
      </c>
      <c r="F27" s="55" t="str">
        <f>IFERROR(VLOOKUP($D27,烤漆色號編碼!$A:$C,2,FALSE),"-")</f>
        <v>-</v>
      </c>
      <c r="G27" s="55"/>
      <c r="H27" s="55"/>
      <c r="I27" s="55" t="str">
        <f>IFERROR(VLOOKUP($D27,烤漆色號編碼!$A:$D,4,FALSE)*G27+H27,"-")</f>
        <v>-</v>
      </c>
      <c r="J27" s="55">
        <v>2025</v>
      </c>
      <c r="K27" s="160">
        <v>12</v>
      </c>
    </row>
    <row r="28" spans="1:11" ht="13.5" customHeight="1" x14ac:dyDescent="0.15">
      <c r="A28" s="141"/>
      <c r="B28" s="149">
        <v>25</v>
      </c>
      <c r="C28" s="79"/>
      <c r="D28" s="55"/>
      <c r="E28" s="55" t="str">
        <f>IFERROR(VLOOKUP($D28,烤漆色號編碼!$A:$C,3,FALSE),"-")</f>
        <v>-</v>
      </c>
      <c r="F28" s="55" t="str">
        <f>IFERROR(VLOOKUP($D28,烤漆色號編碼!$A:$C,2,FALSE),"-")</f>
        <v>-</v>
      </c>
      <c r="G28" s="55"/>
      <c r="H28" s="55"/>
      <c r="I28" s="55" t="str">
        <f>IFERROR(VLOOKUP($D28,烤漆色號編碼!$A:$D,4,FALSE)*G28+H28,"-")</f>
        <v>-</v>
      </c>
      <c r="J28" s="55">
        <v>2025</v>
      </c>
      <c r="K28" s="159">
        <v>12</v>
      </c>
    </row>
    <row r="29" spans="1:11" ht="13.5" customHeight="1" x14ac:dyDescent="0.15">
      <c r="A29" s="141"/>
      <c r="B29" s="149">
        <v>26</v>
      </c>
      <c r="C29" s="79"/>
      <c r="D29" s="55"/>
      <c r="E29" s="55" t="str">
        <f>IFERROR(VLOOKUP($D29,烤漆色號編碼!$A:$C,3,FALSE),"-")</f>
        <v>-</v>
      </c>
      <c r="F29" s="55" t="str">
        <f>IFERROR(VLOOKUP($D29,烤漆色號編碼!$A:$C,2,FALSE),"-")</f>
        <v>-</v>
      </c>
      <c r="G29" s="55"/>
      <c r="H29" s="55"/>
      <c r="I29" s="55" t="str">
        <f>IFERROR(VLOOKUP($D29,烤漆色號編碼!$A:$D,4,FALSE)*G29+H29,"-")</f>
        <v>-</v>
      </c>
      <c r="J29" s="55">
        <v>2025</v>
      </c>
      <c r="K29" s="160">
        <v>12</v>
      </c>
    </row>
    <row r="30" spans="1:11" ht="13.5" customHeight="1" x14ac:dyDescent="0.15">
      <c r="A30" s="141"/>
      <c r="B30" s="149">
        <v>27</v>
      </c>
      <c r="C30" s="79"/>
      <c r="D30" s="55"/>
      <c r="E30" s="55" t="str">
        <f>IFERROR(VLOOKUP($D30,烤漆色號編碼!$A:$C,3,FALSE),"-")</f>
        <v>-</v>
      </c>
      <c r="F30" s="55" t="str">
        <f>IFERROR(VLOOKUP($D30,烤漆色號編碼!$A:$C,2,FALSE),"-")</f>
        <v>-</v>
      </c>
      <c r="G30" s="55"/>
      <c r="H30" s="55"/>
      <c r="I30" s="55" t="str">
        <f>IFERROR(VLOOKUP($D30,烤漆色號編碼!$A:$D,4,FALSE)*G30+H30,"-")</f>
        <v>-</v>
      </c>
      <c r="J30" s="55">
        <v>2025</v>
      </c>
      <c r="K30" s="159">
        <v>12</v>
      </c>
    </row>
    <row r="31" spans="1:11" ht="13.5" customHeight="1" x14ac:dyDescent="0.15">
      <c r="A31" s="141"/>
      <c r="B31" s="149">
        <v>28</v>
      </c>
      <c r="C31" s="79"/>
      <c r="D31" s="55"/>
      <c r="E31" s="55" t="str">
        <f>IFERROR(VLOOKUP($D31,烤漆色號編碼!$A:$C,3,FALSE),"-")</f>
        <v>-</v>
      </c>
      <c r="F31" s="55" t="str">
        <f>IFERROR(VLOOKUP($D31,烤漆色號編碼!$A:$C,2,FALSE),"-")</f>
        <v>-</v>
      </c>
      <c r="G31" s="55"/>
      <c r="H31" s="55"/>
      <c r="I31" s="55" t="str">
        <f>IFERROR(VLOOKUP($D31,烤漆色號編碼!$A:$D,4,FALSE)*G31+H31,"-")</f>
        <v>-</v>
      </c>
      <c r="J31" s="55">
        <v>2025</v>
      </c>
      <c r="K31" s="160">
        <v>12</v>
      </c>
    </row>
    <row r="32" spans="1:11" ht="13.5" customHeight="1" x14ac:dyDescent="0.15">
      <c r="A32" s="141"/>
      <c r="B32" s="149">
        <v>29</v>
      </c>
      <c r="C32" s="79"/>
      <c r="D32" s="55"/>
      <c r="E32" s="55" t="str">
        <f>IFERROR(VLOOKUP($D32,烤漆色號編碼!$A:$C,3,FALSE),"-")</f>
        <v>-</v>
      </c>
      <c r="F32" s="55" t="str">
        <f>IFERROR(VLOOKUP($D32,烤漆色號編碼!$A:$C,2,FALSE),"-")</f>
        <v>-</v>
      </c>
      <c r="G32" s="55"/>
      <c r="H32" s="55"/>
      <c r="I32" s="55" t="str">
        <f>IFERROR(VLOOKUP($D32,烤漆色號編碼!$A:$D,4,FALSE)*G32+H32,"-")</f>
        <v>-</v>
      </c>
      <c r="J32" s="55">
        <v>2025</v>
      </c>
      <c r="K32" s="159">
        <v>12</v>
      </c>
    </row>
    <row r="33" spans="1:11" ht="13.5" customHeight="1" x14ac:dyDescent="0.15">
      <c r="A33" s="141"/>
      <c r="B33" s="149">
        <v>30</v>
      </c>
      <c r="C33" s="79" t="str">
        <f t="shared" ref="C33:C42" ca="1" si="0">IF(D33&lt;&gt;"",NOW(),"")</f>
        <v/>
      </c>
      <c r="D33" s="55"/>
      <c r="E33" s="55" t="str">
        <f>IFERROR(VLOOKUP($D33,烤漆色號編碼!$A:$C,3,FALSE),"-")</f>
        <v>-</v>
      </c>
      <c r="F33" s="55" t="str">
        <f>IFERROR(VLOOKUP($D33,烤漆色號編碼!$A:$C,2,FALSE),"-")</f>
        <v>-</v>
      </c>
      <c r="G33" s="55"/>
      <c r="H33" s="55"/>
      <c r="I33" s="55" t="str">
        <f>IFERROR(VLOOKUP($D33,烤漆色號編碼!$A:$D,4,FALSE)*G33+H33,"-")</f>
        <v>-</v>
      </c>
      <c r="J33" s="55">
        <v>2025</v>
      </c>
      <c r="K33" s="160">
        <v>12</v>
      </c>
    </row>
    <row r="34" spans="1:11" ht="13.5" customHeight="1" x14ac:dyDescent="0.15">
      <c r="A34" s="141"/>
      <c r="B34" s="149">
        <v>31</v>
      </c>
      <c r="C34" s="79" t="str">
        <f t="shared" ca="1" si="0"/>
        <v/>
      </c>
      <c r="D34" s="55"/>
      <c r="E34" s="55" t="str">
        <f>IFERROR(VLOOKUP($D34,烤漆色號編碼!$A:$C,3,FALSE),"-")</f>
        <v>-</v>
      </c>
      <c r="F34" s="55" t="str">
        <f>IFERROR(VLOOKUP($D34,烤漆色號編碼!$A:$C,2,FALSE),"-")</f>
        <v>-</v>
      </c>
      <c r="G34" s="55"/>
      <c r="H34" s="55"/>
      <c r="I34" s="55" t="str">
        <f>IFERROR(VLOOKUP($D34,烤漆色號編碼!$A:$D,4,FALSE)*G34+H34,"-")</f>
        <v>-</v>
      </c>
      <c r="J34" s="55">
        <v>2025</v>
      </c>
      <c r="K34" s="159">
        <v>12</v>
      </c>
    </row>
    <row r="35" spans="1:11" ht="13.5" customHeight="1" x14ac:dyDescent="0.15">
      <c r="A35" s="141"/>
      <c r="B35" s="149">
        <v>32</v>
      </c>
      <c r="C35" s="79" t="str">
        <f t="shared" ca="1" si="0"/>
        <v/>
      </c>
      <c r="D35" s="55"/>
      <c r="E35" s="55" t="str">
        <f>IFERROR(VLOOKUP($D35,烤漆色號編碼!$A:$C,3,FALSE),"-")</f>
        <v>-</v>
      </c>
      <c r="F35" s="55" t="str">
        <f>IFERROR(VLOOKUP($D35,烤漆色號編碼!$A:$C,2,FALSE),"-")</f>
        <v>-</v>
      </c>
      <c r="G35" s="55"/>
      <c r="H35" s="55"/>
      <c r="I35" s="55" t="str">
        <f>IFERROR(VLOOKUP($D35,烤漆色號編碼!$A:$D,4,FALSE)*G35+H35,"-")</f>
        <v>-</v>
      </c>
      <c r="J35" s="55">
        <v>2025</v>
      </c>
      <c r="K35" s="160">
        <v>12</v>
      </c>
    </row>
    <row r="36" spans="1:11" ht="13.5" customHeight="1" x14ac:dyDescent="0.15">
      <c r="A36" s="141"/>
      <c r="B36" s="149">
        <v>33</v>
      </c>
      <c r="C36" s="79" t="str">
        <f t="shared" ca="1" si="0"/>
        <v/>
      </c>
      <c r="D36" s="55"/>
      <c r="E36" s="55" t="str">
        <f>IFERROR(VLOOKUP($D36,烤漆色號編碼!$A:$C,3,FALSE),"-")</f>
        <v>-</v>
      </c>
      <c r="F36" s="55" t="str">
        <f>IFERROR(VLOOKUP($D36,烤漆色號編碼!$A:$C,2,FALSE),"-")</f>
        <v>-</v>
      </c>
      <c r="G36" s="55"/>
      <c r="H36" s="55"/>
      <c r="I36" s="55" t="str">
        <f>IFERROR(VLOOKUP($D36,烤漆色號編碼!$A:$D,4,FALSE)*G36+H36,"-")</f>
        <v>-</v>
      </c>
      <c r="J36" s="55">
        <v>2025</v>
      </c>
      <c r="K36" s="159">
        <v>12</v>
      </c>
    </row>
    <row r="37" spans="1:11" ht="13.5" customHeight="1" x14ac:dyDescent="0.15">
      <c r="A37" s="141"/>
      <c r="B37" s="149">
        <v>34</v>
      </c>
      <c r="C37" s="79" t="str">
        <f t="shared" ca="1" si="0"/>
        <v/>
      </c>
      <c r="D37" s="55"/>
      <c r="E37" s="55" t="str">
        <f>IFERROR(VLOOKUP($D37,烤漆色號編碼!$A:$C,3,FALSE),"-")</f>
        <v>-</v>
      </c>
      <c r="F37" s="55" t="str">
        <f>IFERROR(VLOOKUP($D37,烤漆色號編碼!$A:$C,2,FALSE),"-")</f>
        <v>-</v>
      </c>
      <c r="G37" s="55"/>
      <c r="H37" s="55"/>
      <c r="I37" s="55" t="str">
        <f>IFERROR(VLOOKUP($D37,烤漆色號編碼!$A:$D,4,FALSE)*G37+H37,"-")</f>
        <v>-</v>
      </c>
      <c r="J37" s="55">
        <v>2025</v>
      </c>
      <c r="K37" s="160">
        <v>12</v>
      </c>
    </row>
    <row r="38" spans="1:11" ht="13.5" customHeight="1" x14ac:dyDescent="0.15">
      <c r="A38" s="141"/>
      <c r="B38" s="149">
        <v>35</v>
      </c>
      <c r="C38" s="79" t="str">
        <f t="shared" ca="1" si="0"/>
        <v/>
      </c>
      <c r="D38" s="55"/>
      <c r="E38" s="55" t="str">
        <f>IFERROR(VLOOKUP($D38,烤漆色號編碼!$A:$C,3,FALSE),"-")</f>
        <v>-</v>
      </c>
      <c r="F38" s="55" t="str">
        <f>IFERROR(VLOOKUP($D38,烤漆色號編碼!$A:$C,2,FALSE),"-")</f>
        <v>-</v>
      </c>
      <c r="G38" s="55"/>
      <c r="H38" s="55"/>
      <c r="I38" s="55" t="str">
        <f>IFERROR(VLOOKUP($D38,烤漆色號編碼!$A:$D,4,FALSE)*G38+H38,"-")</f>
        <v>-</v>
      </c>
      <c r="J38" s="55">
        <v>2025</v>
      </c>
      <c r="K38" s="159">
        <v>12</v>
      </c>
    </row>
    <row r="39" spans="1:11" ht="13.5" customHeight="1" x14ac:dyDescent="0.15">
      <c r="A39" s="141"/>
      <c r="B39" s="149">
        <v>36</v>
      </c>
      <c r="C39" s="79" t="str">
        <f t="shared" ca="1" si="0"/>
        <v/>
      </c>
      <c r="D39" s="55"/>
      <c r="E39" s="55" t="str">
        <f>IFERROR(VLOOKUP($D39,烤漆色號編碼!$A:$C,3,FALSE),"-")</f>
        <v>-</v>
      </c>
      <c r="F39" s="55" t="str">
        <f>IFERROR(VLOOKUP($D39,烤漆色號編碼!$A:$C,2,FALSE),"-")</f>
        <v>-</v>
      </c>
      <c r="G39" s="55"/>
      <c r="H39" s="55"/>
      <c r="I39" s="55" t="str">
        <f>IFERROR(VLOOKUP($D39,烤漆色號編碼!$A:$D,4,FALSE)*G39+H39,"-")</f>
        <v>-</v>
      </c>
      <c r="J39" s="55">
        <v>2025</v>
      </c>
      <c r="K39" s="160">
        <v>12</v>
      </c>
    </row>
    <row r="40" spans="1:11" ht="13.5" customHeight="1" x14ac:dyDescent="0.15">
      <c r="A40" s="141"/>
      <c r="B40" s="149">
        <v>37</v>
      </c>
      <c r="C40" s="79" t="str">
        <f t="shared" ca="1" si="0"/>
        <v/>
      </c>
      <c r="D40" s="55"/>
      <c r="E40" s="55" t="str">
        <f>IFERROR(VLOOKUP($D40,烤漆色號編碼!$A:$C,3,FALSE),"-")</f>
        <v>-</v>
      </c>
      <c r="F40" s="55" t="str">
        <f>IFERROR(VLOOKUP($D40,烤漆色號編碼!$A:$C,2,FALSE),"-")</f>
        <v>-</v>
      </c>
      <c r="G40" s="55"/>
      <c r="H40" s="55"/>
      <c r="I40" s="55" t="str">
        <f>IFERROR(VLOOKUP($D40,烤漆色號編碼!$A:$D,4,FALSE)*G40+H40,"-")</f>
        <v>-</v>
      </c>
      <c r="J40" s="55">
        <v>2025</v>
      </c>
      <c r="K40" s="159">
        <v>12</v>
      </c>
    </row>
    <row r="41" spans="1:11" ht="13.5" customHeight="1" x14ac:dyDescent="0.15">
      <c r="A41" s="141"/>
      <c r="B41" s="149">
        <v>38</v>
      </c>
      <c r="C41" s="79" t="str">
        <f t="shared" ca="1" si="0"/>
        <v/>
      </c>
      <c r="D41" s="55"/>
      <c r="E41" s="55" t="str">
        <f>IFERROR(VLOOKUP($D41,烤漆色號編碼!$A:$C,3,FALSE),"-")</f>
        <v>-</v>
      </c>
      <c r="F41" s="55" t="str">
        <f>IFERROR(VLOOKUP($D41,烤漆色號編碼!$A:$C,2,FALSE),"-")</f>
        <v>-</v>
      </c>
      <c r="G41" s="55"/>
      <c r="H41" s="55"/>
      <c r="I41" s="55" t="str">
        <f>IFERROR(VLOOKUP($D41,烤漆色號編碼!$A:$D,4,FALSE)*G41+H41,"-")</f>
        <v>-</v>
      </c>
      <c r="J41" s="55">
        <v>2025</v>
      </c>
      <c r="K41" s="160">
        <v>12</v>
      </c>
    </row>
    <row r="42" spans="1:11" ht="13.5" customHeight="1" x14ac:dyDescent="0.15">
      <c r="A42" s="141"/>
      <c r="B42" s="149">
        <v>39</v>
      </c>
      <c r="C42" s="79" t="str">
        <f t="shared" ca="1" si="0"/>
        <v/>
      </c>
      <c r="D42" s="55"/>
      <c r="E42" s="55" t="str">
        <f>IFERROR(VLOOKUP($D42,烤漆色號編碼!$A:$C,3,FALSE),"-")</f>
        <v>-</v>
      </c>
      <c r="F42" s="55" t="str">
        <f>IFERROR(VLOOKUP($D42,烤漆色號編碼!$A:$C,2,FALSE),"-")</f>
        <v>-</v>
      </c>
      <c r="G42" s="55"/>
      <c r="H42" s="55"/>
      <c r="I42" s="55" t="str">
        <f>IFERROR(VLOOKUP($D42,烤漆色號編碼!$A:$D,4,FALSE)*G42+H42,"-")</f>
        <v>-</v>
      </c>
      <c r="J42" s="55">
        <v>2025</v>
      </c>
      <c r="K42" s="159">
        <v>12</v>
      </c>
    </row>
    <row r="43" spans="1:11" ht="13.5" customHeight="1" x14ac:dyDescent="0.15">
      <c r="A43" s="141"/>
      <c r="B43" s="149">
        <v>40</v>
      </c>
      <c r="C43" s="79"/>
      <c r="D43" s="55"/>
      <c r="E43" s="55" t="str">
        <f>IFERROR(VLOOKUP($D43,烤漆色號編碼!$A:$C,3,FALSE),"-")</f>
        <v>-</v>
      </c>
      <c r="F43" s="55" t="str">
        <f>IFERROR(VLOOKUP($D43,烤漆色號編碼!$A:$C,2,FALSE),"-")</f>
        <v>-</v>
      </c>
      <c r="G43" s="55"/>
      <c r="H43" s="55"/>
      <c r="I43" s="55" t="str">
        <f>IFERROR(VLOOKUP($D43,烤漆色號編碼!$A:$D,4,FALSE)*G43+H43,"-")</f>
        <v>-</v>
      </c>
      <c r="J43" s="55">
        <v>2025</v>
      </c>
      <c r="K43" s="160">
        <v>12</v>
      </c>
    </row>
    <row r="44" spans="1:11" ht="13.5" customHeight="1" x14ac:dyDescent="0.15">
      <c r="A44" s="141"/>
      <c r="B44" s="149">
        <v>41</v>
      </c>
      <c r="C44" s="79"/>
      <c r="D44" s="55"/>
      <c r="E44" s="55" t="str">
        <f>IFERROR(VLOOKUP($D44,烤漆色號編碼!$A:$C,3,FALSE),"-")</f>
        <v>-</v>
      </c>
      <c r="F44" s="55" t="str">
        <f>IFERROR(VLOOKUP($D44,烤漆色號編碼!$A:$C,2,FALSE),"-")</f>
        <v>-</v>
      </c>
      <c r="G44" s="55"/>
      <c r="H44" s="55"/>
      <c r="I44" s="55" t="str">
        <f>IFERROR(VLOOKUP($D44,烤漆色號編碼!$A:$D,4,FALSE)*G44+H44,"-")</f>
        <v>-</v>
      </c>
      <c r="J44" s="55">
        <v>2025</v>
      </c>
      <c r="K44" s="159">
        <v>12</v>
      </c>
    </row>
    <row r="45" spans="1:11" ht="13.5" customHeight="1" x14ac:dyDescent="0.15">
      <c r="A45" s="141"/>
      <c r="B45" s="149">
        <v>42</v>
      </c>
      <c r="C45" s="79"/>
      <c r="D45" s="55"/>
      <c r="E45" s="55" t="str">
        <f>IFERROR(VLOOKUP($D45,烤漆色號編碼!$A:$C,3,FALSE),"-")</f>
        <v>-</v>
      </c>
      <c r="F45" s="55" t="str">
        <f>IFERROR(VLOOKUP($D45,烤漆色號編碼!$A:$C,2,FALSE),"-")</f>
        <v>-</v>
      </c>
      <c r="G45" s="55"/>
      <c r="H45" s="55"/>
      <c r="I45" s="55" t="str">
        <f>IFERROR(VLOOKUP($D45,烤漆色號編碼!$A:$D,4,FALSE)*G45+H45,"-")</f>
        <v>-</v>
      </c>
      <c r="J45" s="55">
        <v>2025</v>
      </c>
      <c r="K45" s="160">
        <v>12</v>
      </c>
    </row>
    <row r="46" spans="1:11" ht="13.5" customHeight="1" x14ac:dyDescent="0.15">
      <c r="A46" s="141"/>
      <c r="B46" s="149">
        <v>43</v>
      </c>
      <c r="C46" s="79"/>
      <c r="D46" s="55"/>
      <c r="E46" s="55" t="str">
        <f>IFERROR(VLOOKUP($D46,烤漆色號編碼!$A:$C,3,FALSE),"-")</f>
        <v>-</v>
      </c>
      <c r="F46" s="55" t="str">
        <f>IFERROR(VLOOKUP($D46,烤漆色號編碼!$A:$C,2,FALSE),"-")</f>
        <v>-</v>
      </c>
      <c r="G46" s="55"/>
      <c r="H46" s="55"/>
      <c r="I46" s="55" t="str">
        <f>IFERROR(VLOOKUP($D46,烤漆色號編碼!$A:$D,4,FALSE)*G46+H46,"-")</f>
        <v>-</v>
      </c>
      <c r="J46" s="55">
        <v>2025</v>
      </c>
      <c r="K46" s="159">
        <v>12</v>
      </c>
    </row>
    <row r="47" spans="1:11" ht="13.5" customHeight="1" x14ac:dyDescent="0.15">
      <c r="A47" s="141"/>
      <c r="B47" s="149">
        <v>44</v>
      </c>
      <c r="C47" s="79"/>
      <c r="D47" s="55"/>
      <c r="E47" s="55" t="str">
        <f>IFERROR(VLOOKUP($D47,烤漆色號編碼!$A:$C,3,FALSE),"-")</f>
        <v>-</v>
      </c>
      <c r="F47" s="55" t="str">
        <f>IFERROR(VLOOKUP($D47,烤漆色號編碼!$A:$C,2,FALSE),"-")</f>
        <v>-</v>
      </c>
      <c r="G47" s="55"/>
      <c r="H47" s="55"/>
      <c r="I47" s="55" t="str">
        <f>IFERROR(VLOOKUP($D47,烤漆色號編碼!$A:$D,4,FALSE)*G47+H47,"-")</f>
        <v>-</v>
      </c>
      <c r="J47" s="55">
        <v>2025</v>
      </c>
      <c r="K47" s="160">
        <v>12</v>
      </c>
    </row>
    <row r="48" spans="1:11" ht="13.5" customHeight="1" x14ac:dyDescent="0.15">
      <c r="A48" s="141"/>
      <c r="B48" s="149">
        <v>45</v>
      </c>
      <c r="C48" s="79"/>
      <c r="D48" s="55"/>
      <c r="E48" s="55" t="s">
        <v>368</v>
      </c>
      <c r="F48" s="55" t="s">
        <v>367</v>
      </c>
      <c r="G48" s="55"/>
      <c r="H48" s="55"/>
      <c r="I48" s="55" t="str">
        <f>IFERROR(VLOOKUP($D48,烤漆色號編碼!$A:$D,4,FALSE)*G48+H48,"-")</f>
        <v>-</v>
      </c>
      <c r="J48" s="55">
        <v>2025</v>
      </c>
      <c r="K48" s="159">
        <v>12</v>
      </c>
    </row>
    <row r="49" spans="1:11" ht="13.5" customHeight="1" x14ac:dyDescent="0.15">
      <c r="A49" s="141"/>
      <c r="B49" s="149">
        <v>46</v>
      </c>
      <c r="C49" s="79"/>
      <c r="D49" s="55"/>
      <c r="E49" s="55" t="s">
        <v>368</v>
      </c>
      <c r="F49" s="55" t="s">
        <v>367</v>
      </c>
      <c r="G49" s="55"/>
      <c r="H49" s="55"/>
      <c r="I49" s="55" t="str">
        <f>IFERROR(VLOOKUP($D49,烤漆色號編碼!$A:$D,4,FALSE)*G49+H49,"-")</f>
        <v>-</v>
      </c>
      <c r="J49" s="55">
        <v>2025</v>
      </c>
      <c r="K49" s="160">
        <v>12</v>
      </c>
    </row>
    <row r="50" spans="1:11" ht="13.5" customHeight="1" x14ac:dyDescent="0.15">
      <c r="A50" s="141"/>
      <c r="B50" s="149">
        <v>47</v>
      </c>
      <c r="C50" s="79"/>
      <c r="D50" s="55"/>
      <c r="E50" s="55" t="s">
        <v>368</v>
      </c>
      <c r="F50" s="55" t="s">
        <v>367</v>
      </c>
      <c r="G50" s="55"/>
      <c r="H50" s="55"/>
      <c r="I50" s="55" t="str">
        <f>IFERROR(VLOOKUP($D50,烤漆色號編碼!$A:$D,4,FALSE)*G50+H50,"-")</f>
        <v>-</v>
      </c>
      <c r="J50" s="55">
        <v>2025</v>
      </c>
      <c r="K50" s="159">
        <v>12</v>
      </c>
    </row>
    <row r="51" spans="1:11" ht="13.5" customHeight="1" x14ac:dyDescent="0.15">
      <c r="A51" s="141"/>
      <c r="B51" s="149">
        <v>48</v>
      </c>
      <c r="C51" s="79"/>
      <c r="D51" s="55"/>
      <c r="E51" s="55" t="s">
        <v>368</v>
      </c>
      <c r="F51" s="55" t="s">
        <v>367</v>
      </c>
      <c r="G51" s="55"/>
      <c r="H51" s="55"/>
      <c r="I51" s="55" t="str">
        <f>IFERROR(VLOOKUP($D51,烤漆色號編碼!$A:$D,4,FALSE)*G51+H51,"-")</f>
        <v>-</v>
      </c>
      <c r="J51" s="55">
        <v>2025</v>
      </c>
      <c r="K51" s="160">
        <v>12</v>
      </c>
    </row>
    <row r="52" spans="1:11" ht="13.5" customHeight="1" x14ac:dyDescent="0.15">
      <c r="A52" s="141"/>
      <c r="B52" s="149">
        <v>49</v>
      </c>
      <c r="C52" s="79"/>
      <c r="D52" s="55"/>
      <c r="E52" s="55" t="s">
        <v>368</v>
      </c>
      <c r="F52" s="55" t="s">
        <v>367</v>
      </c>
      <c r="G52" s="55"/>
      <c r="H52" s="55"/>
      <c r="I52" s="55" t="str">
        <f>IFERROR(VLOOKUP($D52,烤漆色號編碼!$A:$D,4,FALSE)*G52+H52,"-")</f>
        <v>-</v>
      </c>
      <c r="J52" s="55">
        <v>2025</v>
      </c>
      <c r="K52" s="159">
        <v>12</v>
      </c>
    </row>
    <row r="53" spans="1:11" ht="13.5" customHeight="1" x14ac:dyDescent="0.15">
      <c r="A53" s="141"/>
      <c r="B53" s="149">
        <v>50</v>
      </c>
      <c r="C53" s="79"/>
      <c r="D53" s="55"/>
      <c r="E53" s="55" t="s">
        <v>368</v>
      </c>
      <c r="F53" s="55" t="s">
        <v>367</v>
      </c>
      <c r="G53" s="55"/>
      <c r="H53" s="55"/>
      <c r="I53" s="55" t="str">
        <f>IFERROR(VLOOKUP($D53,烤漆色號編碼!$A:$D,4,FALSE)*G53+H53,"-")</f>
        <v>-</v>
      </c>
      <c r="J53" s="55">
        <v>2025</v>
      </c>
      <c r="K53" s="160">
        <v>12</v>
      </c>
    </row>
    <row r="54" spans="1:11" ht="13.5" customHeight="1" x14ac:dyDescent="0.15">
      <c r="A54" s="141"/>
      <c r="B54" s="149">
        <v>51</v>
      </c>
      <c r="C54" s="79"/>
      <c r="D54" s="55"/>
      <c r="E54" s="55" t="s">
        <v>367</v>
      </c>
      <c r="F54" s="55" t="s">
        <v>367</v>
      </c>
      <c r="G54" s="55"/>
      <c r="H54" s="55"/>
      <c r="I54" s="55" t="str">
        <f>IFERROR(VLOOKUP($D54,烤漆色號編碼!$A:$D,4,FALSE)*G54+H54,"-")</f>
        <v>-</v>
      </c>
      <c r="J54" s="55">
        <v>2025</v>
      </c>
      <c r="K54" s="159">
        <v>12</v>
      </c>
    </row>
    <row r="55" spans="1:11" ht="13.5" customHeight="1" x14ac:dyDescent="0.15">
      <c r="A55" s="141"/>
      <c r="B55" s="149">
        <v>52</v>
      </c>
      <c r="C55" s="79"/>
      <c r="D55" s="55"/>
      <c r="E55" s="55" t="s">
        <v>367</v>
      </c>
      <c r="F55" s="55" t="s">
        <v>367</v>
      </c>
      <c r="G55" s="55"/>
      <c r="H55" s="55"/>
      <c r="I55" s="55" t="str">
        <f>IFERROR(VLOOKUP($D55,烤漆色號編碼!$A:$D,4,FALSE)*G55+H55,"-")</f>
        <v>-</v>
      </c>
      <c r="J55" s="55">
        <v>2025</v>
      </c>
      <c r="K55" s="160">
        <v>12</v>
      </c>
    </row>
    <row r="56" spans="1:11" ht="13.5" customHeight="1" x14ac:dyDescent="0.15">
      <c r="A56" s="141"/>
      <c r="B56" s="149">
        <v>53</v>
      </c>
      <c r="C56" s="79"/>
      <c r="D56" s="55"/>
      <c r="E56" s="55" t="s">
        <v>367</v>
      </c>
      <c r="F56" s="55" t="s">
        <v>367</v>
      </c>
      <c r="G56" s="55"/>
      <c r="H56" s="55"/>
      <c r="I56" s="55" t="str">
        <f>IFERROR(VLOOKUP($D56,烤漆色號編碼!$A:$D,4,FALSE)*G56+H56,"-")</f>
        <v>-</v>
      </c>
      <c r="J56" s="55">
        <v>2025</v>
      </c>
      <c r="K56" s="159">
        <v>12</v>
      </c>
    </row>
    <row r="57" spans="1:11" ht="13.5" customHeight="1" x14ac:dyDescent="0.15">
      <c r="A57" s="141"/>
      <c r="B57" s="149">
        <v>54</v>
      </c>
      <c r="C57" s="79"/>
      <c r="D57" s="55"/>
      <c r="E57" s="55" t="s">
        <v>367</v>
      </c>
      <c r="F57" s="55" t="s">
        <v>367</v>
      </c>
      <c r="G57" s="55"/>
      <c r="H57" s="55"/>
      <c r="I57" s="55" t="str">
        <f>IFERROR(VLOOKUP($D57,烤漆色號編碼!$A:$D,4,FALSE)*G57+H57,"-")</f>
        <v>-</v>
      </c>
      <c r="J57" s="55">
        <v>2025</v>
      </c>
      <c r="K57" s="160">
        <v>12</v>
      </c>
    </row>
    <row r="58" spans="1:11" ht="13.5" customHeight="1" x14ac:dyDescent="0.15">
      <c r="A58" s="141"/>
      <c r="B58" s="149">
        <v>55</v>
      </c>
      <c r="C58" s="79"/>
      <c r="D58" s="55"/>
      <c r="E58" s="55" t="s">
        <v>367</v>
      </c>
      <c r="F58" s="55" t="s">
        <v>367</v>
      </c>
      <c r="G58" s="55"/>
      <c r="H58" s="55"/>
      <c r="I58" s="55" t="str">
        <f>IFERROR(VLOOKUP($D58,烤漆色號編碼!$A:$D,4,FALSE)*G58+H58,"-")</f>
        <v>-</v>
      </c>
      <c r="J58" s="55">
        <v>2025</v>
      </c>
      <c r="K58" s="159">
        <v>12</v>
      </c>
    </row>
    <row r="59" spans="1:11" ht="13.5" customHeight="1" x14ac:dyDescent="0.15">
      <c r="A59" s="141"/>
      <c r="B59" s="149">
        <v>56</v>
      </c>
      <c r="C59" s="79"/>
      <c r="D59" s="55"/>
      <c r="E59" s="55" t="s">
        <v>367</v>
      </c>
      <c r="F59" s="55" t="s">
        <v>367</v>
      </c>
      <c r="G59" s="55"/>
      <c r="H59" s="55"/>
      <c r="I59" s="55" t="str">
        <f>IFERROR(VLOOKUP($D59,烤漆色號編碼!$A:$D,4,FALSE)*G59+H59,"-")</f>
        <v>-</v>
      </c>
      <c r="J59" s="55">
        <v>2025</v>
      </c>
      <c r="K59" s="160">
        <v>12</v>
      </c>
    </row>
    <row r="60" spans="1:11" ht="13.5" customHeight="1" x14ac:dyDescent="0.15">
      <c r="A60" s="141"/>
      <c r="B60" s="149">
        <v>57</v>
      </c>
      <c r="C60" s="79"/>
      <c r="D60" s="55"/>
      <c r="E60" s="55" t="s">
        <v>367</v>
      </c>
      <c r="F60" s="55" t="s">
        <v>367</v>
      </c>
      <c r="G60" s="55"/>
      <c r="H60" s="55"/>
      <c r="I60" s="55" t="str">
        <f>IFERROR(VLOOKUP($D60,烤漆色號編碼!$A:$D,4,FALSE)*G60+H60,"-")</f>
        <v>-</v>
      </c>
      <c r="J60" s="55">
        <v>2025</v>
      </c>
      <c r="K60" s="159">
        <v>12</v>
      </c>
    </row>
    <row r="61" spans="1:11" ht="13.5" customHeight="1" x14ac:dyDescent="0.15">
      <c r="A61" s="141"/>
      <c r="B61" s="149">
        <v>58</v>
      </c>
      <c r="C61" s="79"/>
      <c r="D61" s="55"/>
      <c r="E61" s="55" t="s">
        <v>367</v>
      </c>
      <c r="F61" s="55" t="s">
        <v>367</v>
      </c>
      <c r="G61" s="55"/>
      <c r="H61" s="55"/>
      <c r="I61" s="55" t="str">
        <f>IFERROR(VLOOKUP($D61,烤漆色號編碼!$A:$D,4,FALSE)*G61+H61,"-")</f>
        <v>-</v>
      </c>
      <c r="J61" s="55">
        <v>2025</v>
      </c>
      <c r="K61" s="160">
        <v>12</v>
      </c>
    </row>
    <row r="62" spans="1:11" ht="13.5" customHeight="1" x14ac:dyDescent="0.15">
      <c r="A62" s="141"/>
      <c r="B62" s="149">
        <v>59</v>
      </c>
      <c r="C62" s="79"/>
      <c r="D62" s="55"/>
      <c r="E62" s="55" t="s">
        <v>367</v>
      </c>
      <c r="F62" s="55" t="s">
        <v>367</v>
      </c>
      <c r="G62" s="55"/>
      <c r="H62" s="55"/>
      <c r="I62" s="55" t="str">
        <f>IFERROR(VLOOKUP($D62,烤漆色號編碼!$A:$D,4,FALSE)*G62+H62,"-")</f>
        <v>-</v>
      </c>
      <c r="J62" s="55">
        <v>2025</v>
      </c>
      <c r="K62" s="159">
        <v>12</v>
      </c>
    </row>
    <row r="63" spans="1:11" ht="13.5" customHeight="1" x14ac:dyDescent="0.15">
      <c r="A63" s="141"/>
      <c r="B63" s="149">
        <v>60</v>
      </c>
      <c r="C63" s="79"/>
      <c r="D63" s="55"/>
      <c r="E63" s="55" t="s">
        <v>367</v>
      </c>
      <c r="F63" s="55" t="s">
        <v>367</v>
      </c>
      <c r="G63" s="55"/>
      <c r="H63" s="55"/>
      <c r="I63" s="55" t="str">
        <f>IFERROR(VLOOKUP($D63,烤漆色號編碼!$A:$D,4,FALSE)*G63+H63,"-")</f>
        <v>-</v>
      </c>
      <c r="J63" s="55">
        <v>2025</v>
      </c>
      <c r="K63" s="160">
        <v>12</v>
      </c>
    </row>
    <row r="64" spans="1:11" ht="13.5" customHeight="1" x14ac:dyDescent="0.15">
      <c r="A64" s="141"/>
      <c r="B64" s="149">
        <v>61</v>
      </c>
      <c r="C64" s="79"/>
      <c r="D64" s="55"/>
      <c r="E64" s="55" t="s">
        <v>367</v>
      </c>
      <c r="F64" s="55" t="s">
        <v>367</v>
      </c>
      <c r="G64" s="55"/>
      <c r="H64" s="55"/>
      <c r="I64" s="55" t="str">
        <f>IFERROR(VLOOKUP($D64,烤漆色號編碼!$A:$D,4,FALSE)*G64+H64,"-")</f>
        <v>-</v>
      </c>
      <c r="J64" s="55">
        <v>2025</v>
      </c>
      <c r="K64" s="159">
        <v>12</v>
      </c>
    </row>
    <row r="65" spans="1:11" ht="13.5" customHeight="1" x14ac:dyDescent="0.15">
      <c r="A65" s="141"/>
      <c r="B65" s="149">
        <v>62</v>
      </c>
      <c r="C65" s="79"/>
      <c r="D65" s="55"/>
      <c r="E65" s="55" t="s">
        <v>367</v>
      </c>
      <c r="F65" s="55" t="s">
        <v>367</v>
      </c>
      <c r="G65" s="55"/>
      <c r="H65" s="55"/>
      <c r="I65" s="55" t="str">
        <f>IFERROR(VLOOKUP($D65,烤漆色號編碼!$A:$D,4,FALSE)*G65+H65,"-")</f>
        <v>-</v>
      </c>
      <c r="J65" s="55">
        <v>2025</v>
      </c>
      <c r="K65" s="160">
        <v>12</v>
      </c>
    </row>
    <row r="66" spans="1:11" ht="13.5" customHeight="1" x14ac:dyDescent="0.15">
      <c r="A66" s="141"/>
      <c r="B66" s="149">
        <v>63</v>
      </c>
      <c r="C66" s="79"/>
      <c r="D66" s="55"/>
      <c r="E66" s="55" t="s">
        <v>367</v>
      </c>
      <c r="F66" s="55" t="s">
        <v>367</v>
      </c>
      <c r="G66" s="55"/>
      <c r="H66" s="55"/>
      <c r="I66" s="55" t="str">
        <f>IFERROR(VLOOKUP($D66,烤漆色號編碼!$A:$D,4,FALSE)*G66+H66,"-")</f>
        <v>-</v>
      </c>
      <c r="J66" s="55">
        <v>2025</v>
      </c>
      <c r="K66" s="159">
        <v>12</v>
      </c>
    </row>
    <row r="67" spans="1:11" ht="13.5" customHeight="1" x14ac:dyDescent="0.15">
      <c r="A67" s="141"/>
      <c r="B67" s="149">
        <v>64</v>
      </c>
      <c r="C67" s="79"/>
      <c r="D67" s="55"/>
      <c r="E67" s="55" t="s">
        <v>367</v>
      </c>
      <c r="F67" s="55" t="s">
        <v>367</v>
      </c>
      <c r="G67" s="55"/>
      <c r="H67" s="55"/>
      <c r="I67" s="55" t="str">
        <f>IFERROR(VLOOKUP($D67,烤漆色號編碼!$A:$D,4,FALSE)*G67+H67,"-")</f>
        <v>-</v>
      </c>
      <c r="J67" s="55">
        <v>2025</v>
      </c>
      <c r="K67" s="160">
        <v>12</v>
      </c>
    </row>
    <row r="68" spans="1:11" ht="13.5" customHeight="1" x14ac:dyDescent="0.15">
      <c r="A68" s="141"/>
      <c r="B68" s="149">
        <v>65</v>
      </c>
      <c r="C68" s="79"/>
      <c r="D68" s="55"/>
      <c r="E68" s="55" t="s">
        <v>367</v>
      </c>
      <c r="F68" s="55" t="s">
        <v>367</v>
      </c>
      <c r="G68" s="55"/>
      <c r="H68" s="55"/>
      <c r="I68" s="55" t="str">
        <f>IFERROR(VLOOKUP($D68,烤漆色號編碼!$A:$D,4,FALSE)*G68+H68,"-")</f>
        <v>-</v>
      </c>
      <c r="J68" s="55">
        <v>2025</v>
      </c>
      <c r="K68" s="159">
        <v>12</v>
      </c>
    </row>
    <row r="69" spans="1:11" ht="13.5" customHeight="1" x14ac:dyDescent="0.15">
      <c r="A69" s="141"/>
      <c r="B69" s="149">
        <v>66</v>
      </c>
      <c r="C69" s="79"/>
      <c r="D69" s="55"/>
      <c r="E69" s="55" t="s">
        <v>367</v>
      </c>
      <c r="F69" s="55" t="s">
        <v>367</v>
      </c>
      <c r="G69" s="55"/>
      <c r="H69" s="55"/>
      <c r="I69" s="55" t="str">
        <f>IFERROR(VLOOKUP($D69,烤漆色號編碼!$A:$D,4,FALSE)*G69+H69,"-")</f>
        <v>-</v>
      </c>
      <c r="J69" s="55">
        <v>2025</v>
      </c>
      <c r="K69" s="160">
        <v>12</v>
      </c>
    </row>
    <row r="70" spans="1:11" ht="13.5" customHeight="1" x14ac:dyDescent="0.15">
      <c r="A70" s="141"/>
      <c r="B70" s="149">
        <v>67</v>
      </c>
      <c r="C70" s="79"/>
      <c r="D70" s="55"/>
      <c r="E70" s="55" t="s">
        <v>367</v>
      </c>
      <c r="F70" s="55" t="s">
        <v>367</v>
      </c>
      <c r="G70" s="55"/>
      <c r="H70" s="55"/>
      <c r="I70" s="55" t="str">
        <f>IFERROR(VLOOKUP($D70,烤漆色號編碼!$A:$D,4,FALSE)*G70+H70,"-")</f>
        <v>-</v>
      </c>
      <c r="J70" s="55">
        <v>2025</v>
      </c>
      <c r="K70" s="159">
        <v>12</v>
      </c>
    </row>
    <row r="71" spans="1:11" ht="13.5" customHeight="1" x14ac:dyDescent="0.15">
      <c r="A71" s="141"/>
      <c r="B71" s="149">
        <v>68</v>
      </c>
      <c r="C71" s="79"/>
      <c r="D71" s="55"/>
      <c r="E71" s="55" t="s">
        <v>367</v>
      </c>
      <c r="F71" s="55" t="s">
        <v>367</v>
      </c>
      <c r="G71" s="55"/>
      <c r="H71" s="55"/>
      <c r="I71" s="55" t="str">
        <f>IFERROR(VLOOKUP($D71,烤漆色號編碼!$A:$D,4,FALSE)*G71+H71,"-")</f>
        <v>-</v>
      </c>
      <c r="J71" s="55">
        <v>2025</v>
      </c>
      <c r="K71" s="160">
        <v>12</v>
      </c>
    </row>
    <row r="72" spans="1:11" ht="13.5" customHeight="1" x14ac:dyDescent="0.15">
      <c r="A72" s="141"/>
      <c r="B72" s="149">
        <v>69</v>
      </c>
      <c r="C72" s="79"/>
      <c r="D72" s="55"/>
      <c r="E72" s="55" t="s">
        <v>367</v>
      </c>
      <c r="F72" s="55" t="s">
        <v>367</v>
      </c>
      <c r="G72" s="55"/>
      <c r="H72" s="55"/>
      <c r="I72" s="55" t="str">
        <f>IFERROR(VLOOKUP($D72,烤漆色號編碼!$A:$D,4,FALSE)*G72+H72,"-")</f>
        <v>-</v>
      </c>
      <c r="J72" s="55">
        <v>2025</v>
      </c>
      <c r="K72" s="159">
        <v>12</v>
      </c>
    </row>
    <row r="73" spans="1:11" ht="13.5" customHeight="1" x14ac:dyDescent="0.15">
      <c r="A73" s="141"/>
      <c r="B73" s="149">
        <v>70</v>
      </c>
      <c r="C73" s="79"/>
      <c r="D73" s="55"/>
      <c r="E73" s="55" t="s">
        <v>367</v>
      </c>
      <c r="F73" s="55" t="s">
        <v>367</v>
      </c>
      <c r="G73" s="55"/>
      <c r="H73" s="55"/>
      <c r="I73" s="55" t="str">
        <f>IFERROR(VLOOKUP($D73,烤漆色號編碼!$A:$D,4,FALSE)*G73+H73,"-")</f>
        <v>-</v>
      </c>
      <c r="J73" s="55">
        <v>2025</v>
      </c>
      <c r="K73" s="160">
        <v>12</v>
      </c>
    </row>
    <row r="74" spans="1:11" ht="13.5" customHeight="1" x14ac:dyDescent="0.15">
      <c r="A74" s="141"/>
      <c r="B74" s="149">
        <v>71</v>
      </c>
      <c r="C74" s="79"/>
      <c r="D74" s="55"/>
      <c r="E74" s="55" t="s">
        <v>367</v>
      </c>
      <c r="F74" s="55" t="s">
        <v>367</v>
      </c>
      <c r="G74" s="55"/>
      <c r="H74" s="55"/>
      <c r="I74" s="55" t="str">
        <f>IFERROR(VLOOKUP($D74,烤漆色號編碼!$A:$D,4,FALSE)*G74+H74,"-")</f>
        <v>-</v>
      </c>
      <c r="J74" s="55">
        <v>2025</v>
      </c>
      <c r="K74" s="159">
        <v>12</v>
      </c>
    </row>
    <row r="75" spans="1:11" ht="13.5" customHeight="1" x14ac:dyDescent="0.15">
      <c r="A75" s="141"/>
      <c r="B75" s="149">
        <v>72</v>
      </c>
      <c r="C75" s="79"/>
      <c r="D75" s="55"/>
      <c r="E75" s="55" t="s">
        <v>367</v>
      </c>
      <c r="F75" s="55" t="s">
        <v>367</v>
      </c>
      <c r="G75" s="55"/>
      <c r="H75" s="55"/>
      <c r="I75" s="55" t="str">
        <f>IFERROR(VLOOKUP($D75,烤漆色號編碼!$A:$D,4,FALSE)*G75+H75,"-")</f>
        <v>-</v>
      </c>
      <c r="J75" s="55">
        <v>2025</v>
      </c>
      <c r="K75" s="160">
        <v>12</v>
      </c>
    </row>
    <row r="76" spans="1:11" ht="13.5" customHeight="1" x14ac:dyDescent="0.15">
      <c r="A76" s="141"/>
      <c r="B76" s="149">
        <v>73</v>
      </c>
      <c r="C76" s="79"/>
      <c r="D76" s="55"/>
      <c r="E76" s="55" t="s">
        <v>367</v>
      </c>
      <c r="F76" s="55" t="s">
        <v>367</v>
      </c>
      <c r="G76" s="55"/>
      <c r="H76" s="55"/>
      <c r="I76" s="55" t="str">
        <f>IFERROR(VLOOKUP($D76,烤漆色號編碼!$A:$D,4,FALSE)*G76+H76,"-")</f>
        <v>-</v>
      </c>
      <c r="J76" s="55">
        <v>2025</v>
      </c>
      <c r="K76" s="159">
        <v>12</v>
      </c>
    </row>
    <row r="77" spans="1:11" ht="13.5" customHeight="1" x14ac:dyDescent="0.15">
      <c r="A77" s="141"/>
      <c r="B77" s="149">
        <v>74</v>
      </c>
      <c r="C77" s="79"/>
      <c r="D77" s="55"/>
      <c r="E77" s="55" t="s">
        <v>367</v>
      </c>
      <c r="F77" s="55" t="s">
        <v>367</v>
      </c>
      <c r="G77" s="55"/>
      <c r="H77" s="55"/>
      <c r="I77" s="55" t="str">
        <f>IFERROR(VLOOKUP($D77,烤漆色號編碼!$A:$D,4,FALSE)*G77+H77,"-")</f>
        <v>-</v>
      </c>
      <c r="J77" s="55">
        <v>1899</v>
      </c>
      <c r="K77" s="160">
        <v>12</v>
      </c>
    </row>
    <row r="78" spans="1:11" ht="13.5" customHeight="1" x14ac:dyDescent="0.15">
      <c r="A78" s="141"/>
      <c r="B78" s="149">
        <v>75</v>
      </c>
      <c r="C78" s="79"/>
      <c r="D78" s="55"/>
      <c r="E78" s="55" t="s">
        <v>367</v>
      </c>
      <c r="F78" s="55" t="s">
        <v>367</v>
      </c>
      <c r="G78" s="55"/>
      <c r="H78" s="55"/>
      <c r="I78" s="55" t="str">
        <f>IFERROR(VLOOKUP($D78,烤漆色號編碼!$A:$D,4,FALSE)*G78+H78,"-")</f>
        <v>-</v>
      </c>
      <c r="J78" s="55">
        <v>1899</v>
      </c>
      <c r="K78" s="159">
        <v>12</v>
      </c>
    </row>
    <row r="79" spans="1:11" ht="13.5" customHeight="1" x14ac:dyDescent="0.15">
      <c r="A79" s="141"/>
      <c r="B79" s="149">
        <v>76</v>
      </c>
      <c r="C79" s="79"/>
      <c r="D79" s="55"/>
      <c r="E79" s="55" t="s">
        <v>367</v>
      </c>
      <c r="F79" s="55" t="s">
        <v>367</v>
      </c>
      <c r="G79" s="55"/>
      <c r="H79" s="55"/>
      <c r="I79" s="55" t="str">
        <f>IFERROR(VLOOKUP($D79,烤漆色號編碼!$A:$D,4,FALSE)*G79+H79,"-")</f>
        <v>-</v>
      </c>
      <c r="J79" s="55">
        <v>1899</v>
      </c>
      <c r="K79" s="160">
        <v>12</v>
      </c>
    </row>
    <row r="80" spans="1:11" ht="13.5" customHeight="1" x14ac:dyDescent="0.15">
      <c r="A80" s="141"/>
      <c r="B80" s="149">
        <v>77</v>
      </c>
      <c r="C80" s="79"/>
      <c r="D80" s="55"/>
      <c r="E80" s="55" t="s">
        <v>367</v>
      </c>
      <c r="F80" s="55" t="s">
        <v>367</v>
      </c>
      <c r="G80" s="55"/>
      <c r="H80" s="55"/>
      <c r="I80" s="55" t="str">
        <f>IFERROR(VLOOKUP($D80,烤漆色號編碼!$A:$D,4,FALSE)*G80+H80,"-")</f>
        <v>-</v>
      </c>
      <c r="J80" s="55">
        <v>1899</v>
      </c>
      <c r="K80" s="159">
        <v>12</v>
      </c>
    </row>
    <row r="81" spans="1:11" ht="13.5" customHeight="1" x14ac:dyDescent="0.15">
      <c r="A81" s="141"/>
      <c r="B81" s="149">
        <v>78</v>
      </c>
      <c r="C81" s="79"/>
      <c r="D81" s="55"/>
      <c r="E81" s="55" t="s">
        <v>367</v>
      </c>
      <c r="F81" s="55" t="s">
        <v>367</v>
      </c>
      <c r="G81" s="55"/>
      <c r="H81" s="55"/>
      <c r="I81" s="55" t="str">
        <f>IFERROR(VLOOKUP($D81,烤漆色號編碼!$A:$D,4,FALSE)*G81+H81,"-")</f>
        <v>-</v>
      </c>
      <c r="J81" s="55">
        <v>1899</v>
      </c>
      <c r="K81" s="160">
        <v>12</v>
      </c>
    </row>
    <row r="82" spans="1:11" ht="13.5" customHeight="1" x14ac:dyDescent="0.15">
      <c r="A82" s="141"/>
      <c r="B82" s="149">
        <v>79</v>
      </c>
      <c r="C82" s="79"/>
      <c r="D82" s="55"/>
      <c r="E82" s="55" t="s">
        <v>367</v>
      </c>
      <c r="F82" s="55" t="s">
        <v>367</v>
      </c>
      <c r="G82" s="55"/>
      <c r="H82" s="55"/>
      <c r="I82" s="55" t="str">
        <f>IFERROR(VLOOKUP($D82,烤漆色號編碼!$A:$D,4,FALSE)*G82+H82,"-")</f>
        <v>-</v>
      </c>
      <c r="J82" s="55">
        <v>1899</v>
      </c>
      <c r="K82" s="159">
        <v>12</v>
      </c>
    </row>
    <row r="83" spans="1:11" ht="13.5" customHeight="1" x14ac:dyDescent="0.15">
      <c r="A83" s="141"/>
      <c r="B83" s="149">
        <v>80</v>
      </c>
      <c r="C83" s="79"/>
      <c r="D83" s="55"/>
      <c r="E83" s="55" t="s">
        <v>367</v>
      </c>
      <c r="F83" s="55" t="s">
        <v>367</v>
      </c>
      <c r="G83" s="55"/>
      <c r="H83" s="55"/>
      <c r="I83" s="55" t="str">
        <f>IFERROR(VLOOKUP($D83,烤漆色號編碼!$A:$D,4,FALSE)*G83+H83,"-")</f>
        <v>-</v>
      </c>
      <c r="J83" s="55">
        <v>1899</v>
      </c>
      <c r="K83" s="160">
        <v>12</v>
      </c>
    </row>
    <row r="84" spans="1:11" ht="13.5" customHeight="1" x14ac:dyDescent="0.15">
      <c r="A84" s="141"/>
      <c r="B84" s="149">
        <v>81</v>
      </c>
      <c r="C84" s="79"/>
      <c r="D84" s="55"/>
      <c r="E84" s="55" t="s">
        <v>367</v>
      </c>
      <c r="F84" s="55" t="s">
        <v>367</v>
      </c>
      <c r="G84" s="55"/>
      <c r="H84" s="55"/>
      <c r="I84" s="55" t="str">
        <f>IFERROR(VLOOKUP($D84,烤漆色號編碼!$A:$D,4,FALSE)*G84+H84,"-")</f>
        <v>-</v>
      </c>
      <c r="J84" s="55">
        <v>1899</v>
      </c>
      <c r="K84" s="159">
        <v>12</v>
      </c>
    </row>
    <row r="85" spans="1:11" ht="13.5" customHeight="1" x14ac:dyDescent="0.15">
      <c r="A85" s="141"/>
      <c r="B85" s="149">
        <v>82</v>
      </c>
      <c r="C85" s="79"/>
      <c r="D85" s="55"/>
      <c r="E85" s="55" t="s">
        <v>367</v>
      </c>
      <c r="F85" s="55" t="s">
        <v>367</v>
      </c>
      <c r="G85" s="55"/>
      <c r="H85" s="55"/>
      <c r="I85" s="55" t="str">
        <f>IFERROR(VLOOKUP($D85,烤漆色號編碼!$A:$D,4,FALSE)*G85+H85,"-")</f>
        <v>-</v>
      </c>
      <c r="J85" s="55">
        <v>1899</v>
      </c>
      <c r="K85" s="160">
        <v>12</v>
      </c>
    </row>
    <row r="86" spans="1:11" ht="13.5" customHeight="1" x14ac:dyDescent="0.15">
      <c r="A86" s="141"/>
      <c r="B86" s="149">
        <v>83</v>
      </c>
      <c r="C86" s="79"/>
      <c r="D86" s="55"/>
      <c r="E86" s="55" t="s">
        <v>367</v>
      </c>
      <c r="F86" s="55" t="s">
        <v>367</v>
      </c>
      <c r="G86" s="55"/>
      <c r="H86" s="55"/>
      <c r="I86" s="55" t="str">
        <f>IFERROR(VLOOKUP($D86,烤漆色號編碼!$A:$D,4,FALSE)*G86+H86,"-")</f>
        <v>-</v>
      </c>
      <c r="J86" s="55">
        <v>1899</v>
      </c>
      <c r="K86" s="159">
        <v>12</v>
      </c>
    </row>
    <row r="87" spans="1:11" ht="13.5" customHeight="1" x14ac:dyDescent="0.15">
      <c r="A87" s="141"/>
      <c r="B87" s="149">
        <v>84</v>
      </c>
      <c r="C87" s="79"/>
      <c r="D87" s="55"/>
      <c r="E87" s="55" t="s">
        <v>367</v>
      </c>
      <c r="F87" s="55" t="s">
        <v>367</v>
      </c>
      <c r="G87" s="55"/>
      <c r="H87" s="55"/>
      <c r="I87" s="55" t="str">
        <f>IFERROR(VLOOKUP($D87,烤漆色號編碼!$A:$D,4,FALSE)*G87+H87,"-")</f>
        <v>-</v>
      </c>
      <c r="J87" s="55">
        <v>1899</v>
      </c>
      <c r="K87" s="160">
        <v>12</v>
      </c>
    </row>
    <row r="88" spans="1:11" ht="13.5" customHeight="1" x14ac:dyDescent="0.15">
      <c r="A88" s="141"/>
      <c r="B88" s="149">
        <v>85</v>
      </c>
      <c r="C88" s="79"/>
      <c r="D88" s="55"/>
      <c r="E88" s="55" t="s">
        <v>367</v>
      </c>
      <c r="F88" s="55" t="s">
        <v>367</v>
      </c>
      <c r="G88" s="55"/>
      <c r="H88" s="55"/>
      <c r="I88" s="55" t="str">
        <f>IFERROR(VLOOKUP($D88,烤漆色號編碼!$A:$D,4,FALSE)*G88+H88,"-")</f>
        <v>-</v>
      </c>
      <c r="J88" s="55">
        <v>1899</v>
      </c>
      <c r="K88" s="159">
        <v>12</v>
      </c>
    </row>
    <row r="89" spans="1:11" ht="13.5" customHeight="1" x14ac:dyDescent="0.15">
      <c r="A89" s="141"/>
      <c r="B89" s="149">
        <v>86</v>
      </c>
      <c r="C89" s="79"/>
      <c r="D89" s="55"/>
      <c r="E89" s="55" t="s">
        <v>367</v>
      </c>
      <c r="F89" s="55" t="s">
        <v>367</v>
      </c>
      <c r="G89" s="55"/>
      <c r="H89" s="55"/>
      <c r="I89" s="55" t="str">
        <f>IFERROR(VLOOKUP($D89,烤漆色號編碼!$A:$D,4,FALSE)*G89+H89,"-")</f>
        <v>-</v>
      </c>
      <c r="J89" s="55">
        <v>1899</v>
      </c>
      <c r="K89" s="160">
        <v>12</v>
      </c>
    </row>
    <row r="90" spans="1:11" ht="13.5" customHeight="1" x14ac:dyDescent="0.15">
      <c r="A90" s="141"/>
      <c r="B90" s="149">
        <v>87</v>
      </c>
      <c r="C90" s="79"/>
      <c r="D90" s="55"/>
      <c r="E90" s="55" t="s">
        <v>367</v>
      </c>
      <c r="F90" s="55" t="s">
        <v>367</v>
      </c>
      <c r="G90" s="55"/>
      <c r="H90" s="55"/>
      <c r="I90" s="55" t="str">
        <f>IFERROR(VLOOKUP($D90,烤漆色號編碼!$A:$D,4,FALSE)*G90+H90,"-")</f>
        <v>-</v>
      </c>
      <c r="J90" s="55">
        <v>1899</v>
      </c>
      <c r="K90" s="159">
        <v>12</v>
      </c>
    </row>
    <row r="91" spans="1:11" ht="13.5" customHeight="1" x14ac:dyDescent="0.15">
      <c r="A91" s="141"/>
      <c r="B91" s="149">
        <v>88</v>
      </c>
      <c r="C91" s="79"/>
      <c r="D91" s="55"/>
      <c r="E91" s="55" t="s">
        <v>367</v>
      </c>
      <c r="F91" s="55" t="s">
        <v>367</v>
      </c>
      <c r="G91" s="55"/>
      <c r="H91" s="55"/>
      <c r="I91" s="55" t="str">
        <f>IFERROR(VLOOKUP($D91,烤漆色號編碼!$A:$D,4,FALSE)*G91+H91,"-")</f>
        <v>-</v>
      </c>
      <c r="J91" s="55">
        <v>1899</v>
      </c>
      <c r="K91" s="160">
        <v>12</v>
      </c>
    </row>
    <row r="92" spans="1:11" ht="13.5" customHeight="1" x14ac:dyDescent="0.15">
      <c r="A92" s="141"/>
      <c r="B92" s="149">
        <v>89</v>
      </c>
      <c r="C92" s="79"/>
      <c r="D92" s="55"/>
      <c r="E92" s="55" t="s">
        <v>367</v>
      </c>
      <c r="F92" s="55" t="s">
        <v>367</v>
      </c>
      <c r="G92" s="55"/>
      <c r="H92" s="55"/>
      <c r="I92" s="55" t="str">
        <f>IFERROR(VLOOKUP($D92,烤漆色號編碼!$A:$D,4,FALSE)*G92+H92,"-")</f>
        <v>-</v>
      </c>
      <c r="J92" s="55">
        <v>1899</v>
      </c>
      <c r="K92" s="159">
        <v>12</v>
      </c>
    </row>
    <row r="93" spans="1:11" ht="13.5" customHeight="1" x14ac:dyDescent="0.15">
      <c r="A93" s="141"/>
      <c r="B93" s="149">
        <v>90</v>
      </c>
      <c r="C93" s="79"/>
      <c r="D93" s="55"/>
      <c r="E93" s="55" t="s">
        <v>367</v>
      </c>
      <c r="F93" s="55" t="s">
        <v>367</v>
      </c>
      <c r="G93" s="55"/>
      <c r="H93" s="55"/>
      <c r="I93" s="55" t="str">
        <f>IFERROR(VLOOKUP($D93,烤漆色號編碼!$A:$D,4,FALSE)*G93+H93,"-")</f>
        <v>-</v>
      </c>
      <c r="J93" s="55">
        <v>1899</v>
      </c>
      <c r="K93" s="160">
        <v>12</v>
      </c>
    </row>
    <row r="94" spans="1:11" ht="13.5" customHeight="1" x14ac:dyDescent="0.15">
      <c r="A94" s="141"/>
      <c r="B94" s="149">
        <v>91</v>
      </c>
      <c r="C94" s="79"/>
      <c r="D94" s="55"/>
      <c r="E94" s="55" t="s">
        <v>367</v>
      </c>
      <c r="F94" s="55" t="s">
        <v>367</v>
      </c>
      <c r="G94" s="55"/>
      <c r="H94" s="55"/>
      <c r="I94" s="55" t="str">
        <f>IFERROR(VLOOKUP($D94,烤漆色號編碼!$A:$D,4,FALSE)*G94+H94,"-")</f>
        <v>-</v>
      </c>
      <c r="J94" s="55">
        <v>1899</v>
      </c>
      <c r="K94" s="159">
        <v>12</v>
      </c>
    </row>
    <row r="95" spans="1:11" ht="13.5" customHeight="1" x14ac:dyDescent="0.15">
      <c r="A95" s="141"/>
      <c r="B95" s="149">
        <v>92</v>
      </c>
      <c r="C95" s="79"/>
      <c r="D95" s="55"/>
      <c r="E95" s="55" t="s">
        <v>367</v>
      </c>
      <c r="F95" s="55" t="s">
        <v>367</v>
      </c>
      <c r="G95" s="55"/>
      <c r="H95" s="55"/>
      <c r="I95" s="55" t="str">
        <f>IFERROR(VLOOKUP($D95,烤漆色號編碼!$A:$D,4,FALSE)*G95+H95,"-")</f>
        <v>-</v>
      </c>
      <c r="J95" s="55">
        <v>1899</v>
      </c>
      <c r="K95" s="160">
        <v>12</v>
      </c>
    </row>
    <row r="96" spans="1:11" ht="13.5" customHeight="1" x14ac:dyDescent="0.15">
      <c r="A96" s="141"/>
      <c r="B96" s="149">
        <v>93</v>
      </c>
      <c r="C96" s="79"/>
      <c r="D96" s="55"/>
      <c r="E96" s="55" t="s">
        <v>367</v>
      </c>
      <c r="F96" s="55" t="s">
        <v>367</v>
      </c>
      <c r="G96" s="55"/>
      <c r="H96" s="55"/>
      <c r="I96" s="55" t="str">
        <f>IFERROR(VLOOKUP($D96,烤漆色號編碼!$A:$D,4,FALSE)*G96+H96,"-")</f>
        <v>-</v>
      </c>
      <c r="J96" s="55">
        <v>1899</v>
      </c>
      <c r="K96" s="159">
        <v>12</v>
      </c>
    </row>
    <row r="97" spans="1:11" ht="13.5" customHeight="1" x14ac:dyDescent="0.15">
      <c r="A97" s="141"/>
      <c r="B97" s="149">
        <v>94</v>
      </c>
      <c r="C97" s="79"/>
      <c r="D97" s="55"/>
      <c r="E97" s="55" t="s">
        <v>367</v>
      </c>
      <c r="F97" s="55" t="s">
        <v>367</v>
      </c>
      <c r="G97" s="55"/>
      <c r="H97" s="55"/>
      <c r="I97" s="55" t="str">
        <f>IFERROR(VLOOKUP($D97,烤漆色號編碼!$A:$D,4,FALSE)*G97+H97,"-")</f>
        <v>-</v>
      </c>
      <c r="J97" s="55">
        <v>1899</v>
      </c>
      <c r="K97" s="160">
        <v>12</v>
      </c>
    </row>
    <row r="98" spans="1:11" ht="13.5" customHeight="1" x14ac:dyDescent="0.15">
      <c r="A98" s="141"/>
      <c r="B98" s="149">
        <v>95</v>
      </c>
      <c r="C98" s="79"/>
      <c r="D98" s="55"/>
      <c r="E98" s="55" t="s">
        <v>367</v>
      </c>
      <c r="F98" s="55" t="s">
        <v>367</v>
      </c>
      <c r="G98" s="55"/>
      <c r="H98" s="55"/>
      <c r="I98" s="55" t="str">
        <f>IFERROR(VLOOKUP($D98,烤漆色號編碼!$A:$D,4,FALSE)*G98+H98,"-")</f>
        <v>-</v>
      </c>
      <c r="J98" s="55">
        <v>1899</v>
      </c>
      <c r="K98" s="159">
        <v>12</v>
      </c>
    </row>
    <row r="99" spans="1:11" ht="13.5" customHeight="1" x14ac:dyDescent="0.15">
      <c r="A99" s="141"/>
      <c r="B99" s="149">
        <v>96</v>
      </c>
      <c r="C99" s="79"/>
      <c r="D99" s="55"/>
      <c r="E99" s="55" t="s">
        <v>367</v>
      </c>
      <c r="F99" s="55" t="s">
        <v>367</v>
      </c>
      <c r="G99" s="55"/>
      <c r="H99" s="55"/>
      <c r="I99" s="55" t="str">
        <f>IFERROR(VLOOKUP($D99,烤漆色號編碼!$A:$D,4,FALSE)*G99+H99,"-")</f>
        <v>-</v>
      </c>
      <c r="J99" s="55">
        <v>1899</v>
      </c>
      <c r="K99" s="160">
        <v>12</v>
      </c>
    </row>
    <row r="100" spans="1:11" ht="13.5" customHeight="1" x14ac:dyDescent="0.15">
      <c r="A100" s="141"/>
      <c r="B100" s="149">
        <v>97</v>
      </c>
      <c r="C100" s="79"/>
      <c r="D100" s="55"/>
      <c r="E100" s="55" t="s">
        <v>367</v>
      </c>
      <c r="F100" s="55" t="s">
        <v>367</v>
      </c>
      <c r="G100" s="55"/>
      <c r="H100" s="55"/>
      <c r="I100" s="55" t="str">
        <f>IFERROR(VLOOKUP($D100,烤漆色號編碼!$A:$D,4,FALSE)*G100+H100,"-")</f>
        <v>-</v>
      </c>
      <c r="J100" s="55">
        <v>1899</v>
      </c>
      <c r="K100" s="159">
        <v>12</v>
      </c>
    </row>
    <row r="101" spans="1:11" ht="13.5" customHeight="1" x14ac:dyDescent="0.15">
      <c r="A101" s="141"/>
      <c r="B101" s="149">
        <v>98</v>
      </c>
      <c r="C101" s="79"/>
      <c r="D101" s="55"/>
      <c r="E101" s="55" t="s">
        <v>367</v>
      </c>
      <c r="F101" s="55" t="s">
        <v>367</v>
      </c>
      <c r="G101" s="55"/>
      <c r="H101" s="55"/>
      <c r="I101" s="55" t="str">
        <f>IFERROR(VLOOKUP($D101,烤漆色號編碼!$A:$D,4,FALSE)*G101+H101,"-")</f>
        <v>-</v>
      </c>
      <c r="J101" s="55">
        <v>1899</v>
      </c>
      <c r="K101" s="160">
        <v>12</v>
      </c>
    </row>
    <row r="102" spans="1:11" ht="13.5" customHeight="1" x14ac:dyDescent="0.15">
      <c r="A102" s="141"/>
      <c r="B102" s="149">
        <v>99</v>
      </c>
      <c r="C102" s="79"/>
      <c r="D102" s="55"/>
      <c r="E102" s="55" t="s">
        <v>367</v>
      </c>
      <c r="F102" s="55" t="s">
        <v>367</v>
      </c>
      <c r="G102" s="55"/>
      <c r="H102" s="55"/>
      <c r="I102" s="55" t="str">
        <f>IFERROR(VLOOKUP($D102,烤漆色號編碼!$A:$D,4,FALSE)*G102+H102,"-")</f>
        <v>-</v>
      </c>
      <c r="J102" s="55">
        <v>1899</v>
      </c>
      <c r="K102" s="159">
        <v>12</v>
      </c>
    </row>
    <row r="103" spans="1:11" ht="13.5" customHeight="1" x14ac:dyDescent="0.15">
      <c r="A103" s="141"/>
      <c r="B103" s="149">
        <v>100</v>
      </c>
      <c r="C103" s="79"/>
      <c r="D103" s="55"/>
      <c r="E103" s="55" t="s">
        <v>367</v>
      </c>
      <c r="F103" s="55" t="s">
        <v>367</v>
      </c>
      <c r="G103" s="55"/>
      <c r="H103" s="55"/>
      <c r="I103" s="55" t="str">
        <f>IFERROR(VLOOKUP($D103,烤漆色號編碼!$A:$D,4,FALSE)*G103+H103,"-")</f>
        <v>-</v>
      </c>
      <c r="J103" s="55">
        <v>1899</v>
      </c>
      <c r="K103" s="160">
        <v>12</v>
      </c>
    </row>
    <row r="104" spans="1:11" ht="13.5" customHeight="1" x14ac:dyDescent="0.15">
      <c r="A104" s="141"/>
      <c r="B104" s="149">
        <v>101</v>
      </c>
      <c r="C104" s="79"/>
      <c r="D104" s="55"/>
      <c r="E104" s="55" t="s">
        <v>367</v>
      </c>
      <c r="F104" s="55" t="s">
        <v>367</v>
      </c>
      <c r="G104" s="55"/>
      <c r="H104" s="55"/>
      <c r="I104" s="55" t="str">
        <f>IFERROR(VLOOKUP($D104,烤漆色號編碼!$A:$D,4,FALSE)*G104+H104,"-")</f>
        <v>-</v>
      </c>
      <c r="J104" s="55">
        <v>1899</v>
      </c>
      <c r="K104" s="159">
        <v>12</v>
      </c>
    </row>
    <row r="105" spans="1:11" ht="13.5" customHeight="1" x14ac:dyDescent="0.15">
      <c r="A105" s="141"/>
      <c r="B105" s="149">
        <v>102</v>
      </c>
      <c r="C105" s="79"/>
      <c r="D105" s="55"/>
      <c r="E105" s="55" t="s">
        <v>367</v>
      </c>
      <c r="F105" s="55" t="s">
        <v>367</v>
      </c>
      <c r="G105" s="55"/>
      <c r="H105" s="55"/>
      <c r="I105" s="55" t="str">
        <f>IFERROR(VLOOKUP($D105,烤漆色號編碼!$A:$D,4,FALSE)*G105+H105,"-")</f>
        <v>-</v>
      </c>
      <c r="J105" s="55">
        <v>1899</v>
      </c>
      <c r="K105" s="160">
        <v>12</v>
      </c>
    </row>
    <row r="106" spans="1:11" ht="13.5" customHeight="1" x14ac:dyDescent="0.15">
      <c r="A106" s="141"/>
      <c r="B106" s="149">
        <v>103</v>
      </c>
      <c r="C106" s="79"/>
      <c r="D106" s="55"/>
      <c r="E106" s="55" t="s">
        <v>367</v>
      </c>
      <c r="F106" s="55" t="s">
        <v>367</v>
      </c>
      <c r="G106" s="55"/>
      <c r="H106" s="55"/>
      <c r="I106" s="55" t="str">
        <f>IFERROR(VLOOKUP($D106,烤漆色號編碼!$A:$D,4,FALSE)*G106+H106,"-")</f>
        <v>-</v>
      </c>
      <c r="J106" s="55">
        <v>1899</v>
      </c>
      <c r="K106" s="159">
        <v>12</v>
      </c>
    </row>
    <row r="107" spans="1:11" ht="13.5" customHeight="1" x14ac:dyDescent="0.15">
      <c r="A107" s="141"/>
      <c r="B107" s="149">
        <v>104</v>
      </c>
      <c r="C107" s="79"/>
      <c r="D107" s="55"/>
      <c r="E107" s="55" t="s">
        <v>367</v>
      </c>
      <c r="F107" s="55" t="s">
        <v>367</v>
      </c>
      <c r="G107" s="55"/>
      <c r="H107" s="55"/>
      <c r="I107" s="55" t="str">
        <f>IFERROR(VLOOKUP($D107,烤漆色號編碼!$A:$D,4,FALSE)*G107+H107,"-")</f>
        <v>-</v>
      </c>
      <c r="J107" s="55">
        <v>1899</v>
      </c>
      <c r="K107" s="160">
        <v>12</v>
      </c>
    </row>
    <row r="108" spans="1:11" ht="13.5" customHeight="1" x14ac:dyDescent="0.15">
      <c r="A108" s="141"/>
      <c r="B108" s="149">
        <v>105</v>
      </c>
      <c r="C108" s="79"/>
      <c r="D108" s="55"/>
      <c r="E108" s="55" t="s">
        <v>367</v>
      </c>
      <c r="F108" s="55" t="s">
        <v>367</v>
      </c>
      <c r="G108" s="55"/>
      <c r="H108" s="55"/>
      <c r="I108" s="55" t="str">
        <f>IFERROR(VLOOKUP($D108,烤漆色號編碼!$A:$D,4,FALSE)*G108+H108,"-")</f>
        <v>-</v>
      </c>
      <c r="J108" s="55">
        <v>1899</v>
      </c>
      <c r="K108" s="159">
        <v>12</v>
      </c>
    </row>
    <row r="109" spans="1:11" ht="13.5" customHeight="1" x14ac:dyDescent="0.15">
      <c r="A109" s="141"/>
      <c r="B109" s="149">
        <v>106</v>
      </c>
      <c r="C109" s="79"/>
      <c r="D109" s="55"/>
      <c r="E109" s="55" t="s">
        <v>367</v>
      </c>
      <c r="F109" s="55" t="s">
        <v>367</v>
      </c>
      <c r="G109" s="55"/>
      <c r="H109" s="55"/>
      <c r="I109" s="55" t="str">
        <f>IFERROR(VLOOKUP($D109,烤漆色號編碼!$A:$D,4,FALSE)*G109+H109,"-")</f>
        <v>-</v>
      </c>
      <c r="J109" s="55">
        <v>1899</v>
      </c>
      <c r="K109" s="160">
        <v>12</v>
      </c>
    </row>
    <row r="110" spans="1:11" ht="13.5" customHeight="1" x14ac:dyDescent="0.15">
      <c r="A110" s="141"/>
      <c r="B110" s="149">
        <v>107</v>
      </c>
      <c r="C110" s="79"/>
      <c r="D110" s="55"/>
      <c r="E110" s="55" t="s">
        <v>367</v>
      </c>
      <c r="F110" s="55" t="s">
        <v>367</v>
      </c>
      <c r="G110" s="55"/>
      <c r="H110" s="55"/>
      <c r="I110" s="55" t="str">
        <f>IFERROR(VLOOKUP($D110,烤漆色號編碼!$A:$D,4,FALSE)*G110+H110,"-")</f>
        <v>-</v>
      </c>
      <c r="J110" s="55">
        <v>1899</v>
      </c>
      <c r="K110" s="159">
        <v>12</v>
      </c>
    </row>
    <row r="111" spans="1:11" ht="13.5" customHeight="1" x14ac:dyDescent="0.15">
      <c r="A111" s="141"/>
      <c r="B111" s="149">
        <v>108</v>
      </c>
      <c r="C111" s="79"/>
      <c r="D111" s="55"/>
      <c r="E111" s="55" t="s">
        <v>367</v>
      </c>
      <c r="F111" s="55" t="s">
        <v>367</v>
      </c>
      <c r="G111" s="55"/>
      <c r="H111" s="55"/>
      <c r="I111" s="55" t="str">
        <f>IFERROR(VLOOKUP($D111,烤漆色號編碼!$A:$D,4,FALSE)*G111+H111,"-")</f>
        <v>-</v>
      </c>
      <c r="J111" s="55">
        <v>1899</v>
      </c>
      <c r="K111" s="160">
        <v>12</v>
      </c>
    </row>
    <row r="112" spans="1:11" ht="13.5" customHeight="1" x14ac:dyDescent="0.15">
      <c r="A112" s="141"/>
      <c r="B112" s="149">
        <v>109</v>
      </c>
      <c r="C112" s="79"/>
      <c r="D112" s="55"/>
      <c r="E112" s="55" t="s">
        <v>367</v>
      </c>
      <c r="F112" s="55" t="s">
        <v>367</v>
      </c>
      <c r="G112" s="55"/>
      <c r="H112" s="55"/>
      <c r="I112" s="55" t="str">
        <f>IFERROR(VLOOKUP($D112,烤漆色號編碼!$A:$D,4,FALSE)*G112+H112,"-")</f>
        <v>-</v>
      </c>
      <c r="J112" s="55">
        <v>1899</v>
      </c>
      <c r="K112" s="159">
        <v>12</v>
      </c>
    </row>
    <row r="113" spans="1:11" ht="13.5" customHeight="1" x14ac:dyDescent="0.15">
      <c r="A113" s="141"/>
      <c r="B113" s="149">
        <v>110</v>
      </c>
      <c r="C113" s="79"/>
      <c r="D113" s="55"/>
      <c r="E113" s="55" t="s">
        <v>367</v>
      </c>
      <c r="F113" s="55" t="s">
        <v>367</v>
      </c>
      <c r="G113" s="55"/>
      <c r="H113" s="55"/>
      <c r="I113" s="55" t="str">
        <f>IFERROR(VLOOKUP($D113,烤漆色號編碼!$A:$D,4,FALSE)*G113+H113,"-")</f>
        <v>-</v>
      </c>
      <c r="J113" s="55">
        <v>1899</v>
      </c>
      <c r="K113" s="160">
        <v>12</v>
      </c>
    </row>
    <row r="114" spans="1:11" ht="13.5" customHeight="1" x14ac:dyDescent="0.15">
      <c r="A114" s="141"/>
      <c r="B114" s="149">
        <v>111</v>
      </c>
      <c r="C114" s="79"/>
      <c r="D114" s="55"/>
      <c r="E114" s="55" t="s">
        <v>367</v>
      </c>
      <c r="F114" s="55" t="s">
        <v>367</v>
      </c>
      <c r="G114" s="55"/>
      <c r="H114" s="55"/>
      <c r="I114" s="55" t="str">
        <f>IFERROR(VLOOKUP($D114,烤漆色號編碼!$A:$D,4,FALSE)*G114+H114,"-")</f>
        <v>-</v>
      </c>
      <c r="J114" s="55">
        <v>1899</v>
      </c>
      <c r="K114" s="159">
        <v>12</v>
      </c>
    </row>
    <row r="115" spans="1:11" ht="13.5" customHeight="1" x14ac:dyDescent="0.15">
      <c r="A115" s="141"/>
      <c r="B115" s="149">
        <v>112</v>
      </c>
      <c r="C115" s="79"/>
      <c r="D115" s="55"/>
      <c r="E115" s="55" t="s">
        <v>367</v>
      </c>
      <c r="F115" s="55" t="s">
        <v>367</v>
      </c>
      <c r="G115" s="55"/>
      <c r="H115" s="55"/>
      <c r="I115" s="55" t="str">
        <f>IFERROR(VLOOKUP($D115,烤漆色號編碼!$A:$D,4,FALSE)*G115+H115,"-")</f>
        <v>-</v>
      </c>
      <c r="J115" s="55">
        <v>1899</v>
      </c>
      <c r="K115" s="160">
        <v>12</v>
      </c>
    </row>
    <row r="116" spans="1:11" ht="13.5" customHeight="1" x14ac:dyDescent="0.15">
      <c r="A116" s="141"/>
      <c r="B116" s="149">
        <v>113</v>
      </c>
      <c r="C116" s="79"/>
      <c r="D116" s="55"/>
      <c r="E116" s="55" t="s">
        <v>367</v>
      </c>
      <c r="F116" s="55" t="s">
        <v>367</v>
      </c>
      <c r="G116" s="55"/>
      <c r="H116" s="55"/>
      <c r="I116" s="55" t="str">
        <f>IFERROR(VLOOKUP($D116,烤漆色號編碼!$A:$D,4,FALSE)*G116+H116,"-")</f>
        <v>-</v>
      </c>
      <c r="J116" s="55">
        <v>1899</v>
      </c>
      <c r="K116" s="159">
        <v>12</v>
      </c>
    </row>
    <row r="117" spans="1:11" ht="13.5" customHeight="1" x14ac:dyDescent="0.15">
      <c r="A117" s="141"/>
      <c r="B117" s="149">
        <v>114</v>
      </c>
      <c r="C117" s="79"/>
      <c r="D117" s="55"/>
      <c r="E117" s="55" t="s">
        <v>367</v>
      </c>
      <c r="F117" s="55" t="s">
        <v>367</v>
      </c>
      <c r="G117" s="55"/>
      <c r="H117" s="55"/>
      <c r="I117" s="55" t="str">
        <f>IFERROR(VLOOKUP($D117,烤漆色號編碼!$A:$D,4,FALSE)*G117+H117,"-")</f>
        <v>-</v>
      </c>
      <c r="J117" s="55">
        <v>1899</v>
      </c>
      <c r="K117" s="160">
        <v>12</v>
      </c>
    </row>
    <row r="118" spans="1:11" ht="13.5" customHeight="1" x14ac:dyDescent="0.15">
      <c r="A118" s="141"/>
      <c r="B118" s="149">
        <v>115</v>
      </c>
      <c r="C118" s="79"/>
      <c r="D118" s="55"/>
      <c r="E118" s="55" t="s">
        <v>367</v>
      </c>
      <c r="F118" s="55" t="s">
        <v>367</v>
      </c>
      <c r="G118" s="55"/>
      <c r="H118" s="55"/>
      <c r="I118" s="55" t="str">
        <f>IFERROR(VLOOKUP($D118,烤漆色號編碼!$A:$D,4,FALSE)*G118+H118,"-")</f>
        <v>-</v>
      </c>
      <c r="J118" s="55">
        <v>1899</v>
      </c>
      <c r="K118" s="159">
        <v>12</v>
      </c>
    </row>
    <row r="119" spans="1:11" ht="13.5" customHeight="1" x14ac:dyDescent="0.15">
      <c r="A119" s="141"/>
      <c r="B119" s="149">
        <v>116</v>
      </c>
      <c r="C119" s="79"/>
      <c r="D119" s="55"/>
      <c r="E119" s="55" t="s">
        <v>367</v>
      </c>
      <c r="F119" s="55" t="s">
        <v>367</v>
      </c>
      <c r="G119" s="55"/>
      <c r="H119" s="55"/>
      <c r="I119" s="55" t="str">
        <f>IFERROR(VLOOKUP($D119,烤漆色號編碼!$A:$D,4,FALSE)*G119+H119,"-")</f>
        <v>-</v>
      </c>
      <c r="J119" s="55">
        <v>1899</v>
      </c>
      <c r="K119" s="160">
        <v>12</v>
      </c>
    </row>
    <row r="120" spans="1:11" ht="13.5" customHeight="1" x14ac:dyDescent="0.15">
      <c r="A120" s="141"/>
      <c r="B120" s="149">
        <v>117</v>
      </c>
      <c r="C120" s="79"/>
      <c r="D120" s="55"/>
      <c r="E120" s="55" t="s">
        <v>367</v>
      </c>
      <c r="F120" s="55" t="s">
        <v>367</v>
      </c>
      <c r="G120" s="55"/>
      <c r="H120" s="55"/>
      <c r="I120" s="55" t="str">
        <f>IFERROR(VLOOKUP($D120,烤漆色號編碼!$A:$D,4,FALSE)*G120+H120,"-")</f>
        <v>-</v>
      </c>
      <c r="J120" s="55">
        <v>1899</v>
      </c>
      <c r="K120" s="159">
        <v>12</v>
      </c>
    </row>
    <row r="121" spans="1:11" ht="13.5" customHeight="1" x14ac:dyDescent="0.15">
      <c r="A121" s="141"/>
      <c r="B121" s="149">
        <v>118</v>
      </c>
      <c r="C121" s="79"/>
      <c r="D121" s="55"/>
      <c r="E121" s="55" t="s">
        <v>367</v>
      </c>
      <c r="F121" s="55" t="s">
        <v>367</v>
      </c>
      <c r="G121" s="55"/>
      <c r="H121" s="55"/>
      <c r="I121" s="55" t="str">
        <f>IFERROR(VLOOKUP($D121,烤漆色號編碼!$A:$D,4,FALSE)*G121+H121,"-")</f>
        <v>-</v>
      </c>
      <c r="J121" s="55">
        <v>1899</v>
      </c>
      <c r="K121" s="160">
        <v>12</v>
      </c>
    </row>
    <row r="122" spans="1:11" ht="13.5" customHeight="1" x14ac:dyDescent="0.15">
      <c r="A122" s="141"/>
      <c r="B122" s="149">
        <v>119</v>
      </c>
      <c r="C122" s="79"/>
      <c r="D122" s="55"/>
      <c r="E122" s="55" t="s">
        <v>367</v>
      </c>
      <c r="F122" s="55" t="s">
        <v>367</v>
      </c>
      <c r="G122" s="55"/>
      <c r="H122" s="55"/>
      <c r="I122" s="55" t="str">
        <f>IFERROR(VLOOKUP($D122,烤漆色號編碼!$A:$D,4,FALSE)*G122+H122,"-")</f>
        <v>-</v>
      </c>
      <c r="J122" s="55">
        <v>1899</v>
      </c>
      <c r="K122" s="159">
        <v>12</v>
      </c>
    </row>
    <row r="123" spans="1:11" ht="13.5" customHeight="1" x14ac:dyDescent="0.15">
      <c r="A123" s="141"/>
      <c r="B123" s="149">
        <v>120</v>
      </c>
      <c r="C123" s="79"/>
      <c r="D123" s="55"/>
      <c r="E123" s="55" t="s">
        <v>367</v>
      </c>
      <c r="F123" s="55" t="s">
        <v>367</v>
      </c>
      <c r="G123" s="55"/>
      <c r="H123" s="55"/>
      <c r="I123" s="55" t="str">
        <f>IFERROR(VLOOKUP($D123,烤漆色號編碼!$A:$D,4,FALSE)*G123+H123,"-")</f>
        <v>-</v>
      </c>
      <c r="J123" s="55">
        <v>1899</v>
      </c>
      <c r="K123" s="160">
        <v>12</v>
      </c>
    </row>
    <row r="124" spans="1:11" ht="13.5" customHeight="1" x14ac:dyDescent="0.15">
      <c r="A124" s="141"/>
      <c r="B124" s="149">
        <v>121</v>
      </c>
      <c r="C124" s="79"/>
      <c r="D124" s="55"/>
      <c r="E124" s="55" t="s">
        <v>367</v>
      </c>
      <c r="F124" s="55" t="s">
        <v>367</v>
      </c>
      <c r="G124" s="55"/>
      <c r="H124" s="55"/>
      <c r="I124" s="55" t="str">
        <f>IFERROR(VLOOKUP($D124,烤漆色號編碼!$A:$D,4,FALSE)*G124+H124,"-")</f>
        <v>-</v>
      </c>
      <c r="J124" s="55">
        <v>1899</v>
      </c>
      <c r="K124" s="159">
        <v>12</v>
      </c>
    </row>
    <row r="125" spans="1:11" ht="13.5" customHeight="1" x14ac:dyDescent="0.15">
      <c r="A125" s="141"/>
      <c r="B125" s="149">
        <v>122</v>
      </c>
      <c r="C125" s="79"/>
      <c r="D125" s="55"/>
      <c r="E125" s="55" t="s">
        <v>367</v>
      </c>
      <c r="F125" s="55" t="s">
        <v>367</v>
      </c>
      <c r="G125" s="55"/>
      <c r="H125" s="55"/>
      <c r="I125" s="55" t="str">
        <f>IFERROR(VLOOKUP($D125,烤漆色號編碼!$A:$D,4,FALSE)*G125+H125,"-")</f>
        <v>-</v>
      </c>
      <c r="J125" s="55">
        <v>1899</v>
      </c>
      <c r="K125" s="160">
        <v>12</v>
      </c>
    </row>
    <row r="126" spans="1:11" ht="13.5" customHeight="1" x14ac:dyDescent="0.15">
      <c r="A126" s="141"/>
      <c r="B126" s="149">
        <v>123</v>
      </c>
      <c r="C126" s="79"/>
      <c r="D126" s="55"/>
      <c r="E126" s="55" t="s">
        <v>367</v>
      </c>
      <c r="F126" s="55" t="s">
        <v>367</v>
      </c>
      <c r="G126" s="55"/>
      <c r="H126" s="55"/>
      <c r="I126" s="55" t="str">
        <f>IFERROR(VLOOKUP($D126,烤漆色號編碼!$A:$D,4,FALSE)*G126+H126,"-")</f>
        <v>-</v>
      </c>
      <c r="J126" s="55">
        <v>1899</v>
      </c>
      <c r="K126" s="159">
        <v>12</v>
      </c>
    </row>
    <row r="127" spans="1:11" ht="13.5" customHeight="1" x14ac:dyDescent="0.15">
      <c r="A127" s="141"/>
      <c r="B127" s="149">
        <v>124</v>
      </c>
      <c r="C127" s="79"/>
      <c r="D127" s="55"/>
      <c r="E127" s="55" t="s">
        <v>367</v>
      </c>
      <c r="F127" s="55" t="s">
        <v>367</v>
      </c>
      <c r="G127" s="55"/>
      <c r="H127" s="55"/>
      <c r="I127" s="55" t="str">
        <f>IFERROR(VLOOKUP($D127,烤漆色號編碼!$A:$D,4,FALSE)*G127+H127,"-")</f>
        <v>-</v>
      </c>
      <c r="J127" s="55">
        <v>1899</v>
      </c>
      <c r="K127" s="160">
        <v>12</v>
      </c>
    </row>
    <row r="128" spans="1:11" ht="13.5" customHeight="1" x14ac:dyDescent="0.15">
      <c r="A128" s="141"/>
      <c r="B128" s="149">
        <v>125</v>
      </c>
      <c r="C128" s="79"/>
      <c r="D128" s="55"/>
      <c r="E128" s="55" t="s">
        <v>367</v>
      </c>
      <c r="F128" s="55" t="s">
        <v>367</v>
      </c>
      <c r="G128" s="55"/>
      <c r="H128" s="55"/>
      <c r="I128" s="55" t="str">
        <f>IFERROR(VLOOKUP($D128,烤漆色號編碼!$A:$D,4,FALSE)*G128+H128,"-")</f>
        <v>-</v>
      </c>
      <c r="J128" s="55">
        <v>1899</v>
      </c>
      <c r="K128" s="159">
        <v>12</v>
      </c>
    </row>
    <row r="129" spans="1:11" ht="13.5" customHeight="1" x14ac:dyDescent="0.15">
      <c r="A129" s="141"/>
      <c r="B129" s="149">
        <v>126</v>
      </c>
      <c r="C129" s="79"/>
      <c r="D129" s="55"/>
      <c r="E129" s="55" t="s">
        <v>367</v>
      </c>
      <c r="F129" s="55" t="s">
        <v>367</v>
      </c>
      <c r="G129" s="55"/>
      <c r="H129" s="55"/>
      <c r="I129" s="55" t="str">
        <f>IFERROR(VLOOKUP($D129,烤漆色號編碼!$A:$D,4,FALSE)*G129+H129,"-")</f>
        <v>-</v>
      </c>
      <c r="J129" s="55">
        <v>1899</v>
      </c>
      <c r="K129" s="160">
        <v>12</v>
      </c>
    </row>
    <row r="130" spans="1:11" ht="13.5" customHeight="1" x14ac:dyDescent="0.15">
      <c r="A130" s="141"/>
      <c r="B130" s="149">
        <v>127</v>
      </c>
      <c r="C130" s="79"/>
      <c r="D130" s="55"/>
      <c r="E130" s="55" t="s">
        <v>367</v>
      </c>
      <c r="F130" s="55" t="s">
        <v>367</v>
      </c>
      <c r="G130" s="55"/>
      <c r="H130" s="55"/>
      <c r="I130" s="55" t="str">
        <f>IFERROR(VLOOKUP($D130,烤漆色號編碼!$A:$D,4,FALSE)*G130+H130,"-")</f>
        <v>-</v>
      </c>
      <c r="J130" s="55">
        <v>1899</v>
      </c>
      <c r="K130" s="159">
        <v>12</v>
      </c>
    </row>
    <row r="131" spans="1:11" ht="13.5" customHeight="1" x14ac:dyDescent="0.15">
      <c r="A131" s="141"/>
      <c r="B131" s="148">
        <v>128</v>
      </c>
      <c r="C131" s="161"/>
      <c r="D131" s="162"/>
      <c r="E131" s="162" t="s">
        <v>367</v>
      </c>
      <c r="F131" s="162" t="s">
        <v>367</v>
      </c>
      <c r="G131" s="162"/>
      <c r="H131" s="162"/>
      <c r="I131" s="162"/>
      <c r="J131" s="162">
        <v>1899</v>
      </c>
      <c r="K131" s="152">
        <v>12</v>
      </c>
    </row>
    <row r="132" spans="1:11" ht="13.5" customHeight="1" x14ac:dyDescent="0.15">
      <c r="A132" s="141"/>
      <c r="B132" s="148">
        <v>129</v>
      </c>
      <c r="C132" s="163"/>
      <c r="D132" s="151"/>
      <c r="E132" s="151" t="s">
        <v>367</v>
      </c>
      <c r="F132" s="151" t="s">
        <v>367</v>
      </c>
      <c r="G132" s="151"/>
      <c r="H132" s="151"/>
      <c r="I132" s="151"/>
      <c r="J132" s="151">
        <v>1899</v>
      </c>
      <c r="K132" s="151">
        <v>12</v>
      </c>
    </row>
    <row r="133" spans="1:11" ht="13.5" customHeight="1" x14ac:dyDescent="0.15">
      <c r="A133" s="141"/>
      <c r="B133" s="148">
        <v>130</v>
      </c>
      <c r="C133" s="164"/>
      <c r="D133" s="152"/>
      <c r="E133" s="152" t="s">
        <v>367</v>
      </c>
      <c r="F133" s="152" t="s">
        <v>367</v>
      </c>
      <c r="G133" s="152"/>
      <c r="H133" s="152"/>
      <c r="I133" s="152"/>
      <c r="J133" s="152">
        <v>1899</v>
      </c>
      <c r="K133" s="152">
        <v>12</v>
      </c>
    </row>
    <row r="134" spans="1:11" ht="13.5" customHeight="1" x14ac:dyDescent="0.15">
      <c r="A134" s="141"/>
      <c r="B134" s="148">
        <v>131</v>
      </c>
      <c r="C134" s="163"/>
      <c r="D134" s="151"/>
      <c r="E134" s="151" t="s">
        <v>367</v>
      </c>
      <c r="F134" s="151" t="s">
        <v>367</v>
      </c>
      <c r="G134" s="151"/>
      <c r="H134" s="151"/>
      <c r="I134" s="151"/>
      <c r="J134" s="151">
        <v>1899</v>
      </c>
      <c r="K134" s="151">
        <v>12</v>
      </c>
    </row>
    <row r="135" spans="1:11" ht="13.5" customHeight="1" x14ac:dyDescent="0.15">
      <c r="A135" s="141"/>
      <c r="B135" s="148">
        <v>132</v>
      </c>
      <c r="C135" s="164"/>
      <c r="D135" s="152"/>
      <c r="E135" s="152" t="s">
        <v>367</v>
      </c>
      <c r="F135" s="152" t="s">
        <v>367</v>
      </c>
      <c r="G135" s="152"/>
      <c r="H135" s="152"/>
      <c r="I135" s="152"/>
      <c r="J135" s="152">
        <v>1899</v>
      </c>
      <c r="K135" s="152">
        <v>12</v>
      </c>
    </row>
    <row r="136" spans="1:11" ht="13.5" customHeight="1" x14ac:dyDescent="0.15">
      <c r="A136" s="141"/>
      <c r="B136" s="148">
        <v>133</v>
      </c>
      <c r="C136" s="163"/>
      <c r="D136" s="151"/>
      <c r="E136" s="151" t="s">
        <v>367</v>
      </c>
      <c r="F136" s="151" t="s">
        <v>367</v>
      </c>
      <c r="G136" s="151"/>
      <c r="H136" s="151"/>
      <c r="I136" s="151"/>
      <c r="J136" s="151">
        <v>1899</v>
      </c>
      <c r="K136" s="151">
        <v>12</v>
      </c>
    </row>
    <row r="137" spans="1:11" ht="13.5" customHeight="1" x14ac:dyDescent="0.15">
      <c r="A137" s="141"/>
      <c r="B137" s="148">
        <v>134</v>
      </c>
      <c r="C137" s="164"/>
      <c r="D137" s="152"/>
      <c r="E137" s="152" t="s">
        <v>367</v>
      </c>
      <c r="F137" s="152" t="s">
        <v>367</v>
      </c>
      <c r="G137" s="152"/>
      <c r="H137" s="152"/>
      <c r="I137" s="152"/>
      <c r="J137" s="152">
        <v>1899</v>
      </c>
      <c r="K137" s="152">
        <v>12</v>
      </c>
    </row>
    <row r="138" spans="1:11" ht="13.5" customHeight="1" x14ac:dyDescent="0.15">
      <c r="A138" s="141"/>
      <c r="B138" s="148">
        <v>135</v>
      </c>
      <c r="C138" s="163"/>
      <c r="D138" s="151"/>
      <c r="E138" s="151" t="s">
        <v>367</v>
      </c>
      <c r="F138" s="151" t="s">
        <v>367</v>
      </c>
      <c r="G138" s="151"/>
      <c r="H138" s="151"/>
      <c r="I138" s="151"/>
      <c r="J138" s="151">
        <v>1899</v>
      </c>
      <c r="K138" s="151">
        <v>12</v>
      </c>
    </row>
    <row r="139" spans="1:11" ht="13.5" customHeight="1" x14ac:dyDescent="0.15">
      <c r="A139" s="141"/>
      <c r="B139" s="148">
        <v>136</v>
      </c>
      <c r="C139" s="164"/>
      <c r="D139" s="152"/>
      <c r="E139" s="152" t="s">
        <v>367</v>
      </c>
      <c r="F139" s="152" t="s">
        <v>367</v>
      </c>
      <c r="G139" s="152"/>
      <c r="H139" s="152"/>
      <c r="I139" s="152"/>
      <c r="J139" s="152">
        <v>1899</v>
      </c>
      <c r="K139" s="152">
        <v>12</v>
      </c>
    </row>
    <row r="140" spans="1:11" ht="13.5" customHeight="1" x14ac:dyDescent="0.15">
      <c r="A140" s="141"/>
      <c r="B140" s="148">
        <v>137</v>
      </c>
      <c r="C140" s="163"/>
      <c r="D140" s="151"/>
      <c r="E140" s="151" t="s">
        <v>367</v>
      </c>
      <c r="F140" s="151" t="s">
        <v>367</v>
      </c>
      <c r="G140" s="151"/>
      <c r="H140" s="151"/>
      <c r="I140" s="151"/>
      <c r="J140" s="151">
        <v>1899</v>
      </c>
      <c r="K140" s="151">
        <v>12</v>
      </c>
    </row>
    <row r="141" spans="1:11" ht="13.5" customHeight="1" x14ac:dyDescent="0.15">
      <c r="A141" s="141"/>
      <c r="B141" s="148">
        <v>138</v>
      </c>
      <c r="C141" s="164"/>
      <c r="D141" s="152"/>
      <c r="E141" s="152" t="s">
        <v>367</v>
      </c>
      <c r="F141" s="152" t="s">
        <v>367</v>
      </c>
      <c r="G141" s="152"/>
      <c r="H141" s="152"/>
      <c r="I141" s="152"/>
      <c r="J141" s="152">
        <v>1899</v>
      </c>
      <c r="K141" s="152">
        <v>12</v>
      </c>
    </row>
    <row r="142" spans="1:11" ht="13.5" customHeight="1" x14ac:dyDescent="0.15">
      <c r="A142" s="141"/>
      <c r="B142" s="148">
        <v>139</v>
      </c>
      <c r="C142" s="163"/>
      <c r="D142" s="151"/>
      <c r="E142" s="151" t="s">
        <v>367</v>
      </c>
      <c r="F142" s="151" t="s">
        <v>367</v>
      </c>
      <c r="G142" s="151"/>
      <c r="H142" s="151"/>
      <c r="I142" s="151"/>
      <c r="J142" s="151">
        <v>1899</v>
      </c>
      <c r="K142" s="151">
        <v>12</v>
      </c>
    </row>
    <row r="143" spans="1:11" ht="13.5" customHeight="1" x14ac:dyDescent="0.15">
      <c r="A143" s="141"/>
      <c r="B143" s="148">
        <v>140</v>
      </c>
      <c r="C143" s="164"/>
      <c r="D143" s="152"/>
      <c r="E143" s="152" t="s">
        <v>367</v>
      </c>
      <c r="F143" s="152" t="s">
        <v>367</v>
      </c>
      <c r="G143" s="152"/>
      <c r="H143" s="152"/>
      <c r="I143" s="152"/>
      <c r="J143" s="152">
        <v>1899</v>
      </c>
      <c r="K143" s="152">
        <v>12</v>
      </c>
    </row>
    <row r="144" spans="1:11" ht="13.5" customHeight="1" x14ac:dyDescent="0.15">
      <c r="A144" s="141"/>
      <c r="B144" s="148">
        <v>141</v>
      </c>
      <c r="C144" s="163"/>
      <c r="D144" s="151"/>
      <c r="E144" s="151" t="s">
        <v>367</v>
      </c>
      <c r="F144" s="151" t="s">
        <v>367</v>
      </c>
      <c r="G144" s="151"/>
      <c r="H144" s="151"/>
      <c r="I144" s="151"/>
      <c r="J144" s="151">
        <v>1899</v>
      </c>
      <c r="K144" s="151">
        <v>12</v>
      </c>
    </row>
    <row r="145" spans="1:11" ht="13.5" customHeight="1" x14ac:dyDescent="0.15">
      <c r="A145" s="141"/>
      <c r="B145" s="148">
        <v>142</v>
      </c>
      <c r="C145" s="164"/>
      <c r="D145" s="152"/>
      <c r="E145" s="152" t="s">
        <v>367</v>
      </c>
      <c r="F145" s="152" t="s">
        <v>367</v>
      </c>
      <c r="G145" s="152"/>
      <c r="H145" s="152"/>
      <c r="I145" s="152"/>
      <c r="J145" s="152">
        <v>1899</v>
      </c>
      <c r="K145" s="152">
        <v>12</v>
      </c>
    </row>
    <row r="146" spans="1:11" ht="13.5" customHeight="1" x14ac:dyDescent="0.15">
      <c r="A146" s="141"/>
      <c r="B146" s="148">
        <v>143</v>
      </c>
      <c r="C146" s="163"/>
      <c r="D146" s="151"/>
      <c r="E146" s="151" t="s">
        <v>367</v>
      </c>
      <c r="F146" s="151" t="s">
        <v>367</v>
      </c>
      <c r="G146" s="151"/>
      <c r="H146" s="151"/>
      <c r="I146" s="151"/>
      <c r="J146" s="151">
        <v>1899</v>
      </c>
      <c r="K146" s="151">
        <v>12</v>
      </c>
    </row>
    <row r="147" spans="1:11" ht="13.5" customHeight="1" x14ac:dyDescent="0.15">
      <c r="A147" s="141"/>
      <c r="B147" s="148">
        <v>144</v>
      </c>
      <c r="C147" s="164"/>
      <c r="D147" s="152"/>
      <c r="E147" s="152" t="s">
        <v>367</v>
      </c>
      <c r="F147" s="152" t="s">
        <v>367</v>
      </c>
      <c r="G147" s="152"/>
      <c r="H147" s="152"/>
      <c r="I147" s="152"/>
      <c r="J147" s="152">
        <v>1899</v>
      </c>
      <c r="K147" s="152">
        <v>12</v>
      </c>
    </row>
    <row r="148" spans="1:11" ht="13.5" customHeight="1" x14ac:dyDescent="0.15">
      <c r="A148" s="141"/>
      <c r="B148" s="148">
        <v>145</v>
      </c>
      <c r="C148" s="163"/>
      <c r="D148" s="151"/>
      <c r="E148" s="151" t="s">
        <v>367</v>
      </c>
      <c r="F148" s="151" t="s">
        <v>367</v>
      </c>
      <c r="G148" s="151"/>
      <c r="H148" s="151"/>
      <c r="I148" s="151"/>
      <c r="J148" s="151">
        <v>1899</v>
      </c>
      <c r="K148" s="151">
        <v>12</v>
      </c>
    </row>
    <row r="149" spans="1:11" ht="13.5" customHeight="1" x14ac:dyDescent="0.15">
      <c r="A149" s="141"/>
      <c r="B149" s="148">
        <v>146</v>
      </c>
      <c r="C149" s="164"/>
      <c r="D149" s="152"/>
      <c r="E149" s="152" t="s">
        <v>367</v>
      </c>
      <c r="F149" s="152" t="s">
        <v>367</v>
      </c>
      <c r="G149" s="152"/>
      <c r="H149" s="152"/>
      <c r="I149" s="152"/>
      <c r="J149" s="152">
        <v>1899</v>
      </c>
      <c r="K149" s="152">
        <v>12</v>
      </c>
    </row>
    <row r="150" spans="1:11" ht="13.5" customHeight="1" x14ac:dyDescent="0.15">
      <c r="A150" s="141"/>
      <c r="B150" s="148">
        <v>147</v>
      </c>
      <c r="C150" s="163"/>
      <c r="D150" s="151"/>
      <c r="E150" s="151" t="s">
        <v>367</v>
      </c>
      <c r="F150" s="151" t="s">
        <v>367</v>
      </c>
      <c r="G150" s="151"/>
      <c r="H150" s="151"/>
      <c r="I150" s="151"/>
      <c r="J150" s="151">
        <v>1899</v>
      </c>
      <c r="K150" s="151">
        <v>12</v>
      </c>
    </row>
    <row r="151" spans="1:11" ht="13.5" customHeight="1" x14ac:dyDescent="0.15">
      <c r="A151" s="141"/>
      <c r="B151" s="148">
        <v>148</v>
      </c>
      <c r="C151" s="164"/>
      <c r="D151" s="152"/>
      <c r="E151" s="152" t="s">
        <v>367</v>
      </c>
      <c r="F151" s="152" t="s">
        <v>367</v>
      </c>
      <c r="G151" s="152"/>
      <c r="H151" s="152"/>
      <c r="I151" s="152"/>
      <c r="J151" s="152">
        <v>1899</v>
      </c>
      <c r="K151" s="152">
        <v>12</v>
      </c>
    </row>
    <row r="152" spans="1:11" ht="13.5" customHeight="1" x14ac:dyDescent="0.15">
      <c r="A152" s="141"/>
      <c r="B152" s="148">
        <v>149</v>
      </c>
      <c r="C152" s="163"/>
      <c r="D152" s="151"/>
      <c r="E152" s="151" t="s">
        <v>367</v>
      </c>
      <c r="F152" s="151" t="s">
        <v>367</v>
      </c>
      <c r="G152" s="151"/>
      <c r="H152" s="151"/>
      <c r="I152" s="151"/>
      <c r="J152" s="151">
        <v>1899</v>
      </c>
      <c r="K152" s="151">
        <v>12</v>
      </c>
    </row>
    <row r="153" spans="1:11" ht="13.5" customHeight="1" x14ac:dyDescent="0.15">
      <c r="A153" s="141"/>
      <c r="B153" s="148">
        <v>150</v>
      </c>
      <c r="C153" s="164"/>
      <c r="D153" s="152"/>
      <c r="E153" s="152" t="s">
        <v>367</v>
      </c>
      <c r="F153" s="152" t="s">
        <v>367</v>
      </c>
      <c r="G153" s="152"/>
      <c r="H153" s="152"/>
      <c r="I153" s="152"/>
      <c r="J153" s="152">
        <v>1899</v>
      </c>
      <c r="K153" s="152">
        <v>12</v>
      </c>
    </row>
    <row r="154" spans="1:11" ht="13.5" customHeight="1" x14ac:dyDescent="0.15">
      <c r="A154" s="141"/>
      <c r="B154" s="148">
        <v>151</v>
      </c>
      <c r="C154" s="163"/>
      <c r="D154" s="151"/>
      <c r="E154" s="151" t="s">
        <v>367</v>
      </c>
      <c r="F154" s="151" t="s">
        <v>367</v>
      </c>
      <c r="G154" s="151"/>
      <c r="H154" s="151"/>
      <c r="I154" s="151"/>
      <c r="J154" s="151">
        <v>1899</v>
      </c>
      <c r="K154" s="151">
        <v>12</v>
      </c>
    </row>
    <row r="155" spans="1:11" ht="13.5" customHeight="1" x14ac:dyDescent="0.15">
      <c r="A155" s="141"/>
      <c r="B155" s="148">
        <v>152</v>
      </c>
      <c r="C155" s="164"/>
      <c r="D155" s="152"/>
      <c r="E155" s="152" t="s">
        <v>367</v>
      </c>
      <c r="F155" s="152" t="s">
        <v>367</v>
      </c>
      <c r="G155" s="152"/>
      <c r="H155" s="152"/>
      <c r="I155" s="152"/>
      <c r="J155" s="152">
        <v>1899</v>
      </c>
      <c r="K155" s="152">
        <v>12</v>
      </c>
    </row>
    <row r="156" spans="1:11" ht="13.5" customHeight="1" x14ac:dyDescent="0.15">
      <c r="A156" s="141"/>
      <c r="B156" s="148">
        <v>153</v>
      </c>
      <c r="C156" s="163"/>
      <c r="D156" s="151"/>
      <c r="E156" s="151" t="s">
        <v>367</v>
      </c>
      <c r="F156" s="151" t="s">
        <v>367</v>
      </c>
      <c r="G156" s="151"/>
      <c r="H156" s="151"/>
      <c r="I156" s="151"/>
      <c r="J156" s="151">
        <v>1899</v>
      </c>
      <c r="K156" s="151">
        <v>12</v>
      </c>
    </row>
    <row r="157" spans="1:11" ht="13.5" customHeight="1" x14ac:dyDescent="0.15">
      <c r="A157" s="141"/>
      <c r="B157" s="148">
        <v>154</v>
      </c>
      <c r="C157" s="164"/>
      <c r="D157" s="152"/>
      <c r="E157" s="152" t="s">
        <v>367</v>
      </c>
      <c r="F157" s="152" t="s">
        <v>367</v>
      </c>
      <c r="G157" s="152"/>
      <c r="H157" s="152"/>
      <c r="I157" s="152"/>
      <c r="J157" s="152">
        <v>1899</v>
      </c>
      <c r="K157" s="152">
        <v>12</v>
      </c>
    </row>
    <row r="158" spans="1:11" ht="13.5" customHeight="1" x14ac:dyDescent="0.15">
      <c r="A158" s="141"/>
      <c r="B158" s="148">
        <v>155</v>
      </c>
      <c r="C158" s="163"/>
      <c r="D158" s="151"/>
      <c r="E158" s="151" t="s">
        <v>367</v>
      </c>
      <c r="F158" s="151" t="s">
        <v>367</v>
      </c>
      <c r="G158" s="151"/>
      <c r="H158" s="151"/>
      <c r="I158" s="151"/>
      <c r="J158" s="151">
        <v>1899</v>
      </c>
      <c r="K158" s="151">
        <v>12</v>
      </c>
    </row>
    <row r="159" spans="1:11" ht="13.5" customHeight="1" x14ac:dyDescent="0.15">
      <c r="A159" s="141"/>
      <c r="B159" s="148">
        <v>156</v>
      </c>
      <c r="C159" s="164"/>
      <c r="D159" s="152"/>
      <c r="E159" s="152" t="s">
        <v>367</v>
      </c>
      <c r="F159" s="152" t="s">
        <v>367</v>
      </c>
      <c r="G159" s="152"/>
      <c r="H159" s="152"/>
      <c r="I159" s="152"/>
      <c r="J159" s="152">
        <v>1899</v>
      </c>
      <c r="K159" s="152">
        <v>12</v>
      </c>
    </row>
    <row r="160" spans="1:11" ht="13.5" customHeight="1" x14ac:dyDescent="0.15">
      <c r="A160" s="141"/>
      <c r="B160" s="148">
        <v>157</v>
      </c>
      <c r="C160" s="163"/>
      <c r="D160" s="151"/>
      <c r="E160" s="151" t="s">
        <v>367</v>
      </c>
      <c r="F160" s="151" t="s">
        <v>367</v>
      </c>
      <c r="G160" s="151"/>
      <c r="H160" s="151"/>
      <c r="I160" s="151"/>
      <c r="J160" s="151">
        <v>1899</v>
      </c>
      <c r="K160" s="151">
        <v>12</v>
      </c>
    </row>
    <row r="161" spans="1:11" ht="13.5" customHeight="1" x14ac:dyDescent="0.15">
      <c r="A161" s="141"/>
      <c r="B161" s="148">
        <v>158</v>
      </c>
      <c r="C161" s="164"/>
      <c r="D161" s="152"/>
      <c r="E161" s="152" t="s">
        <v>367</v>
      </c>
      <c r="F161" s="152" t="s">
        <v>367</v>
      </c>
      <c r="G161" s="152"/>
      <c r="H161" s="152"/>
      <c r="I161" s="152"/>
      <c r="J161" s="152">
        <v>1899</v>
      </c>
      <c r="K161" s="152">
        <v>12</v>
      </c>
    </row>
    <row r="162" spans="1:11" ht="13.5" customHeight="1" x14ac:dyDescent="0.15">
      <c r="A162" s="141"/>
      <c r="B162" s="148">
        <v>159</v>
      </c>
      <c r="C162" s="163"/>
      <c r="D162" s="151"/>
      <c r="E162" s="151" t="s">
        <v>367</v>
      </c>
      <c r="F162" s="151" t="s">
        <v>367</v>
      </c>
      <c r="G162" s="151"/>
      <c r="H162" s="151"/>
      <c r="I162" s="151"/>
      <c r="J162" s="151">
        <v>1899</v>
      </c>
      <c r="K162" s="151">
        <v>12</v>
      </c>
    </row>
    <row r="163" spans="1:11" ht="13.5" customHeight="1" x14ac:dyDescent="0.15">
      <c r="A163" s="141"/>
      <c r="B163" s="148">
        <v>160</v>
      </c>
      <c r="C163" s="164"/>
      <c r="D163" s="152"/>
      <c r="E163" s="152" t="s">
        <v>367</v>
      </c>
      <c r="F163" s="152" t="s">
        <v>367</v>
      </c>
      <c r="G163" s="152"/>
      <c r="H163" s="152"/>
      <c r="I163" s="152"/>
      <c r="J163" s="152">
        <v>1899</v>
      </c>
      <c r="K163" s="152">
        <v>12</v>
      </c>
    </row>
    <row r="164" spans="1:11" ht="13.5" customHeight="1" x14ac:dyDescent="0.15">
      <c r="A164" s="141"/>
      <c r="B164" s="148">
        <v>161</v>
      </c>
      <c r="C164" s="163"/>
      <c r="D164" s="151"/>
      <c r="E164" s="151" t="s">
        <v>367</v>
      </c>
      <c r="F164" s="151" t="s">
        <v>367</v>
      </c>
      <c r="G164" s="151"/>
      <c r="H164" s="151"/>
      <c r="I164" s="151"/>
      <c r="J164" s="151">
        <v>1899</v>
      </c>
      <c r="K164" s="151">
        <v>12</v>
      </c>
    </row>
    <row r="165" spans="1:11" ht="13.5" customHeight="1" x14ac:dyDescent="0.15">
      <c r="A165" s="141"/>
      <c r="B165" s="148">
        <v>162</v>
      </c>
      <c r="C165" s="164"/>
      <c r="D165" s="152"/>
      <c r="E165" s="152" t="s">
        <v>367</v>
      </c>
      <c r="F165" s="152" t="s">
        <v>367</v>
      </c>
      <c r="G165" s="152"/>
      <c r="H165" s="152"/>
      <c r="I165" s="152"/>
      <c r="J165" s="152">
        <v>1899</v>
      </c>
      <c r="K165" s="152">
        <v>12</v>
      </c>
    </row>
    <row r="166" spans="1:11" ht="13.5" customHeight="1" x14ac:dyDescent="0.15">
      <c r="A166" s="141"/>
      <c r="B166" s="148">
        <v>163</v>
      </c>
      <c r="C166" s="163"/>
      <c r="D166" s="151"/>
      <c r="E166" s="151" t="s">
        <v>367</v>
      </c>
      <c r="F166" s="151" t="s">
        <v>367</v>
      </c>
      <c r="G166" s="151"/>
      <c r="H166" s="151"/>
      <c r="I166" s="151"/>
      <c r="J166" s="151">
        <v>1899</v>
      </c>
      <c r="K166" s="151">
        <v>12</v>
      </c>
    </row>
    <row r="167" spans="1:11" ht="13.5" customHeight="1" x14ac:dyDescent="0.15">
      <c r="A167" s="141"/>
      <c r="B167" s="148">
        <v>164</v>
      </c>
      <c r="C167" s="164"/>
      <c r="D167" s="152"/>
      <c r="E167" s="152" t="s">
        <v>367</v>
      </c>
      <c r="F167" s="152" t="s">
        <v>367</v>
      </c>
      <c r="G167" s="152"/>
      <c r="H167" s="152"/>
      <c r="I167" s="152"/>
      <c r="J167" s="152">
        <v>1899</v>
      </c>
      <c r="K167" s="152">
        <v>12</v>
      </c>
    </row>
    <row r="168" spans="1:11" ht="13.5" customHeight="1" x14ac:dyDescent="0.15">
      <c r="A168" s="141"/>
      <c r="B168" s="148">
        <v>165</v>
      </c>
      <c r="C168" s="163"/>
      <c r="D168" s="151"/>
      <c r="E168" s="151" t="s">
        <v>367</v>
      </c>
      <c r="F168" s="151" t="s">
        <v>367</v>
      </c>
      <c r="G168" s="151"/>
      <c r="H168" s="151"/>
      <c r="I168" s="151"/>
      <c r="J168" s="151">
        <v>1899</v>
      </c>
      <c r="K168" s="151">
        <v>12</v>
      </c>
    </row>
    <row r="169" spans="1:11" ht="13.5" customHeight="1" x14ac:dyDescent="0.15">
      <c r="A169" s="141"/>
      <c r="B169" s="148">
        <v>166</v>
      </c>
      <c r="C169" s="164"/>
      <c r="D169" s="152"/>
      <c r="E169" s="152" t="s">
        <v>367</v>
      </c>
      <c r="F169" s="152" t="s">
        <v>367</v>
      </c>
      <c r="G169" s="152"/>
      <c r="H169" s="152"/>
      <c r="I169" s="152"/>
      <c r="J169" s="152">
        <v>1899</v>
      </c>
      <c r="K169" s="152">
        <v>12</v>
      </c>
    </row>
    <row r="170" spans="1:11" ht="13.5" customHeight="1" x14ac:dyDescent="0.15">
      <c r="A170" s="141"/>
      <c r="B170" s="148">
        <v>167</v>
      </c>
      <c r="C170" s="163"/>
      <c r="D170" s="151"/>
      <c r="E170" s="151" t="s">
        <v>367</v>
      </c>
      <c r="F170" s="151" t="s">
        <v>367</v>
      </c>
      <c r="G170" s="151"/>
      <c r="H170" s="151"/>
      <c r="I170" s="151"/>
      <c r="J170" s="151">
        <v>1899</v>
      </c>
      <c r="K170" s="151">
        <v>12</v>
      </c>
    </row>
    <row r="171" spans="1:11" ht="13.5" customHeight="1" x14ac:dyDescent="0.15">
      <c r="A171" s="141"/>
      <c r="B171" s="148">
        <v>168</v>
      </c>
      <c r="C171" s="164"/>
      <c r="D171" s="152"/>
      <c r="E171" s="152" t="s">
        <v>367</v>
      </c>
      <c r="F171" s="152" t="s">
        <v>367</v>
      </c>
      <c r="G171" s="152"/>
      <c r="H171" s="152"/>
      <c r="I171" s="152"/>
      <c r="J171" s="152">
        <v>1899</v>
      </c>
      <c r="K171" s="152">
        <v>12</v>
      </c>
    </row>
    <row r="172" spans="1:11" ht="13.5" customHeight="1" x14ac:dyDescent="0.15">
      <c r="A172" s="141"/>
      <c r="B172" s="148">
        <v>169</v>
      </c>
      <c r="C172" s="163"/>
      <c r="D172" s="151"/>
      <c r="E172" s="151" t="s">
        <v>367</v>
      </c>
      <c r="F172" s="151" t="s">
        <v>367</v>
      </c>
      <c r="G172" s="151"/>
      <c r="H172" s="151"/>
      <c r="I172" s="151"/>
      <c r="J172" s="151">
        <v>1899</v>
      </c>
      <c r="K172" s="151">
        <v>12</v>
      </c>
    </row>
    <row r="173" spans="1:11" ht="13.5" customHeight="1" x14ac:dyDescent="0.15">
      <c r="A173" s="141"/>
      <c r="B173" s="148">
        <v>170</v>
      </c>
      <c r="C173" s="164"/>
      <c r="D173" s="152"/>
      <c r="E173" s="152" t="s">
        <v>367</v>
      </c>
      <c r="F173" s="152" t="s">
        <v>367</v>
      </c>
      <c r="G173" s="152"/>
      <c r="H173" s="152"/>
      <c r="I173" s="152"/>
      <c r="J173" s="152">
        <v>1899</v>
      </c>
      <c r="K173" s="152">
        <v>12</v>
      </c>
    </row>
    <row r="174" spans="1:11" ht="13.5" customHeight="1" x14ac:dyDescent="0.15">
      <c r="A174" s="141"/>
      <c r="B174" s="148">
        <v>171</v>
      </c>
      <c r="C174" s="163"/>
      <c r="D174" s="151"/>
      <c r="E174" s="151" t="s">
        <v>367</v>
      </c>
      <c r="F174" s="151" t="s">
        <v>367</v>
      </c>
      <c r="G174" s="151"/>
      <c r="H174" s="151"/>
      <c r="I174" s="151"/>
      <c r="J174" s="151">
        <v>1899</v>
      </c>
      <c r="K174" s="151">
        <v>12</v>
      </c>
    </row>
    <row r="175" spans="1:11" ht="13.5" customHeight="1" x14ac:dyDescent="0.15">
      <c r="A175" s="141"/>
      <c r="B175" s="148">
        <v>172</v>
      </c>
      <c r="C175" s="164"/>
      <c r="D175" s="152"/>
      <c r="E175" s="152" t="s">
        <v>367</v>
      </c>
      <c r="F175" s="152" t="s">
        <v>367</v>
      </c>
      <c r="G175" s="152"/>
      <c r="H175" s="152"/>
      <c r="I175" s="152"/>
      <c r="J175" s="152">
        <v>1899</v>
      </c>
      <c r="K175" s="152">
        <v>12</v>
      </c>
    </row>
    <row r="176" spans="1:11" ht="13.5" customHeight="1" x14ac:dyDescent="0.15">
      <c r="A176" s="141"/>
      <c r="B176" s="148">
        <v>173</v>
      </c>
      <c r="C176" s="163"/>
      <c r="D176" s="151"/>
      <c r="E176" s="151" t="s">
        <v>367</v>
      </c>
      <c r="F176" s="151" t="s">
        <v>367</v>
      </c>
      <c r="G176" s="151"/>
      <c r="H176" s="151"/>
      <c r="I176" s="151"/>
      <c r="J176" s="151">
        <v>1899</v>
      </c>
      <c r="K176" s="151">
        <v>12</v>
      </c>
    </row>
    <row r="177" spans="1:11" ht="13.5" customHeight="1" x14ac:dyDescent="0.15">
      <c r="A177" s="141"/>
      <c r="B177" s="148">
        <v>174</v>
      </c>
      <c r="C177" s="164"/>
      <c r="D177" s="152"/>
      <c r="E177" s="152" t="s">
        <v>367</v>
      </c>
      <c r="F177" s="152" t="s">
        <v>367</v>
      </c>
      <c r="G177" s="152"/>
      <c r="H177" s="152"/>
      <c r="I177" s="152"/>
      <c r="J177" s="152">
        <v>1899</v>
      </c>
      <c r="K177" s="152">
        <v>12</v>
      </c>
    </row>
    <row r="178" spans="1:11" ht="13.5" customHeight="1" x14ac:dyDescent="0.15">
      <c r="A178" s="141"/>
      <c r="B178" s="148">
        <v>175</v>
      </c>
      <c r="C178" s="163"/>
      <c r="D178" s="151"/>
      <c r="E178" s="151" t="s">
        <v>367</v>
      </c>
      <c r="F178" s="151" t="s">
        <v>367</v>
      </c>
      <c r="G178" s="151"/>
      <c r="H178" s="151"/>
      <c r="I178" s="151"/>
      <c r="J178" s="151">
        <v>1899</v>
      </c>
      <c r="K178" s="151">
        <v>12</v>
      </c>
    </row>
    <row r="179" spans="1:11" ht="13.5" customHeight="1" x14ac:dyDescent="0.15">
      <c r="A179" s="141"/>
      <c r="B179" s="148">
        <v>176</v>
      </c>
      <c r="C179" s="164"/>
      <c r="D179" s="152"/>
      <c r="E179" s="152" t="s">
        <v>367</v>
      </c>
      <c r="F179" s="152" t="s">
        <v>367</v>
      </c>
      <c r="G179" s="152"/>
      <c r="H179" s="152"/>
      <c r="I179" s="152"/>
      <c r="J179" s="152">
        <v>1899</v>
      </c>
      <c r="K179" s="152">
        <v>12</v>
      </c>
    </row>
    <row r="180" spans="1:11" ht="13.5" customHeight="1" x14ac:dyDescent="0.15">
      <c r="A180" s="141"/>
      <c r="B180" s="148">
        <v>177</v>
      </c>
      <c r="C180" s="163"/>
      <c r="D180" s="151"/>
      <c r="E180" s="151" t="s">
        <v>367</v>
      </c>
      <c r="F180" s="151" t="s">
        <v>367</v>
      </c>
      <c r="G180" s="151"/>
      <c r="H180" s="151"/>
      <c r="I180" s="151"/>
      <c r="J180" s="151">
        <v>1899</v>
      </c>
      <c r="K180" s="151">
        <v>12</v>
      </c>
    </row>
    <row r="181" spans="1:11" ht="13.5" customHeight="1" x14ac:dyDescent="0.15">
      <c r="A181" s="141"/>
      <c r="B181" s="148">
        <v>178</v>
      </c>
      <c r="C181" s="164"/>
      <c r="D181" s="152"/>
      <c r="E181" s="152" t="s">
        <v>367</v>
      </c>
      <c r="F181" s="152" t="s">
        <v>367</v>
      </c>
      <c r="G181" s="152"/>
      <c r="H181" s="152"/>
      <c r="I181" s="152"/>
      <c r="J181" s="152">
        <v>1899</v>
      </c>
      <c r="K181" s="152">
        <v>12</v>
      </c>
    </row>
    <row r="182" spans="1:11" ht="13.5" customHeight="1" x14ac:dyDescent="0.15">
      <c r="A182" s="141"/>
      <c r="B182" s="148">
        <v>179</v>
      </c>
      <c r="C182" s="163"/>
      <c r="D182" s="151"/>
      <c r="E182" s="151" t="s">
        <v>367</v>
      </c>
      <c r="F182" s="151" t="s">
        <v>367</v>
      </c>
      <c r="G182" s="151"/>
      <c r="H182" s="151"/>
      <c r="I182" s="151"/>
      <c r="J182" s="151">
        <v>1899</v>
      </c>
      <c r="K182" s="151">
        <v>12</v>
      </c>
    </row>
    <row r="183" spans="1:11" ht="13.5" customHeight="1" x14ac:dyDescent="0.15">
      <c r="A183" s="141"/>
      <c r="B183" s="148">
        <v>180</v>
      </c>
      <c r="C183" s="164"/>
      <c r="D183" s="152"/>
      <c r="E183" s="152" t="s">
        <v>367</v>
      </c>
      <c r="F183" s="152" t="s">
        <v>367</v>
      </c>
      <c r="G183" s="152"/>
      <c r="H183" s="152"/>
      <c r="I183" s="152"/>
      <c r="J183" s="152">
        <v>1899</v>
      </c>
      <c r="K183" s="152">
        <v>12</v>
      </c>
    </row>
    <row r="184" spans="1:11" ht="13.5" customHeight="1" x14ac:dyDescent="0.15">
      <c r="A184" s="141"/>
      <c r="B184" s="148">
        <v>181</v>
      </c>
      <c r="C184" s="163"/>
      <c r="D184" s="151"/>
      <c r="E184" s="151" t="s">
        <v>367</v>
      </c>
      <c r="F184" s="151" t="s">
        <v>367</v>
      </c>
      <c r="G184" s="151"/>
      <c r="H184" s="151"/>
      <c r="I184" s="151"/>
      <c r="J184" s="151">
        <v>1899</v>
      </c>
      <c r="K184" s="151">
        <v>12</v>
      </c>
    </row>
    <row r="185" spans="1:11" ht="13.5" customHeight="1" x14ac:dyDescent="0.15">
      <c r="A185" s="141"/>
      <c r="B185" s="148">
        <v>182</v>
      </c>
      <c r="C185" s="164"/>
      <c r="D185" s="152"/>
      <c r="E185" s="152" t="s">
        <v>367</v>
      </c>
      <c r="F185" s="152" t="s">
        <v>367</v>
      </c>
      <c r="G185" s="152"/>
      <c r="H185" s="152"/>
      <c r="I185" s="152"/>
      <c r="J185" s="152">
        <v>1899</v>
      </c>
      <c r="K185" s="152">
        <v>12</v>
      </c>
    </row>
    <row r="186" spans="1:11" ht="13.5" customHeight="1" x14ac:dyDescent="0.15">
      <c r="A186" s="141"/>
      <c r="B186" s="148">
        <v>183</v>
      </c>
      <c r="C186" s="163"/>
      <c r="D186" s="151"/>
      <c r="E186" s="151" t="s">
        <v>367</v>
      </c>
      <c r="F186" s="151" t="s">
        <v>367</v>
      </c>
      <c r="G186" s="151"/>
      <c r="H186" s="151"/>
      <c r="I186" s="151"/>
      <c r="J186" s="151">
        <v>1899</v>
      </c>
      <c r="K186" s="151">
        <v>12</v>
      </c>
    </row>
    <row r="187" spans="1:11" ht="13.5" customHeight="1" x14ac:dyDescent="0.15">
      <c r="A187" s="141"/>
      <c r="B187" s="148">
        <v>184</v>
      </c>
      <c r="C187" s="164"/>
      <c r="D187" s="152"/>
      <c r="E187" s="152" t="s">
        <v>367</v>
      </c>
      <c r="F187" s="152" t="s">
        <v>367</v>
      </c>
      <c r="G187" s="152"/>
      <c r="H187" s="152"/>
      <c r="I187" s="152"/>
      <c r="J187" s="152">
        <v>1899</v>
      </c>
      <c r="K187" s="152">
        <v>12</v>
      </c>
    </row>
    <row r="188" spans="1:11" ht="13.5" customHeight="1" x14ac:dyDescent="0.15">
      <c r="A188" s="141"/>
      <c r="B188" s="148">
        <v>185</v>
      </c>
      <c r="C188" s="163"/>
      <c r="D188" s="151"/>
      <c r="E188" s="151" t="s">
        <v>367</v>
      </c>
      <c r="F188" s="151" t="s">
        <v>367</v>
      </c>
      <c r="G188" s="151"/>
      <c r="H188" s="151"/>
      <c r="I188" s="151"/>
      <c r="J188" s="151">
        <v>1899</v>
      </c>
      <c r="K188" s="151">
        <v>12</v>
      </c>
    </row>
    <row r="189" spans="1:11" ht="13.5" customHeight="1" x14ac:dyDescent="0.15">
      <c r="A189" s="141"/>
      <c r="B189" s="148">
        <v>186</v>
      </c>
      <c r="C189" s="164"/>
      <c r="D189" s="152"/>
      <c r="E189" s="152" t="s">
        <v>367</v>
      </c>
      <c r="F189" s="152" t="s">
        <v>367</v>
      </c>
      <c r="G189" s="152"/>
      <c r="H189" s="152"/>
      <c r="I189" s="152"/>
      <c r="J189" s="152">
        <v>1899</v>
      </c>
      <c r="K189" s="152">
        <v>12</v>
      </c>
    </row>
    <row r="190" spans="1:11" ht="13.5" customHeight="1" x14ac:dyDescent="0.15">
      <c r="A190" s="141"/>
      <c r="B190" s="148">
        <v>187</v>
      </c>
      <c r="C190" s="163"/>
      <c r="D190" s="151"/>
      <c r="E190" s="151" t="s">
        <v>367</v>
      </c>
      <c r="F190" s="151" t="s">
        <v>367</v>
      </c>
      <c r="G190" s="151"/>
      <c r="H190" s="151"/>
      <c r="I190" s="151"/>
      <c r="J190" s="151">
        <v>1899</v>
      </c>
      <c r="K190" s="151">
        <v>12</v>
      </c>
    </row>
    <row r="191" spans="1:11" ht="13.5" customHeight="1" x14ac:dyDescent="0.15">
      <c r="A191" s="141"/>
      <c r="B191" s="148">
        <v>188</v>
      </c>
      <c r="C191" s="164"/>
      <c r="D191" s="152"/>
      <c r="E191" s="152" t="s">
        <v>367</v>
      </c>
      <c r="F191" s="152" t="s">
        <v>367</v>
      </c>
      <c r="G191" s="152"/>
      <c r="H191" s="152"/>
      <c r="I191" s="152"/>
      <c r="J191" s="152">
        <v>1899</v>
      </c>
      <c r="K191" s="152">
        <v>12</v>
      </c>
    </row>
    <row r="192" spans="1:11" ht="13.5" customHeight="1" x14ac:dyDescent="0.15">
      <c r="A192" s="141"/>
      <c r="B192" s="148">
        <v>189</v>
      </c>
      <c r="C192" s="163"/>
      <c r="D192" s="151"/>
      <c r="E192" s="151" t="s">
        <v>367</v>
      </c>
      <c r="F192" s="151" t="s">
        <v>367</v>
      </c>
      <c r="G192" s="151"/>
      <c r="H192" s="151"/>
      <c r="I192" s="151"/>
      <c r="J192" s="151">
        <v>1899</v>
      </c>
      <c r="K192" s="151">
        <v>12</v>
      </c>
    </row>
    <row r="193" spans="1:11" ht="13.5" customHeight="1" x14ac:dyDescent="0.15">
      <c r="A193" s="141"/>
      <c r="B193" s="148">
        <v>190</v>
      </c>
      <c r="C193" s="164"/>
      <c r="D193" s="152"/>
      <c r="E193" s="152" t="s">
        <v>367</v>
      </c>
      <c r="F193" s="152" t="s">
        <v>367</v>
      </c>
      <c r="G193" s="152"/>
      <c r="H193" s="152"/>
      <c r="I193" s="152"/>
      <c r="J193" s="152">
        <v>1899</v>
      </c>
      <c r="K193" s="152">
        <v>12</v>
      </c>
    </row>
    <row r="194" spans="1:11" ht="13.5" customHeight="1" x14ac:dyDescent="0.15">
      <c r="A194" s="141"/>
      <c r="B194" s="148">
        <v>191</v>
      </c>
      <c r="C194" s="163"/>
      <c r="D194" s="151"/>
      <c r="E194" s="151" t="s">
        <v>367</v>
      </c>
      <c r="F194" s="151" t="s">
        <v>367</v>
      </c>
      <c r="G194" s="151"/>
      <c r="H194" s="151"/>
      <c r="I194" s="151"/>
      <c r="J194" s="151">
        <v>1899</v>
      </c>
      <c r="K194" s="151">
        <v>12</v>
      </c>
    </row>
    <row r="195" spans="1:11" ht="13.5" customHeight="1" x14ac:dyDescent="0.15">
      <c r="A195" s="141"/>
      <c r="B195" s="148">
        <v>192</v>
      </c>
      <c r="C195" s="164"/>
      <c r="D195" s="152"/>
      <c r="E195" s="152" t="s">
        <v>367</v>
      </c>
      <c r="F195" s="152" t="s">
        <v>367</v>
      </c>
      <c r="G195" s="152"/>
      <c r="H195" s="152"/>
      <c r="I195" s="152"/>
      <c r="J195" s="152">
        <v>1899</v>
      </c>
      <c r="K195" s="152">
        <v>12</v>
      </c>
    </row>
    <row r="196" spans="1:11" ht="13.5" customHeight="1" x14ac:dyDescent="0.15">
      <c r="A196" s="141"/>
      <c r="B196" s="148">
        <v>193</v>
      </c>
      <c r="C196" s="163"/>
      <c r="D196" s="151"/>
      <c r="E196" s="151" t="s">
        <v>367</v>
      </c>
      <c r="F196" s="151" t="s">
        <v>367</v>
      </c>
      <c r="G196" s="151"/>
      <c r="H196" s="151"/>
      <c r="I196" s="151"/>
      <c r="J196" s="151">
        <v>1899</v>
      </c>
      <c r="K196" s="151">
        <v>12</v>
      </c>
    </row>
    <row r="197" spans="1:11" ht="13.5" customHeight="1" x14ac:dyDescent="0.15">
      <c r="A197" s="141"/>
      <c r="B197" s="148">
        <v>194</v>
      </c>
      <c r="C197" s="164"/>
      <c r="D197" s="152"/>
      <c r="E197" s="152" t="s">
        <v>367</v>
      </c>
      <c r="F197" s="152" t="s">
        <v>367</v>
      </c>
      <c r="G197" s="152"/>
      <c r="H197" s="152"/>
      <c r="I197" s="152"/>
      <c r="J197" s="152">
        <v>1899</v>
      </c>
      <c r="K197" s="152">
        <v>12</v>
      </c>
    </row>
    <row r="198" spans="1:11" ht="13.5" customHeight="1" x14ac:dyDescent="0.15">
      <c r="A198" s="141"/>
      <c r="B198" s="148">
        <v>195</v>
      </c>
      <c r="C198" s="163"/>
      <c r="D198" s="151"/>
      <c r="E198" s="151" t="s">
        <v>367</v>
      </c>
      <c r="F198" s="151" t="s">
        <v>367</v>
      </c>
      <c r="G198" s="151"/>
      <c r="H198" s="151"/>
      <c r="I198" s="151"/>
      <c r="J198" s="151">
        <v>1899</v>
      </c>
      <c r="K198" s="151">
        <v>12</v>
      </c>
    </row>
    <row r="199" spans="1:11" ht="13.5" customHeight="1" x14ac:dyDescent="0.15">
      <c r="A199" s="141"/>
      <c r="B199" s="148">
        <v>196</v>
      </c>
      <c r="C199" s="164"/>
      <c r="D199" s="152"/>
      <c r="E199" s="152" t="s">
        <v>367</v>
      </c>
      <c r="F199" s="152" t="s">
        <v>367</v>
      </c>
      <c r="G199" s="152"/>
      <c r="H199" s="152"/>
      <c r="I199" s="152"/>
      <c r="J199" s="152">
        <v>1899</v>
      </c>
      <c r="K199" s="152">
        <v>12</v>
      </c>
    </row>
    <row r="200" spans="1:11" ht="13.5" customHeight="1" x14ac:dyDescent="0.15">
      <c r="A200" s="141"/>
      <c r="B200" s="148">
        <v>197</v>
      </c>
      <c r="C200" s="163"/>
      <c r="D200" s="151"/>
      <c r="E200" s="151" t="s">
        <v>367</v>
      </c>
      <c r="F200" s="151" t="s">
        <v>367</v>
      </c>
      <c r="G200" s="151"/>
      <c r="H200" s="151"/>
      <c r="I200" s="151"/>
      <c r="J200" s="151">
        <v>1899</v>
      </c>
      <c r="K200" s="151">
        <v>12</v>
      </c>
    </row>
    <row r="201" spans="1:11" ht="13.5" customHeight="1" x14ac:dyDescent="0.15">
      <c r="A201" s="141"/>
      <c r="B201" s="148">
        <v>198</v>
      </c>
      <c r="C201" s="164"/>
      <c r="D201" s="152"/>
      <c r="E201" s="152" t="s">
        <v>367</v>
      </c>
      <c r="F201" s="152" t="s">
        <v>367</v>
      </c>
      <c r="G201" s="152"/>
      <c r="H201" s="152"/>
      <c r="I201" s="152"/>
      <c r="J201" s="152">
        <v>1899</v>
      </c>
      <c r="K201" s="152">
        <v>12</v>
      </c>
    </row>
    <row r="202" spans="1:11" ht="13.5" customHeight="1" x14ac:dyDescent="0.15">
      <c r="A202" s="141"/>
      <c r="B202" s="148">
        <v>199</v>
      </c>
      <c r="C202" s="163"/>
      <c r="D202" s="151"/>
      <c r="E202" s="151" t="s">
        <v>367</v>
      </c>
      <c r="F202" s="151" t="s">
        <v>367</v>
      </c>
      <c r="G202" s="151"/>
      <c r="H202" s="151"/>
      <c r="I202" s="151"/>
      <c r="J202" s="151">
        <v>1899</v>
      </c>
      <c r="K202" s="151">
        <v>12</v>
      </c>
    </row>
    <row r="203" spans="1:11" ht="13.5" customHeight="1" x14ac:dyDescent="0.15">
      <c r="A203" s="141"/>
      <c r="B203" s="148">
        <v>200</v>
      </c>
      <c r="C203" s="164"/>
      <c r="D203" s="152"/>
      <c r="E203" s="152" t="s">
        <v>367</v>
      </c>
      <c r="F203" s="152" t="s">
        <v>367</v>
      </c>
      <c r="G203" s="152"/>
      <c r="H203" s="152"/>
      <c r="I203" s="152"/>
      <c r="J203" s="152">
        <v>1899</v>
      </c>
      <c r="K203" s="152">
        <v>12</v>
      </c>
    </row>
    <row r="204" spans="1:11" ht="13.5" customHeight="1" x14ac:dyDescent="0.15">
      <c r="A204" s="141"/>
      <c r="B204" s="148">
        <v>201</v>
      </c>
      <c r="C204" s="163"/>
      <c r="D204" s="151"/>
      <c r="E204" s="151" t="s">
        <v>367</v>
      </c>
      <c r="F204" s="151" t="s">
        <v>367</v>
      </c>
      <c r="G204" s="151"/>
      <c r="H204" s="151"/>
      <c r="I204" s="151"/>
      <c r="J204" s="151">
        <v>1899</v>
      </c>
      <c r="K204" s="151">
        <v>12</v>
      </c>
    </row>
    <row r="205" spans="1:11" ht="13.5" customHeight="1" x14ac:dyDescent="0.15">
      <c r="A205" s="141"/>
      <c r="B205" s="148">
        <v>202</v>
      </c>
      <c r="C205" s="164"/>
      <c r="D205" s="152"/>
      <c r="E205" s="152" t="s">
        <v>367</v>
      </c>
      <c r="F205" s="152" t="s">
        <v>367</v>
      </c>
      <c r="G205" s="152"/>
      <c r="H205" s="152"/>
      <c r="I205" s="152"/>
      <c r="J205" s="152">
        <v>1899</v>
      </c>
      <c r="K205" s="152">
        <v>12</v>
      </c>
    </row>
    <row r="206" spans="1:11" ht="13.5" customHeight="1" x14ac:dyDescent="0.15">
      <c r="A206" s="141"/>
      <c r="B206" s="148">
        <v>203</v>
      </c>
      <c r="C206" s="163"/>
      <c r="D206" s="151"/>
      <c r="E206" s="151" t="s">
        <v>367</v>
      </c>
      <c r="F206" s="151" t="s">
        <v>367</v>
      </c>
      <c r="G206" s="151"/>
      <c r="H206" s="151"/>
      <c r="I206" s="151"/>
      <c r="J206" s="151">
        <v>1899</v>
      </c>
      <c r="K206" s="151">
        <v>12</v>
      </c>
    </row>
    <row r="207" spans="1:11" ht="13.5" customHeight="1" x14ac:dyDescent="0.15">
      <c r="A207" s="141"/>
      <c r="B207" s="148">
        <v>204</v>
      </c>
      <c r="C207" s="164"/>
      <c r="D207" s="152"/>
      <c r="E207" s="152" t="s">
        <v>367</v>
      </c>
      <c r="F207" s="152" t="s">
        <v>367</v>
      </c>
      <c r="G207" s="152"/>
      <c r="H207" s="152"/>
      <c r="I207" s="152"/>
      <c r="J207" s="152">
        <v>1899</v>
      </c>
      <c r="K207" s="152">
        <v>12</v>
      </c>
    </row>
    <row r="208" spans="1:11" ht="13.5" customHeight="1" x14ac:dyDescent="0.15">
      <c r="A208" s="141"/>
      <c r="B208" s="148">
        <v>205</v>
      </c>
      <c r="C208" s="163"/>
      <c r="D208" s="151"/>
      <c r="E208" s="151" t="s">
        <v>367</v>
      </c>
      <c r="F208" s="151" t="s">
        <v>367</v>
      </c>
      <c r="G208" s="151"/>
      <c r="H208" s="151"/>
      <c r="I208" s="151"/>
      <c r="J208" s="151">
        <v>1899</v>
      </c>
      <c r="K208" s="151">
        <v>12</v>
      </c>
    </row>
    <row r="209" spans="1:11" ht="13.5" customHeight="1" x14ac:dyDescent="0.15">
      <c r="A209" s="141"/>
      <c r="B209" s="148">
        <v>206</v>
      </c>
      <c r="C209" s="164"/>
      <c r="D209" s="152"/>
      <c r="E209" s="152" t="s">
        <v>367</v>
      </c>
      <c r="F209" s="152" t="s">
        <v>367</v>
      </c>
      <c r="G209" s="152"/>
      <c r="H209" s="152"/>
      <c r="I209" s="152"/>
      <c r="J209" s="152">
        <v>1899</v>
      </c>
      <c r="K209" s="152">
        <v>12</v>
      </c>
    </row>
    <row r="210" spans="1:11" ht="13.5" customHeight="1" x14ac:dyDescent="0.15">
      <c r="A210" s="141"/>
      <c r="B210" s="148">
        <v>207</v>
      </c>
      <c r="C210" s="163"/>
      <c r="D210" s="151"/>
      <c r="E210" s="151" t="s">
        <v>367</v>
      </c>
      <c r="F210" s="151" t="s">
        <v>367</v>
      </c>
      <c r="G210" s="151"/>
      <c r="H210" s="151"/>
      <c r="I210" s="151"/>
      <c r="J210" s="151">
        <v>1899</v>
      </c>
      <c r="K210" s="151">
        <v>12</v>
      </c>
    </row>
    <row r="211" spans="1:11" ht="13.5" customHeight="1" x14ac:dyDescent="0.15">
      <c r="A211" s="141"/>
      <c r="B211" s="148">
        <v>208</v>
      </c>
      <c r="C211" s="164"/>
      <c r="D211" s="152"/>
      <c r="E211" s="152" t="s">
        <v>367</v>
      </c>
      <c r="F211" s="152" t="s">
        <v>367</v>
      </c>
      <c r="G211" s="152"/>
      <c r="H211" s="152"/>
      <c r="I211" s="152"/>
      <c r="J211" s="152">
        <v>1899</v>
      </c>
      <c r="K211" s="152">
        <v>12</v>
      </c>
    </row>
    <row r="212" spans="1:11" ht="13.5" customHeight="1" x14ac:dyDescent="0.15">
      <c r="A212" s="141"/>
      <c r="B212" s="148">
        <v>209</v>
      </c>
      <c r="C212" s="163"/>
      <c r="D212" s="151"/>
      <c r="E212" s="151" t="s">
        <v>367</v>
      </c>
      <c r="F212" s="151" t="s">
        <v>367</v>
      </c>
      <c r="G212" s="151"/>
      <c r="H212" s="151"/>
      <c r="I212" s="151"/>
      <c r="J212" s="151">
        <v>1899</v>
      </c>
      <c r="K212" s="151">
        <v>12</v>
      </c>
    </row>
    <row r="213" spans="1:11" ht="13.5" customHeight="1" x14ac:dyDescent="0.15">
      <c r="A213" s="141"/>
      <c r="B213" s="148">
        <v>210</v>
      </c>
      <c r="C213" s="164"/>
      <c r="D213" s="152"/>
      <c r="E213" s="152" t="s">
        <v>367</v>
      </c>
      <c r="F213" s="152" t="s">
        <v>367</v>
      </c>
      <c r="G213" s="152"/>
      <c r="H213" s="152"/>
      <c r="I213" s="152"/>
      <c r="J213" s="152">
        <v>1899</v>
      </c>
      <c r="K213" s="152">
        <v>12</v>
      </c>
    </row>
    <row r="214" spans="1:11" ht="13.5" customHeight="1" x14ac:dyDescent="0.15">
      <c r="A214" s="141"/>
      <c r="B214" s="148">
        <v>211</v>
      </c>
      <c r="C214" s="163"/>
      <c r="D214" s="151"/>
      <c r="E214" s="151" t="s">
        <v>367</v>
      </c>
      <c r="F214" s="151" t="s">
        <v>367</v>
      </c>
      <c r="G214" s="151"/>
      <c r="H214" s="151"/>
      <c r="I214" s="151"/>
      <c r="J214" s="151">
        <v>1899</v>
      </c>
      <c r="K214" s="151">
        <v>12</v>
      </c>
    </row>
    <row r="215" spans="1:11" ht="13.5" customHeight="1" x14ac:dyDescent="0.15">
      <c r="A215" s="141"/>
      <c r="B215" s="148">
        <v>212</v>
      </c>
      <c r="C215" s="164"/>
      <c r="D215" s="152"/>
      <c r="E215" s="152" t="s">
        <v>367</v>
      </c>
      <c r="F215" s="152" t="s">
        <v>367</v>
      </c>
      <c r="G215" s="152"/>
      <c r="H215" s="152"/>
      <c r="I215" s="152"/>
      <c r="J215" s="152">
        <v>1899</v>
      </c>
      <c r="K215" s="152">
        <v>12</v>
      </c>
    </row>
    <row r="216" spans="1:11" ht="13.5" customHeight="1" x14ac:dyDescent="0.15">
      <c r="A216" s="141"/>
      <c r="B216" s="148">
        <v>213</v>
      </c>
      <c r="C216" s="163"/>
      <c r="D216" s="151"/>
      <c r="E216" s="151" t="s">
        <v>367</v>
      </c>
      <c r="F216" s="151" t="s">
        <v>367</v>
      </c>
      <c r="G216" s="151"/>
      <c r="H216" s="151"/>
      <c r="I216" s="151"/>
      <c r="J216" s="151">
        <v>1899</v>
      </c>
      <c r="K216" s="151">
        <v>12</v>
      </c>
    </row>
    <row r="217" spans="1:11" ht="13.5" customHeight="1" x14ac:dyDescent="0.15">
      <c r="A217" s="141"/>
      <c r="B217" s="148">
        <v>214</v>
      </c>
      <c r="C217" s="164"/>
      <c r="D217" s="152"/>
      <c r="E217" s="152" t="s">
        <v>367</v>
      </c>
      <c r="F217" s="152" t="s">
        <v>367</v>
      </c>
      <c r="G217" s="152"/>
      <c r="H217" s="152"/>
      <c r="I217" s="152"/>
      <c r="J217" s="152">
        <v>1899</v>
      </c>
      <c r="K217" s="152">
        <v>12</v>
      </c>
    </row>
    <row r="218" spans="1:11" ht="13.5" customHeight="1" x14ac:dyDescent="0.15">
      <c r="A218" s="141"/>
      <c r="B218" s="148">
        <v>215</v>
      </c>
      <c r="C218" s="163"/>
      <c r="D218" s="151"/>
      <c r="E218" s="151" t="s">
        <v>367</v>
      </c>
      <c r="F218" s="151" t="s">
        <v>367</v>
      </c>
      <c r="G218" s="151"/>
      <c r="H218" s="151"/>
      <c r="I218" s="151"/>
      <c r="J218" s="151">
        <v>1899</v>
      </c>
      <c r="K218" s="151">
        <v>12</v>
      </c>
    </row>
    <row r="219" spans="1:11" ht="13.5" customHeight="1" x14ac:dyDescent="0.15">
      <c r="A219" s="141"/>
      <c r="B219" s="148">
        <v>216</v>
      </c>
      <c r="C219" s="164"/>
      <c r="D219" s="152"/>
      <c r="E219" s="152" t="s">
        <v>367</v>
      </c>
      <c r="F219" s="152" t="s">
        <v>367</v>
      </c>
      <c r="G219" s="152"/>
      <c r="H219" s="152"/>
      <c r="I219" s="152"/>
      <c r="J219" s="152">
        <v>1899</v>
      </c>
      <c r="K219" s="152">
        <v>12</v>
      </c>
    </row>
    <row r="220" spans="1:11" ht="13.5" customHeight="1" x14ac:dyDescent="0.15">
      <c r="A220" s="141"/>
      <c r="B220" s="148">
        <v>217</v>
      </c>
      <c r="C220" s="163"/>
      <c r="D220" s="151"/>
      <c r="E220" s="151" t="s">
        <v>367</v>
      </c>
      <c r="F220" s="151" t="s">
        <v>367</v>
      </c>
      <c r="G220" s="151"/>
      <c r="H220" s="151"/>
      <c r="I220" s="151"/>
      <c r="J220" s="151">
        <v>1899</v>
      </c>
      <c r="K220" s="151">
        <v>12</v>
      </c>
    </row>
    <row r="221" spans="1:11" ht="13.5" customHeight="1" x14ac:dyDescent="0.15">
      <c r="A221" s="141"/>
      <c r="B221" s="148">
        <v>218</v>
      </c>
      <c r="C221" s="164"/>
      <c r="D221" s="152"/>
      <c r="E221" s="152" t="s">
        <v>367</v>
      </c>
      <c r="F221" s="152" t="s">
        <v>367</v>
      </c>
      <c r="G221" s="152"/>
      <c r="H221" s="152"/>
      <c r="I221" s="152"/>
      <c r="J221" s="152">
        <v>1899</v>
      </c>
      <c r="K221" s="152">
        <v>12</v>
      </c>
    </row>
    <row r="222" spans="1:11" ht="13.5" customHeight="1" x14ac:dyDescent="0.15">
      <c r="A222" s="141"/>
      <c r="B222" s="148">
        <v>219</v>
      </c>
      <c r="C222" s="163"/>
      <c r="D222" s="151"/>
      <c r="E222" s="151" t="s">
        <v>367</v>
      </c>
      <c r="F222" s="151" t="s">
        <v>367</v>
      </c>
      <c r="G222" s="151"/>
      <c r="H222" s="151"/>
      <c r="I222" s="151"/>
      <c r="J222" s="151">
        <v>1899</v>
      </c>
      <c r="K222" s="151">
        <v>12</v>
      </c>
    </row>
    <row r="223" spans="1:11" ht="13.5" customHeight="1" x14ac:dyDescent="0.15">
      <c r="A223" s="141"/>
      <c r="B223" s="148">
        <v>220</v>
      </c>
      <c r="C223" s="164"/>
      <c r="D223" s="152"/>
      <c r="E223" s="152" t="s">
        <v>367</v>
      </c>
      <c r="F223" s="152" t="s">
        <v>367</v>
      </c>
      <c r="G223" s="152"/>
      <c r="H223" s="152"/>
      <c r="I223" s="152"/>
      <c r="J223" s="152">
        <v>1899</v>
      </c>
      <c r="K223" s="152">
        <v>12</v>
      </c>
    </row>
    <row r="224" spans="1:11" ht="13.5" customHeight="1" x14ac:dyDescent="0.15">
      <c r="A224" s="141"/>
      <c r="B224" s="148">
        <v>221</v>
      </c>
      <c r="C224" s="163"/>
      <c r="D224" s="151"/>
      <c r="E224" s="151" t="s">
        <v>367</v>
      </c>
      <c r="F224" s="151" t="s">
        <v>367</v>
      </c>
      <c r="G224" s="151"/>
      <c r="H224" s="151"/>
      <c r="I224" s="151"/>
      <c r="J224" s="151">
        <v>1899</v>
      </c>
      <c r="K224" s="151">
        <v>12</v>
      </c>
    </row>
    <row r="225" spans="1:11" ht="13.5" customHeight="1" x14ac:dyDescent="0.15">
      <c r="A225" s="141"/>
      <c r="B225" s="148">
        <v>222</v>
      </c>
      <c r="C225" s="164"/>
      <c r="D225" s="152"/>
      <c r="E225" s="152" t="s">
        <v>367</v>
      </c>
      <c r="F225" s="152" t="s">
        <v>367</v>
      </c>
      <c r="G225" s="152"/>
      <c r="H225" s="152"/>
      <c r="I225" s="152"/>
      <c r="J225" s="152">
        <v>1899</v>
      </c>
      <c r="K225" s="152">
        <v>12</v>
      </c>
    </row>
    <row r="226" spans="1:11" ht="13.5" customHeight="1" x14ac:dyDescent="0.15">
      <c r="A226" s="141"/>
      <c r="B226" s="148">
        <v>223</v>
      </c>
      <c r="C226" s="163"/>
      <c r="D226" s="151"/>
      <c r="E226" s="151" t="s">
        <v>367</v>
      </c>
      <c r="F226" s="151" t="s">
        <v>367</v>
      </c>
      <c r="G226" s="151"/>
      <c r="H226" s="151"/>
      <c r="I226" s="151"/>
      <c r="J226" s="151">
        <v>1899</v>
      </c>
      <c r="K226" s="151">
        <v>12</v>
      </c>
    </row>
    <row r="227" spans="1:11" ht="13.5" customHeight="1" x14ac:dyDescent="0.15">
      <c r="A227" s="141"/>
      <c r="B227" s="148">
        <v>224</v>
      </c>
      <c r="C227" s="164"/>
      <c r="D227" s="152"/>
      <c r="E227" s="152" t="s">
        <v>367</v>
      </c>
      <c r="F227" s="152" t="s">
        <v>367</v>
      </c>
      <c r="G227" s="152"/>
      <c r="H227" s="152"/>
      <c r="I227" s="152"/>
      <c r="J227" s="152">
        <v>1899</v>
      </c>
      <c r="K227" s="152">
        <v>12</v>
      </c>
    </row>
    <row r="228" spans="1:11" ht="13.5" customHeight="1" x14ac:dyDescent="0.15">
      <c r="A228" s="141"/>
      <c r="B228" s="148">
        <v>225</v>
      </c>
      <c r="C228" s="163"/>
      <c r="D228" s="151"/>
      <c r="E228" s="151" t="s">
        <v>367</v>
      </c>
      <c r="F228" s="151" t="s">
        <v>367</v>
      </c>
      <c r="G228" s="151"/>
      <c r="H228" s="151"/>
      <c r="I228" s="151"/>
      <c r="J228" s="151">
        <v>1899</v>
      </c>
      <c r="K228" s="151">
        <v>12</v>
      </c>
    </row>
    <row r="229" spans="1:11" ht="13.5" customHeight="1" x14ac:dyDescent="0.15">
      <c r="A229" s="141"/>
      <c r="B229" s="148">
        <v>226</v>
      </c>
      <c r="C229" s="164"/>
      <c r="D229" s="152"/>
      <c r="E229" s="152" t="s">
        <v>367</v>
      </c>
      <c r="F229" s="152" t="s">
        <v>367</v>
      </c>
      <c r="G229" s="152"/>
      <c r="H229" s="152"/>
      <c r="I229" s="152"/>
      <c r="J229" s="152">
        <v>1899</v>
      </c>
      <c r="K229" s="152">
        <v>12</v>
      </c>
    </row>
    <row r="230" spans="1:11" ht="13.5" customHeight="1" x14ac:dyDescent="0.15">
      <c r="A230" s="141"/>
      <c r="B230" s="148">
        <v>227</v>
      </c>
      <c r="C230" s="163"/>
      <c r="D230" s="151"/>
      <c r="E230" s="151" t="s">
        <v>367</v>
      </c>
      <c r="F230" s="151" t="s">
        <v>367</v>
      </c>
      <c r="G230" s="151"/>
      <c r="H230" s="151"/>
      <c r="I230" s="151"/>
      <c r="J230" s="151">
        <v>1899</v>
      </c>
      <c r="K230" s="151">
        <v>12</v>
      </c>
    </row>
    <row r="231" spans="1:11" ht="13.5" customHeight="1" x14ac:dyDescent="0.15">
      <c r="A231" s="141"/>
      <c r="B231" s="148">
        <v>228</v>
      </c>
      <c r="C231" s="164"/>
      <c r="D231" s="152"/>
      <c r="E231" s="152" t="s">
        <v>367</v>
      </c>
      <c r="F231" s="152" t="s">
        <v>367</v>
      </c>
      <c r="G231" s="152"/>
      <c r="H231" s="152"/>
      <c r="I231" s="152"/>
      <c r="J231" s="152">
        <v>1899</v>
      </c>
      <c r="K231" s="152">
        <v>12</v>
      </c>
    </row>
    <row r="232" spans="1:11" ht="13.5" customHeight="1" x14ac:dyDescent="0.15">
      <c r="A232" s="141"/>
      <c r="B232" s="148">
        <v>229</v>
      </c>
      <c r="C232" s="163"/>
      <c r="D232" s="151"/>
      <c r="E232" s="151" t="s">
        <v>367</v>
      </c>
      <c r="F232" s="151" t="s">
        <v>367</v>
      </c>
      <c r="G232" s="151"/>
      <c r="H232" s="151"/>
      <c r="I232" s="151"/>
      <c r="J232" s="151">
        <v>1899</v>
      </c>
      <c r="K232" s="151">
        <v>12</v>
      </c>
    </row>
    <row r="233" spans="1:11" ht="13.5" customHeight="1" x14ac:dyDescent="0.15">
      <c r="A233" s="141"/>
      <c r="B233" s="148">
        <v>230</v>
      </c>
      <c r="C233" s="164"/>
      <c r="D233" s="152"/>
      <c r="E233" s="152" t="s">
        <v>367</v>
      </c>
      <c r="F233" s="152" t="s">
        <v>367</v>
      </c>
      <c r="G233" s="152"/>
      <c r="H233" s="152"/>
      <c r="I233" s="152"/>
      <c r="J233" s="152">
        <v>1899</v>
      </c>
      <c r="K233" s="152">
        <v>12</v>
      </c>
    </row>
    <row r="234" spans="1:11" ht="13.5" customHeight="1" x14ac:dyDescent="0.15">
      <c r="A234" s="141"/>
      <c r="B234" s="148">
        <v>231</v>
      </c>
      <c r="C234" s="163"/>
      <c r="D234" s="151"/>
      <c r="E234" s="151" t="s">
        <v>367</v>
      </c>
      <c r="F234" s="151" t="s">
        <v>367</v>
      </c>
      <c r="G234" s="151"/>
      <c r="H234" s="151"/>
      <c r="I234" s="151"/>
      <c r="J234" s="151">
        <v>1899</v>
      </c>
      <c r="K234" s="151">
        <v>12</v>
      </c>
    </row>
    <row r="235" spans="1:11" ht="13.5" customHeight="1" x14ac:dyDescent="0.15">
      <c r="A235" s="141"/>
      <c r="B235" s="148">
        <v>232</v>
      </c>
      <c r="C235" s="164"/>
      <c r="D235" s="152"/>
      <c r="E235" s="152" t="s">
        <v>367</v>
      </c>
      <c r="F235" s="152" t="s">
        <v>367</v>
      </c>
      <c r="G235" s="152"/>
      <c r="H235" s="152"/>
      <c r="I235" s="152"/>
      <c r="J235" s="152">
        <v>1899</v>
      </c>
      <c r="K235" s="152">
        <v>12</v>
      </c>
    </row>
    <row r="236" spans="1:11" ht="13.5" customHeight="1" x14ac:dyDescent="0.15">
      <c r="A236" s="141"/>
      <c r="B236" s="148">
        <v>233</v>
      </c>
      <c r="C236" s="163"/>
      <c r="D236" s="151"/>
      <c r="E236" s="151" t="s">
        <v>367</v>
      </c>
      <c r="F236" s="151" t="s">
        <v>367</v>
      </c>
      <c r="G236" s="151"/>
      <c r="H236" s="151"/>
      <c r="I236" s="151"/>
      <c r="J236" s="151">
        <v>1899</v>
      </c>
      <c r="K236" s="151">
        <v>12</v>
      </c>
    </row>
    <row r="237" spans="1:11" ht="13.5" customHeight="1" x14ac:dyDescent="0.15">
      <c r="A237" s="141"/>
      <c r="B237" s="148">
        <v>234</v>
      </c>
      <c r="C237" s="164"/>
      <c r="D237" s="152"/>
      <c r="E237" s="152" t="s">
        <v>367</v>
      </c>
      <c r="F237" s="152" t="s">
        <v>367</v>
      </c>
      <c r="G237" s="152"/>
      <c r="H237" s="152"/>
      <c r="I237" s="152"/>
      <c r="J237" s="152">
        <v>1899</v>
      </c>
      <c r="K237" s="152">
        <v>12</v>
      </c>
    </row>
    <row r="238" spans="1:11" ht="13.5" customHeight="1" x14ac:dyDescent="0.15">
      <c r="A238" s="141"/>
      <c r="B238" s="148">
        <v>235</v>
      </c>
      <c r="C238" s="163"/>
      <c r="D238" s="151"/>
      <c r="E238" s="151" t="s">
        <v>367</v>
      </c>
      <c r="F238" s="151" t="s">
        <v>367</v>
      </c>
      <c r="G238" s="151"/>
      <c r="H238" s="151"/>
      <c r="I238" s="151"/>
      <c r="J238" s="151">
        <v>1899</v>
      </c>
      <c r="K238" s="151">
        <v>12</v>
      </c>
    </row>
    <row r="239" spans="1:11" ht="13.5" customHeight="1" x14ac:dyDescent="0.15">
      <c r="A239" s="141"/>
      <c r="B239" s="148">
        <v>236</v>
      </c>
      <c r="C239" s="164"/>
      <c r="D239" s="152"/>
      <c r="E239" s="152" t="s">
        <v>367</v>
      </c>
      <c r="F239" s="152" t="s">
        <v>367</v>
      </c>
      <c r="G239" s="152"/>
      <c r="H239" s="152"/>
      <c r="I239" s="152"/>
      <c r="J239" s="152">
        <v>1899</v>
      </c>
      <c r="K239" s="152">
        <v>12</v>
      </c>
    </row>
    <row r="240" spans="1:11" ht="13.5" customHeight="1" x14ac:dyDescent="0.15">
      <c r="A240" s="141"/>
      <c r="B240" s="148">
        <v>237</v>
      </c>
      <c r="C240" s="163"/>
      <c r="D240" s="151"/>
      <c r="E240" s="151" t="s">
        <v>367</v>
      </c>
      <c r="F240" s="151" t="s">
        <v>367</v>
      </c>
      <c r="G240" s="151"/>
      <c r="H240" s="151"/>
      <c r="I240" s="151"/>
      <c r="J240" s="151">
        <v>1899</v>
      </c>
      <c r="K240" s="151">
        <v>12</v>
      </c>
    </row>
    <row r="241" spans="1:11" ht="13.5" customHeight="1" x14ac:dyDescent="0.15">
      <c r="A241" s="141"/>
      <c r="B241" s="148">
        <v>238</v>
      </c>
      <c r="C241" s="164"/>
      <c r="D241" s="152"/>
      <c r="E241" s="152" t="s">
        <v>367</v>
      </c>
      <c r="F241" s="152" t="s">
        <v>367</v>
      </c>
      <c r="G241" s="152"/>
      <c r="H241" s="152"/>
      <c r="I241" s="152"/>
      <c r="J241" s="152">
        <v>1899</v>
      </c>
      <c r="K241" s="152">
        <v>12</v>
      </c>
    </row>
    <row r="242" spans="1:11" ht="13.5" customHeight="1" x14ac:dyDescent="0.15">
      <c r="A242" s="141"/>
      <c r="B242" s="148">
        <v>239</v>
      </c>
      <c r="C242" s="163"/>
      <c r="D242" s="151"/>
      <c r="E242" s="151" t="s">
        <v>367</v>
      </c>
      <c r="F242" s="151" t="s">
        <v>367</v>
      </c>
      <c r="G242" s="151"/>
      <c r="H242" s="151"/>
      <c r="I242" s="151"/>
      <c r="J242" s="151">
        <v>1899</v>
      </c>
      <c r="K242" s="151">
        <v>12</v>
      </c>
    </row>
    <row r="243" spans="1:11" ht="13.5" customHeight="1" x14ac:dyDescent="0.15">
      <c r="A243" s="141"/>
      <c r="B243" s="148">
        <v>240</v>
      </c>
      <c r="C243" s="164"/>
      <c r="D243" s="152"/>
      <c r="E243" s="152" t="s">
        <v>367</v>
      </c>
      <c r="F243" s="152" t="s">
        <v>367</v>
      </c>
      <c r="G243" s="152"/>
      <c r="H243" s="152"/>
      <c r="I243" s="152"/>
      <c r="J243" s="152">
        <v>1899</v>
      </c>
      <c r="K243" s="152">
        <v>12</v>
      </c>
    </row>
    <row r="244" spans="1:11" ht="13.5" customHeight="1" x14ac:dyDescent="0.15">
      <c r="A244" s="141"/>
      <c r="B244" s="148">
        <v>241</v>
      </c>
      <c r="C244" s="163"/>
      <c r="D244" s="151"/>
      <c r="E244" s="151" t="s">
        <v>367</v>
      </c>
      <c r="F244" s="151" t="s">
        <v>367</v>
      </c>
      <c r="G244" s="151"/>
      <c r="H244" s="151"/>
      <c r="I244" s="151"/>
      <c r="J244" s="151">
        <v>1899</v>
      </c>
      <c r="K244" s="151">
        <v>12</v>
      </c>
    </row>
    <row r="245" spans="1:11" ht="13.5" customHeight="1" x14ac:dyDescent="0.15">
      <c r="A245" s="141"/>
      <c r="B245" s="148">
        <v>242</v>
      </c>
      <c r="C245" s="164"/>
      <c r="D245" s="152"/>
      <c r="E245" s="152" t="s">
        <v>367</v>
      </c>
      <c r="F245" s="152" t="s">
        <v>367</v>
      </c>
      <c r="G245" s="152"/>
      <c r="H245" s="152"/>
      <c r="I245" s="152"/>
      <c r="J245" s="152">
        <v>1899</v>
      </c>
      <c r="K245" s="152">
        <v>12</v>
      </c>
    </row>
    <row r="246" spans="1:11" ht="13.5" customHeight="1" x14ac:dyDescent="0.15">
      <c r="A246" s="141"/>
      <c r="B246" s="148">
        <v>243</v>
      </c>
      <c r="C246" s="163"/>
      <c r="D246" s="151"/>
      <c r="E246" s="151" t="s">
        <v>367</v>
      </c>
      <c r="F246" s="151" t="s">
        <v>367</v>
      </c>
      <c r="G246" s="151"/>
      <c r="H246" s="151"/>
      <c r="I246" s="151"/>
      <c r="J246" s="151">
        <v>1899</v>
      </c>
      <c r="K246" s="151">
        <v>12</v>
      </c>
    </row>
    <row r="247" spans="1:11" ht="13.5" customHeight="1" x14ac:dyDescent="0.15">
      <c r="A247" s="141"/>
      <c r="B247" s="148">
        <v>244</v>
      </c>
      <c r="C247" s="164"/>
      <c r="D247" s="152"/>
      <c r="E247" s="152" t="s">
        <v>367</v>
      </c>
      <c r="F247" s="152" t="s">
        <v>367</v>
      </c>
      <c r="G247" s="152"/>
      <c r="H247" s="152"/>
      <c r="I247" s="152"/>
      <c r="J247" s="152">
        <v>1899</v>
      </c>
      <c r="K247" s="152">
        <v>12</v>
      </c>
    </row>
    <row r="248" spans="1:11" ht="13.5" customHeight="1" x14ac:dyDescent="0.15">
      <c r="A248" s="141"/>
      <c r="B248" s="148">
        <v>245</v>
      </c>
      <c r="C248" s="163"/>
      <c r="D248" s="151"/>
      <c r="E248" s="151" t="s">
        <v>367</v>
      </c>
      <c r="F248" s="151" t="s">
        <v>367</v>
      </c>
      <c r="G248" s="151"/>
      <c r="H248" s="151"/>
      <c r="I248" s="151"/>
      <c r="J248" s="151">
        <v>1899</v>
      </c>
      <c r="K248" s="151">
        <v>12</v>
      </c>
    </row>
    <row r="249" spans="1:11" ht="13.5" customHeight="1" x14ac:dyDescent="0.15">
      <c r="A249" s="141"/>
      <c r="B249" s="148">
        <v>246</v>
      </c>
      <c r="C249" s="164"/>
      <c r="D249" s="152"/>
      <c r="E249" s="152" t="s">
        <v>367</v>
      </c>
      <c r="F249" s="152" t="s">
        <v>367</v>
      </c>
      <c r="G249" s="152"/>
      <c r="H249" s="152"/>
      <c r="I249" s="152"/>
      <c r="J249" s="152">
        <v>1899</v>
      </c>
      <c r="K249" s="152">
        <v>12</v>
      </c>
    </row>
    <row r="250" spans="1:11" ht="13.5" customHeight="1" x14ac:dyDescent="0.15">
      <c r="A250" s="141"/>
      <c r="B250" s="148">
        <v>247</v>
      </c>
      <c r="C250" s="163"/>
      <c r="D250" s="151"/>
      <c r="E250" s="151" t="s">
        <v>367</v>
      </c>
      <c r="F250" s="151" t="s">
        <v>367</v>
      </c>
      <c r="G250" s="151"/>
      <c r="H250" s="151"/>
      <c r="I250" s="151"/>
      <c r="J250" s="151">
        <v>1899</v>
      </c>
      <c r="K250" s="151">
        <v>12</v>
      </c>
    </row>
    <row r="251" spans="1:11" ht="13.5" customHeight="1" x14ac:dyDescent="0.15">
      <c r="A251" s="141"/>
      <c r="B251" s="148">
        <v>248</v>
      </c>
      <c r="C251" s="164"/>
      <c r="D251" s="152"/>
      <c r="E251" s="152" t="s">
        <v>367</v>
      </c>
      <c r="F251" s="152" t="s">
        <v>367</v>
      </c>
      <c r="G251" s="152"/>
      <c r="H251" s="152"/>
      <c r="I251" s="152"/>
      <c r="J251" s="152">
        <v>1899</v>
      </c>
      <c r="K251" s="152">
        <v>12</v>
      </c>
    </row>
    <row r="252" spans="1:11" ht="13.5" customHeight="1" x14ac:dyDescent="0.15">
      <c r="A252" s="141"/>
      <c r="B252" s="148">
        <v>249</v>
      </c>
      <c r="C252" s="163"/>
      <c r="D252" s="151"/>
      <c r="E252" s="151" t="s">
        <v>367</v>
      </c>
      <c r="F252" s="151" t="s">
        <v>367</v>
      </c>
      <c r="G252" s="151"/>
      <c r="H252" s="151"/>
      <c r="I252" s="151"/>
      <c r="J252" s="151">
        <v>1899</v>
      </c>
      <c r="K252" s="151">
        <v>12</v>
      </c>
    </row>
    <row r="253" spans="1:11" ht="13.5" customHeight="1" x14ac:dyDescent="0.15">
      <c r="A253" s="141"/>
      <c r="B253" s="148">
        <v>250</v>
      </c>
      <c r="C253" s="164"/>
      <c r="D253" s="152"/>
      <c r="E253" s="152" t="s">
        <v>367</v>
      </c>
      <c r="F253" s="152" t="s">
        <v>367</v>
      </c>
      <c r="G253" s="152"/>
      <c r="H253" s="152"/>
      <c r="I253" s="152"/>
      <c r="J253" s="152">
        <v>1899</v>
      </c>
      <c r="K253" s="152">
        <v>12</v>
      </c>
    </row>
    <row r="254" spans="1:11" ht="13.5" customHeight="1" x14ac:dyDescent="0.15">
      <c r="A254" s="141"/>
      <c r="B254" s="148">
        <v>251</v>
      </c>
      <c r="C254" s="163"/>
      <c r="D254" s="151"/>
      <c r="E254" s="151" t="s">
        <v>367</v>
      </c>
      <c r="F254" s="151" t="s">
        <v>367</v>
      </c>
      <c r="G254" s="151"/>
      <c r="H254" s="151"/>
      <c r="I254" s="151"/>
      <c r="J254" s="151">
        <v>1899</v>
      </c>
      <c r="K254" s="151">
        <v>12</v>
      </c>
    </row>
    <row r="255" spans="1:11" ht="13.5" customHeight="1" x14ac:dyDescent="0.15">
      <c r="A255" s="141"/>
      <c r="B255" s="148">
        <v>252</v>
      </c>
      <c r="C255" s="164"/>
      <c r="D255" s="152"/>
      <c r="E255" s="152" t="s">
        <v>367</v>
      </c>
      <c r="F255" s="152" t="s">
        <v>367</v>
      </c>
      <c r="G255" s="152"/>
      <c r="H255" s="152"/>
      <c r="I255" s="152"/>
      <c r="J255" s="152">
        <v>1899</v>
      </c>
      <c r="K255" s="152">
        <v>12</v>
      </c>
    </row>
    <row r="256" spans="1:11" ht="13.5" customHeight="1" x14ac:dyDescent="0.15">
      <c r="A256" s="141"/>
      <c r="B256" s="148">
        <v>253</v>
      </c>
      <c r="C256" s="163"/>
      <c r="D256" s="151"/>
      <c r="E256" s="151" t="s">
        <v>367</v>
      </c>
      <c r="F256" s="151" t="s">
        <v>367</v>
      </c>
      <c r="G256" s="151"/>
      <c r="H256" s="151"/>
      <c r="I256" s="151"/>
      <c r="J256" s="151">
        <v>1899</v>
      </c>
      <c r="K256" s="151">
        <v>12</v>
      </c>
    </row>
    <row r="257" spans="1:11" ht="13.5" customHeight="1" x14ac:dyDescent="0.15">
      <c r="A257" s="141"/>
      <c r="B257" s="148">
        <v>254</v>
      </c>
      <c r="C257" s="164"/>
      <c r="D257" s="152"/>
      <c r="E257" s="152" t="s">
        <v>367</v>
      </c>
      <c r="F257" s="152" t="s">
        <v>367</v>
      </c>
      <c r="G257" s="152"/>
      <c r="H257" s="152"/>
      <c r="I257" s="152"/>
      <c r="J257" s="152">
        <v>1899</v>
      </c>
      <c r="K257" s="152">
        <v>12</v>
      </c>
    </row>
    <row r="258" spans="1:11" ht="13.5" customHeight="1" x14ac:dyDescent="0.15">
      <c r="A258" s="141"/>
      <c r="B258" s="148">
        <v>255</v>
      </c>
      <c r="C258" s="163"/>
      <c r="D258" s="151"/>
      <c r="E258" s="151" t="s">
        <v>367</v>
      </c>
      <c r="F258" s="151" t="s">
        <v>367</v>
      </c>
      <c r="G258" s="151"/>
      <c r="H258" s="151"/>
      <c r="I258" s="151"/>
      <c r="J258" s="151">
        <v>1899</v>
      </c>
      <c r="K258" s="151">
        <v>12</v>
      </c>
    </row>
    <row r="259" spans="1:11" ht="13.5" customHeight="1" x14ac:dyDescent="0.15">
      <c r="A259" s="141"/>
      <c r="B259" s="148">
        <v>256</v>
      </c>
      <c r="C259" s="164"/>
      <c r="D259" s="152"/>
      <c r="E259" s="152" t="s">
        <v>367</v>
      </c>
      <c r="F259" s="152" t="s">
        <v>367</v>
      </c>
      <c r="G259" s="152"/>
      <c r="H259" s="152"/>
      <c r="I259" s="152"/>
      <c r="J259" s="152">
        <v>1899</v>
      </c>
      <c r="K259" s="152">
        <v>12</v>
      </c>
    </row>
    <row r="260" spans="1:11" ht="13.5" customHeight="1" x14ac:dyDescent="0.15">
      <c r="A260" s="141"/>
      <c r="B260" s="148">
        <v>257</v>
      </c>
      <c r="C260" s="163"/>
      <c r="D260" s="151"/>
      <c r="E260" s="151" t="s">
        <v>367</v>
      </c>
      <c r="F260" s="151" t="s">
        <v>367</v>
      </c>
      <c r="G260" s="151"/>
      <c r="H260" s="151"/>
      <c r="I260" s="151"/>
      <c r="J260" s="151">
        <v>1899</v>
      </c>
      <c r="K260" s="151">
        <v>12</v>
      </c>
    </row>
    <row r="261" spans="1:11" ht="13.5" customHeight="1" x14ac:dyDescent="0.15">
      <c r="A261" s="141"/>
      <c r="B261" s="148">
        <v>258</v>
      </c>
      <c r="C261" s="164"/>
      <c r="D261" s="152"/>
      <c r="E261" s="152" t="s">
        <v>367</v>
      </c>
      <c r="F261" s="152" t="s">
        <v>367</v>
      </c>
      <c r="G261" s="152"/>
      <c r="H261" s="152"/>
      <c r="I261" s="152"/>
      <c r="J261" s="152">
        <v>1899</v>
      </c>
      <c r="K261" s="152">
        <v>12</v>
      </c>
    </row>
    <row r="262" spans="1:11" ht="13.5" customHeight="1" x14ac:dyDescent="0.15">
      <c r="A262" s="141"/>
      <c r="B262" s="148">
        <v>259</v>
      </c>
      <c r="C262" s="163"/>
      <c r="D262" s="151"/>
      <c r="E262" s="151" t="s">
        <v>367</v>
      </c>
      <c r="F262" s="151" t="s">
        <v>367</v>
      </c>
      <c r="G262" s="151"/>
      <c r="H262" s="151"/>
      <c r="I262" s="151"/>
      <c r="J262" s="151">
        <v>1899</v>
      </c>
      <c r="K262" s="151">
        <v>12</v>
      </c>
    </row>
    <row r="263" spans="1:11" ht="13.5" customHeight="1" x14ac:dyDescent="0.15">
      <c r="A263" s="141"/>
      <c r="B263" s="148">
        <v>260</v>
      </c>
      <c r="C263" s="164"/>
      <c r="D263" s="152"/>
      <c r="E263" s="152" t="s">
        <v>367</v>
      </c>
      <c r="F263" s="152" t="s">
        <v>367</v>
      </c>
      <c r="G263" s="152"/>
      <c r="H263" s="152"/>
      <c r="I263" s="152"/>
      <c r="J263" s="152">
        <v>1899</v>
      </c>
      <c r="K263" s="152">
        <v>12</v>
      </c>
    </row>
    <row r="264" spans="1:11" ht="13.5" customHeight="1" x14ac:dyDescent="0.15">
      <c r="A264" s="141"/>
      <c r="B264" s="148">
        <v>261</v>
      </c>
      <c r="C264" s="163"/>
      <c r="D264" s="151"/>
      <c r="E264" s="151" t="s">
        <v>367</v>
      </c>
      <c r="F264" s="151" t="s">
        <v>367</v>
      </c>
      <c r="G264" s="151"/>
      <c r="H264" s="151"/>
      <c r="I264" s="151"/>
      <c r="J264" s="151">
        <v>1899</v>
      </c>
      <c r="K264" s="151">
        <v>12</v>
      </c>
    </row>
    <row r="265" spans="1:11" ht="13.5" customHeight="1" x14ac:dyDescent="0.15">
      <c r="A265" s="141"/>
      <c r="B265" s="148">
        <v>262</v>
      </c>
      <c r="C265" s="164"/>
      <c r="D265" s="152"/>
      <c r="E265" s="152" t="s">
        <v>367</v>
      </c>
      <c r="F265" s="152" t="s">
        <v>367</v>
      </c>
      <c r="G265" s="152"/>
      <c r="H265" s="152"/>
      <c r="I265" s="152"/>
      <c r="J265" s="152">
        <v>1899</v>
      </c>
      <c r="K265" s="152">
        <v>12</v>
      </c>
    </row>
    <row r="266" spans="1:11" ht="13.5" customHeight="1" x14ac:dyDescent="0.15">
      <c r="A266" s="141"/>
      <c r="B266" s="148">
        <v>263</v>
      </c>
      <c r="C266" s="163"/>
      <c r="D266" s="151"/>
      <c r="E266" s="151" t="s">
        <v>367</v>
      </c>
      <c r="F266" s="151" t="s">
        <v>367</v>
      </c>
      <c r="G266" s="151"/>
      <c r="H266" s="151"/>
      <c r="I266" s="151"/>
      <c r="J266" s="151">
        <v>1899</v>
      </c>
      <c r="K266" s="151">
        <v>12</v>
      </c>
    </row>
    <row r="267" spans="1:11" ht="13.5" customHeight="1" x14ac:dyDescent="0.15">
      <c r="A267" s="141"/>
      <c r="B267" s="148">
        <v>264</v>
      </c>
      <c r="C267" s="164"/>
      <c r="D267" s="152"/>
      <c r="E267" s="152" t="s">
        <v>367</v>
      </c>
      <c r="F267" s="152" t="s">
        <v>367</v>
      </c>
      <c r="G267" s="152"/>
      <c r="H267" s="152"/>
      <c r="I267" s="152"/>
      <c r="J267" s="152">
        <v>1899</v>
      </c>
      <c r="K267" s="152">
        <v>12</v>
      </c>
    </row>
    <row r="268" spans="1:11" ht="13.5" customHeight="1" x14ac:dyDescent="0.15">
      <c r="A268" s="141"/>
      <c r="B268" s="148">
        <v>265</v>
      </c>
      <c r="C268" s="163"/>
      <c r="D268" s="151"/>
      <c r="E268" s="151" t="s">
        <v>367</v>
      </c>
      <c r="F268" s="151" t="s">
        <v>367</v>
      </c>
      <c r="G268" s="151"/>
      <c r="H268" s="151"/>
      <c r="I268" s="151"/>
      <c r="J268" s="151">
        <v>1899</v>
      </c>
      <c r="K268" s="151">
        <v>12</v>
      </c>
    </row>
    <row r="269" spans="1:11" ht="13.5" customHeight="1" x14ac:dyDescent="0.15">
      <c r="A269" s="141"/>
      <c r="B269" s="148">
        <v>266</v>
      </c>
      <c r="C269" s="164"/>
      <c r="D269" s="152"/>
      <c r="E269" s="152" t="s">
        <v>367</v>
      </c>
      <c r="F269" s="152" t="s">
        <v>367</v>
      </c>
      <c r="G269" s="152"/>
      <c r="H269" s="152"/>
      <c r="I269" s="152"/>
      <c r="J269" s="152">
        <v>1899</v>
      </c>
      <c r="K269" s="152">
        <v>12</v>
      </c>
    </row>
    <row r="270" spans="1:11" ht="13.5" customHeight="1" x14ac:dyDescent="0.15">
      <c r="A270" s="141"/>
      <c r="B270" s="148">
        <v>267</v>
      </c>
      <c r="C270" s="163"/>
      <c r="D270" s="151"/>
      <c r="E270" s="151" t="s">
        <v>367</v>
      </c>
      <c r="F270" s="151" t="s">
        <v>367</v>
      </c>
      <c r="G270" s="151"/>
      <c r="H270" s="151"/>
      <c r="I270" s="151"/>
      <c r="J270" s="151">
        <v>1899</v>
      </c>
      <c r="K270" s="151">
        <v>12</v>
      </c>
    </row>
    <row r="271" spans="1:11" ht="13.5" customHeight="1" x14ac:dyDescent="0.15">
      <c r="A271" s="141"/>
      <c r="B271" s="148">
        <v>268</v>
      </c>
      <c r="C271" s="164"/>
      <c r="D271" s="152"/>
      <c r="E271" s="152" t="s">
        <v>367</v>
      </c>
      <c r="F271" s="152" t="s">
        <v>367</v>
      </c>
      <c r="G271" s="152"/>
      <c r="H271" s="152"/>
      <c r="I271" s="152"/>
      <c r="J271" s="152">
        <v>1899</v>
      </c>
      <c r="K271" s="152">
        <v>12</v>
      </c>
    </row>
    <row r="272" spans="1:11" ht="13.5" customHeight="1" x14ac:dyDescent="0.15">
      <c r="A272" s="141"/>
      <c r="B272" s="148">
        <v>269</v>
      </c>
      <c r="C272" s="163"/>
      <c r="D272" s="151"/>
      <c r="E272" s="151" t="s">
        <v>367</v>
      </c>
      <c r="F272" s="151" t="s">
        <v>367</v>
      </c>
      <c r="G272" s="151"/>
      <c r="H272" s="151"/>
      <c r="I272" s="151"/>
      <c r="J272" s="151">
        <v>1899</v>
      </c>
      <c r="K272" s="151">
        <v>12</v>
      </c>
    </row>
    <row r="273" spans="1:11" ht="13.5" customHeight="1" x14ac:dyDescent="0.15">
      <c r="A273" s="141"/>
      <c r="B273" s="148">
        <v>270</v>
      </c>
      <c r="C273" s="164"/>
      <c r="D273" s="152"/>
      <c r="E273" s="152" t="s">
        <v>367</v>
      </c>
      <c r="F273" s="152" t="s">
        <v>367</v>
      </c>
      <c r="G273" s="152"/>
      <c r="H273" s="152"/>
      <c r="I273" s="152"/>
      <c r="J273" s="152">
        <v>1899</v>
      </c>
      <c r="K273" s="152">
        <v>12</v>
      </c>
    </row>
    <row r="274" spans="1:11" ht="13.5" customHeight="1" x14ac:dyDescent="0.15">
      <c r="A274" s="141"/>
      <c r="B274" s="148">
        <v>271</v>
      </c>
      <c r="C274" s="163"/>
      <c r="D274" s="151"/>
      <c r="E274" s="151" t="s">
        <v>367</v>
      </c>
      <c r="F274" s="151" t="s">
        <v>367</v>
      </c>
      <c r="G274" s="151"/>
      <c r="H274" s="151"/>
      <c r="I274" s="151"/>
      <c r="J274" s="151">
        <v>1899</v>
      </c>
      <c r="K274" s="151">
        <v>12</v>
      </c>
    </row>
    <row r="275" spans="1:11" ht="13.5" customHeight="1" x14ac:dyDescent="0.15">
      <c r="A275" s="141"/>
      <c r="B275" s="148">
        <v>272</v>
      </c>
      <c r="C275" s="164"/>
      <c r="D275" s="152"/>
      <c r="E275" s="152" t="s">
        <v>367</v>
      </c>
      <c r="F275" s="152" t="s">
        <v>367</v>
      </c>
      <c r="G275" s="152"/>
      <c r="H275" s="152"/>
      <c r="I275" s="152"/>
      <c r="J275" s="152">
        <v>1899</v>
      </c>
      <c r="K275" s="152">
        <v>12</v>
      </c>
    </row>
    <row r="276" spans="1:11" ht="13.5" customHeight="1" x14ac:dyDescent="0.15">
      <c r="A276" s="141"/>
      <c r="B276" s="148">
        <v>273</v>
      </c>
      <c r="C276" s="163"/>
      <c r="D276" s="151"/>
      <c r="E276" s="151" t="s">
        <v>367</v>
      </c>
      <c r="F276" s="151" t="s">
        <v>367</v>
      </c>
      <c r="G276" s="151"/>
      <c r="H276" s="151"/>
      <c r="I276" s="151"/>
      <c r="J276" s="151">
        <v>1899</v>
      </c>
      <c r="K276" s="151">
        <v>12</v>
      </c>
    </row>
    <row r="277" spans="1:11" ht="13.5" customHeight="1" x14ac:dyDescent="0.15">
      <c r="A277" s="141"/>
      <c r="B277" s="148">
        <v>274</v>
      </c>
      <c r="C277" s="164"/>
      <c r="D277" s="152"/>
      <c r="E277" s="152" t="s">
        <v>367</v>
      </c>
      <c r="F277" s="152" t="s">
        <v>367</v>
      </c>
      <c r="G277" s="152"/>
      <c r="H277" s="152"/>
      <c r="I277" s="152"/>
      <c r="J277" s="152">
        <v>1899</v>
      </c>
      <c r="K277" s="152">
        <v>12</v>
      </c>
    </row>
    <row r="278" spans="1:11" ht="13.5" customHeight="1" x14ac:dyDescent="0.15">
      <c r="A278" s="141"/>
      <c r="B278" s="148">
        <v>275</v>
      </c>
      <c r="C278" s="163"/>
      <c r="D278" s="151"/>
      <c r="E278" s="151" t="s">
        <v>367</v>
      </c>
      <c r="F278" s="151" t="s">
        <v>367</v>
      </c>
      <c r="G278" s="151"/>
      <c r="H278" s="151"/>
      <c r="I278" s="151"/>
      <c r="J278" s="151">
        <v>1899</v>
      </c>
      <c r="K278" s="151">
        <v>12</v>
      </c>
    </row>
    <row r="279" spans="1:11" ht="13.5" customHeight="1" x14ac:dyDescent="0.15">
      <c r="A279" s="141"/>
      <c r="B279" s="148">
        <v>276</v>
      </c>
      <c r="C279" s="164"/>
      <c r="D279" s="152"/>
      <c r="E279" s="152" t="s">
        <v>367</v>
      </c>
      <c r="F279" s="152" t="s">
        <v>367</v>
      </c>
      <c r="G279" s="152"/>
      <c r="H279" s="152"/>
      <c r="I279" s="152"/>
      <c r="J279" s="152">
        <v>1899</v>
      </c>
      <c r="K279" s="152">
        <v>12</v>
      </c>
    </row>
    <row r="280" spans="1:11" ht="13.5" customHeight="1" x14ac:dyDescent="0.15">
      <c r="A280" s="141"/>
      <c r="B280" s="148">
        <v>277</v>
      </c>
      <c r="C280" s="163"/>
      <c r="D280" s="151"/>
      <c r="E280" s="151" t="s">
        <v>367</v>
      </c>
      <c r="F280" s="151" t="s">
        <v>367</v>
      </c>
      <c r="G280" s="151"/>
      <c r="H280" s="151"/>
      <c r="I280" s="151"/>
      <c r="J280" s="151">
        <v>1899</v>
      </c>
      <c r="K280" s="151">
        <v>12</v>
      </c>
    </row>
    <row r="281" spans="1:11" ht="13.5" customHeight="1" x14ac:dyDescent="0.15">
      <c r="A281" s="141"/>
      <c r="B281" s="148">
        <v>278</v>
      </c>
      <c r="C281" s="164"/>
      <c r="D281" s="152"/>
      <c r="E281" s="152" t="s">
        <v>367</v>
      </c>
      <c r="F281" s="152" t="s">
        <v>367</v>
      </c>
      <c r="G281" s="152"/>
      <c r="H281" s="152"/>
      <c r="I281" s="152"/>
      <c r="J281" s="152">
        <v>1899</v>
      </c>
      <c r="K281" s="152">
        <v>12</v>
      </c>
    </row>
    <row r="282" spans="1:11" ht="13.5" customHeight="1" x14ac:dyDescent="0.15">
      <c r="A282" s="141"/>
      <c r="B282" s="148">
        <v>279</v>
      </c>
      <c r="C282" s="163"/>
      <c r="D282" s="151"/>
      <c r="E282" s="151" t="s">
        <v>367</v>
      </c>
      <c r="F282" s="151" t="s">
        <v>367</v>
      </c>
      <c r="G282" s="151"/>
      <c r="H282" s="151"/>
      <c r="I282" s="151"/>
      <c r="J282" s="151">
        <v>1899</v>
      </c>
      <c r="K282" s="151">
        <v>12</v>
      </c>
    </row>
    <row r="283" spans="1:11" ht="13.5" customHeight="1" x14ac:dyDescent="0.15">
      <c r="A283" s="141"/>
      <c r="B283" s="148">
        <v>280</v>
      </c>
      <c r="C283" s="164"/>
      <c r="D283" s="152"/>
      <c r="E283" s="152" t="s">
        <v>367</v>
      </c>
      <c r="F283" s="152" t="s">
        <v>367</v>
      </c>
      <c r="G283" s="152"/>
      <c r="H283" s="152"/>
      <c r="I283" s="152"/>
      <c r="J283" s="152">
        <v>1899</v>
      </c>
      <c r="K283" s="152">
        <v>12</v>
      </c>
    </row>
    <row r="284" spans="1:11" ht="13.5" customHeight="1" x14ac:dyDescent="0.15">
      <c r="A284" s="141"/>
      <c r="B284" s="148">
        <v>281</v>
      </c>
      <c r="C284" s="163"/>
      <c r="D284" s="151"/>
      <c r="E284" s="151" t="s">
        <v>367</v>
      </c>
      <c r="F284" s="151" t="s">
        <v>367</v>
      </c>
      <c r="G284" s="151"/>
      <c r="H284" s="151"/>
      <c r="I284" s="151"/>
      <c r="J284" s="151">
        <v>1899</v>
      </c>
      <c r="K284" s="151">
        <v>12</v>
      </c>
    </row>
    <row r="285" spans="1:11" ht="13.5" customHeight="1" x14ac:dyDescent="0.15">
      <c r="A285" s="141"/>
      <c r="B285" s="148">
        <v>282</v>
      </c>
      <c r="C285" s="164"/>
      <c r="D285" s="152"/>
      <c r="E285" s="152" t="s">
        <v>367</v>
      </c>
      <c r="F285" s="152" t="s">
        <v>367</v>
      </c>
      <c r="G285" s="152"/>
      <c r="H285" s="152"/>
      <c r="I285" s="152"/>
      <c r="J285" s="152">
        <v>1899</v>
      </c>
      <c r="K285" s="152">
        <v>12</v>
      </c>
    </row>
    <row r="286" spans="1:11" ht="13.5" customHeight="1" x14ac:dyDescent="0.15">
      <c r="A286" s="141"/>
      <c r="B286" s="148">
        <v>283</v>
      </c>
      <c r="C286" s="163"/>
      <c r="D286" s="151"/>
      <c r="E286" s="151" t="s">
        <v>367</v>
      </c>
      <c r="F286" s="151" t="s">
        <v>367</v>
      </c>
      <c r="G286" s="151"/>
      <c r="H286" s="151"/>
      <c r="I286" s="151"/>
      <c r="J286" s="151">
        <v>1899</v>
      </c>
      <c r="K286" s="151">
        <v>12</v>
      </c>
    </row>
    <row r="287" spans="1:11" ht="13.5" customHeight="1" x14ac:dyDescent="0.15">
      <c r="A287" s="141"/>
      <c r="B287" s="148">
        <v>284</v>
      </c>
      <c r="C287" s="164"/>
      <c r="D287" s="152"/>
      <c r="E287" s="152" t="s">
        <v>367</v>
      </c>
      <c r="F287" s="152" t="s">
        <v>367</v>
      </c>
      <c r="G287" s="152"/>
      <c r="H287" s="152"/>
      <c r="I287" s="152"/>
      <c r="J287" s="152">
        <v>1899</v>
      </c>
      <c r="K287" s="152">
        <v>12</v>
      </c>
    </row>
    <row r="288" spans="1:11" ht="13.5" customHeight="1" x14ac:dyDescent="0.15">
      <c r="A288" s="141"/>
      <c r="B288" s="148">
        <v>285</v>
      </c>
      <c r="C288" s="163"/>
      <c r="D288" s="151"/>
      <c r="E288" s="151" t="s">
        <v>367</v>
      </c>
      <c r="F288" s="151" t="s">
        <v>367</v>
      </c>
      <c r="G288" s="151"/>
      <c r="H288" s="151"/>
      <c r="I288" s="151"/>
      <c r="J288" s="151">
        <v>1899</v>
      </c>
      <c r="K288" s="151">
        <v>12</v>
      </c>
    </row>
    <row r="289" spans="1:11" ht="13.5" customHeight="1" x14ac:dyDescent="0.15">
      <c r="A289" s="141"/>
      <c r="B289" s="148">
        <v>286</v>
      </c>
      <c r="C289" s="164"/>
      <c r="D289" s="152"/>
      <c r="E289" s="152" t="s">
        <v>367</v>
      </c>
      <c r="F289" s="152" t="s">
        <v>367</v>
      </c>
      <c r="G289" s="152"/>
      <c r="H289" s="152"/>
      <c r="I289" s="152"/>
      <c r="J289" s="152">
        <v>1899</v>
      </c>
      <c r="K289" s="152">
        <v>12</v>
      </c>
    </row>
    <row r="290" spans="1:11" ht="13.5" customHeight="1" x14ac:dyDescent="0.15">
      <c r="A290" s="141"/>
      <c r="B290" s="148">
        <v>287</v>
      </c>
      <c r="C290" s="163"/>
      <c r="D290" s="151"/>
      <c r="E290" s="151" t="s">
        <v>367</v>
      </c>
      <c r="F290" s="151" t="s">
        <v>367</v>
      </c>
      <c r="G290" s="151"/>
      <c r="H290" s="151"/>
      <c r="I290" s="151"/>
      <c r="J290" s="151">
        <v>1899</v>
      </c>
      <c r="K290" s="151">
        <v>12</v>
      </c>
    </row>
    <row r="291" spans="1:11" ht="13.5" customHeight="1" x14ac:dyDescent="0.15">
      <c r="A291" s="141"/>
      <c r="B291" s="148">
        <v>288</v>
      </c>
      <c r="C291" s="164"/>
      <c r="D291" s="152"/>
      <c r="E291" s="152" t="s">
        <v>367</v>
      </c>
      <c r="F291" s="152" t="s">
        <v>367</v>
      </c>
      <c r="G291" s="152"/>
      <c r="H291" s="152"/>
      <c r="I291" s="152"/>
      <c r="J291" s="152">
        <v>1899</v>
      </c>
      <c r="K291" s="152">
        <v>12</v>
      </c>
    </row>
    <row r="292" spans="1:11" ht="13.5" customHeight="1" x14ac:dyDescent="0.15">
      <c r="A292" s="141"/>
      <c r="B292" s="148">
        <v>289</v>
      </c>
      <c r="C292" s="163"/>
      <c r="D292" s="151"/>
      <c r="E292" s="151" t="s">
        <v>367</v>
      </c>
      <c r="F292" s="151" t="s">
        <v>367</v>
      </c>
      <c r="G292" s="151"/>
      <c r="H292" s="151"/>
      <c r="I292" s="151"/>
      <c r="J292" s="151">
        <v>1899</v>
      </c>
      <c r="K292" s="151">
        <v>12</v>
      </c>
    </row>
    <row r="293" spans="1:11" ht="13.5" customHeight="1" x14ac:dyDescent="0.15">
      <c r="A293" s="141"/>
      <c r="B293" s="148">
        <v>290</v>
      </c>
      <c r="C293" s="164"/>
      <c r="D293" s="152"/>
      <c r="E293" s="152" t="s">
        <v>367</v>
      </c>
      <c r="F293" s="152" t="s">
        <v>367</v>
      </c>
      <c r="G293" s="152"/>
      <c r="H293" s="152"/>
      <c r="I293" s="152"/>
      <c r="J293" s="152">
        <v>1899</v>
      </c>
      <c r="K293" s="152">
        <v>12</v>
      </c>
    </row>
    <row r="294" spans="1:11" ht="13.5" customHeight="1" x14ac:dyDescent="0.15">
      <c r="A294" s="141"/>
      <c r="B294" s="148">
        <v>291</v>
      </c>
      <c r="C294" s="163"/>
      <c r="D294" s="151"/>
      <c r="E294" s="151" t="s">
        <v>367</v>
      </c>
      <c r="F294" s="151" t="s">
        <v>367</v>
      </c>
      <c r="G294" s="151"/>
      <c r="H294" s="151"/>
      <c r="I294" s="151"/>
      <c r="J294" s="151">
        <v>1899</v>
      </c>
      <c r="K294" s="151">
        <v>12</v>
      </c>
    </row>
    <row r="295" spans="1:11" ht="13.5" customHeight="1" x14ac:dyDescent="0.15">
      <c r="A295" s="141"/>
      <c r="B295" s="148">
        <v>292</v>
      </c>
      <c r="C295" s="164"/>
      <c r="D295" s="152"/>
      <c r="E295" s="152" t="s">
        <v>367</v>
      </c>
      <c r="F295" s="152" t="s">
        <v>367</v>
      </c>
      <c r="G295" s="152"/>
      <c r="H295" s="152"/>
      <c r="I295" s="152"/>
      <c r="J295" s="152">
        <v>1899</v>
      </c>
      <c r="K295" s="152">
        <v>12</v>
      </c>
    </row>
    <row r="296" spans="1:11" ht="13.5" customHeight="1" x14ac:dyDescent="0.15">
      <c r="A296" s="141"/>
      <c r="B296" s="148">
        <v>293</v>
      </c>
      <c r="C296" s="163"/>
      <c r="D296" s="151"/>
      <c r="E296" s="151" t="s">
        <v>367</v>
      </c>
      <c r="F296" s="151" t="s">
        <v>367</v>
      </c>
      <c r="G296" s="151"/>
      <c r="H296" s="151"/>
      <c r="I296" s="151"/>
      <c r="J296" s="151">
        <v>1899</v>
      </c>
      <c r="K296" s="151">
        <v>12</v>
      </c>
    </row>
    <row r="297" spans="1:11" ht="13.5" customHeight="1" x14ac:dyDescent="0.15">
      <c r="A297" s="141"/>
      <c r="B297" s="148">
        <v>294</v>
      </c>
      <c r="C297" s="164"/>
      <c r="D297" s="152"/>
      <c r="E297" s="152" t="s">
        <v>367</v>
      </c>
      <c r="F297" s="152" t="s">
        <v>367</v>
      </c>
      <c r="G297" s="152"/>
      <c r="H297" s="152"/>
      <c r="I297" s="152"/>
      <c r="J297" s="152">
        <v>1899</v>
      </c>
      <c r="K297" s="152">
        <v>12</v>
      </c>
    </row>
    <row r="298" spans="1:11" ht="13.5" customHeight="1" x14ac:dyDescent="0.15">
      <c r="A298" s="141"/>
      <c r="B298" s="148">
        <v>295</v>
      </c>
      <c r="C298" s="163"/>
      <c r="D298" s="151"/>
      <c r="E298" s="151" t="s">
        <v>367</v>
      </c>
      <c r="F298" s="151" t="s">
        <v>367</v>
      </c>
      <c r="G298" s="151"/>
      <c r="H298" s="151"/>
      <c r="I298" s="151"/>
      <c r="J298" s="151">
        <v>1899</v>
      </c>
      <c r="K298" s="151">
        <v>12</v>
      </c>
    </row>
    <row r="299" spans="1:11" ht="13.5" customHeight="1" x14ac:dyDescent="0.15">
      <c r="A299" s="141"/>
      <c r="B299" s="148">
        <v>296</v>
      </c>
      <c r="C299" s="164"/>
      <c r="D299" s="152"/>
      <c r="E299" s="152" t="s">
        <v>367</v>
      </c>
      <c r="F299" s="152" t="s">
        <v>367</v>
      </c>
      <c r="G299" s="152"/>
      <c r="H299" s="152"/>
      <c r="I299" s="152"/>
      <c r="J299" s="152">
        <v>1899</v>
      </c>
      <c r="K299" s="152">
        <v>12</v>
      </c>
    </row>
    <row r="300" spans="1:11" ht="13.5" customHeight="1" x14ac:dyDescent="0.15">
      <c r="A300" s="141"/>
      <c r="B300" s="148">
        <v>297</v>
      </c>
      <c r="C300" s="163"/>
      <c r="D300" s="151"/>
      <c r="E300" s="151" t="s">
        <v>367</v>
      </c>
      <c r="F300" s="151" t="s">
        <v>367</v>
      </c>
      <c r="G300" s="151"/>
      <c r="H300" s="151"/>
      <c r="I300" s="151"/>
      <c r="J300" s="151">
        <v>1899</v>
      </c>
      <c r="K300" s="151">
        <v>12</v>
      </c>
    </row>
    <row r="301" spans="1:11" ht="13.5" customHeight="1" x14ac:dyDescent="0.15">
      <c r="A301" s="141"/>
      <c r="B301" s="148">
        <v>298</v>
      </c>
      <c r="C301" s="164"/>
      <c r="D301" s="152"/>
      <c r="E301" s="152" t="s">
        <v>367</v>
      </c>
      <c r="F301" s="152" t="s">
        <v>367</v>
      </c>
      <c r="G301" s="152"/>
      <c r="H301" s="152"/>
      <c r="I301" s="152"/>
      <c r="J301" s="152">
        <v>1899</v>
      </c>
      <c r="K301" s="152">
        <v>12</v>
      </c>
    </row>
    <row r="302" spans="1:11" ht="13.5" customHeight="1" x14ac:dyDescent="0.15">
      <c r="A302" s="141"/>
      <c r="B302" s="148">
        <v>299</v>
      </c>
      <c r="C302" s="163"/>
      <c r="D302" s="151"/>
      <c r="E302" s="151" t="s">
        <v>367</v>
      </c>
      <c r="F302" s="151" t="s">
        <v>367</v>
      </c>
      <c r="G302" s="151"/>
      <c r="H302" s="151"/>
      <c r="I302" s="151"/>
      <c r="J302" s="151">
        <v>1899</v>
      </c>
      <c r="K302" s="151">
        <v>12</v>
      </c>
    </row>
    <row r="303" spans="1:11" ht="13.5" customHeight="1" x14ac:dyDescent="0.15">
      <c r="A303" s="141"/>
      <c r="B303" s="148">
        <v>300</v>
      </c>
      <c r="C303" s="164"/>
      <c r="D303" s="152"/>
      <c r="E303" s="152" t="s">
        <v>367</v>
      </c>
      <c r="F303" s="152" t="s">
        <v>367</v>
      </c>
      <c r="G303" s="152"/>
      <c r="H303" s="152"/>
      <c r="I303" s="152"/>
      <c r="J303" s="152">
        <v>1899</v>
      </c>
      <c r="K303" s="152">
        <v>12</v>
      </c>
    </row>
    <row r="304" spans="1:11" ht="13.5" customHeight="1" x14ac:dyDescent="0.15">
      <c r="A304" s="141"/>
      <c r="B304" s="148">
        <v>301</v>
      </c>
      <c r="C304" s="163"/>
      <c r="D304" s="151"/>
      <c r="E304" s="151" t="s">
        <v>367</v>
      </c>
      <c r="F304" s="151" t="s">
        <v>367</v>
      </c>
      <c r="G304" s="151"/>
      <c r="H304" s="151"/>
      <c r="I304" s="151"/>
      <c r="J304" s="151">
        <v>1899</v>
      </c>
      <c r="K304" s="151">
        <v>12</v>
      </c>
    </row>
    <row r="305" spans="1:11" ht="13.5" customHeight="1" x14ac:dyDescent="0.15">
      <c r="A305" s="141"/>
      <c r="B305" s="148">
        <v>302</v>
      </c>
      <c r="C305" s="164"/>
      <c r="D305" s="152"/>
      <c r="E305" s="152" t="s">
        <v>367</v>
      </c>
      <c r="F305" s="152" t="s">
        <v>367</v>
      </c>
      <c r="G305" s="152"/>
      <c r="H305" s="152"/>
      <c r="I305" s="152"/>
      <c r="J305" s="152">
        <v>1899</v>
      </c>
      <c r="K305" s="152">
        <v>12</v>
      </c>
    </row>
    <row r="306" spans="1:11" ht="13.5" customHeight="1" x14ac:dyDescent="0.15">
      <c r="A306" s="141"/>
      <c r="B306" s="148">
        <v>303</v>
      </c>
      <c r="C306" s="163"/>
      <c r="D306" s="151"/>
      <c r="E306" s="151" t="s">
        <v>367</v>
      </c>
      <c r="F306" s="151" t="s">
        <v>367</v>
      </c>
      <c r="G306" s="151"/>
      <c r="H306" s="151"/>
      <c r="I306" s="151"/>
      <c r="J306" s="151">
        <v>1899</v>
      </c>
      <c r="K306" s="151">
        <v>12</v>
      </c>
    </row>
    <row r="307" spans="1:11" ht="13.5" customHeight="1" x14ac:dyDescent="0.15">
      <c r="A307" s="141"/>
      <c r="B307" s="148">
        <v>304</v>
      </c>
      <c r="C307" s="164"/>
      <c r="D307" s="152"/>
      <c r="E307" s="152" t="s">
        <v>367</v>
      </c>
      <c r="F307" s="152" t="s">
        <v>367</v>
      </c>
      <c r="G307" s="152"/>
      <c r="H307" s="152"/>
      <c r="I307" s="152"/>
      <c r="J307" s="152">
        <v>1899</v>
      </c>
      <c r="K307" s="152">
        <v>12</v>
      </c>
    </row>
    <row r="308" spans="1:11" ht="13.5" customHeight="1" x14ac:dyDescent="0.15">
      <c r="A308" s="141"/>
      <c r="B308" s="148">
        <v>305</v>
      </c>
      <c r="C308" s="163"/>
      <c r="D308" s="151"/>
      <c r="E308" s="151" t="s">
        <v>367</v>
      </c>
      <c r="F308" s="151" t="s">
        <v>367</v>
      </c>
      <c r="G308" s="151"/>
      <c r="H308" s="151"/>
      <c r="I308" s="151"/>
      <c r="J308" s="151">
        <v>1899</v>
      </c>
      <c r="K308" s="151">
        <v>12</v>
      </c>
    </row>
    <row r="309" spans="1:11" ht="13.5" customHeight="1" x14ac:dyDescent="0.15">
      <c r="A309" s="141"/>
      <c r="B309" s="148">
        <v>306</v>
      </c>
      <c r="C309" s="164"/>
      <c r="D309" s="152"/>
      <c r="E309" s="152" t="s">
        <v>367</v>
      </c>
      <c r="F309" s="152" t="s">
        <v>367</v>
      </c>
      <c r="G309" s="152"/>
      <c r="H309" s="152"/>
      <c r="I309" s="152"/>
      <c r="J309" s="152">
        <v>1899</v>
      </c>
      <c r="K309" s="152">
        <v>12</v>
      </c>
    </row>
    <row r="310" spans="1:11" ht="13.5" customHeight="1" x14ac:dyDescent="0.15">
      <c r="A310" s="141"/>
      <c r="B310" s="148">
        <v>307</v>
      </c>
      <c r="C310" s="163"/>
      <c r="D310" s="151"/>
      <c r="E310" s="151" t="s">
        <v>367</v>
      </c>
      <c r="F310" s="151" t="s">
        <v>367</v>
      </c>
      <c r="G310" s="151"/>
      <c r="H310" s="151"/>
      <c r="I310" s="151"/>
      <c r="J310" s="151">
        <v>1899</v>
      </c>
      <c r="K310" s="151">
        <v>12</v>
      </c>
    </row>
    <row r="311" spans="1:11" ht="13.5" customHeight="1" x14ac:dyDescent="0.15">
      <c r="A311" s="141"/>
      <c r="B311" s="148">
        <v>308</v>
      </c>
      <c r="C311" s="164"/>
      <c r="D311" s="152"/>
      <c r="E311" s="152" t="s">
        <v>367</v>
      </c>
      <c r="F311" s="152" t="s">
        <v>367</v>
      </c>
      <c r="G311" s="152"/>
      <c r="H311" s="152"/>
      <c r="I311" s="152"/>
      <c r="J311" s="152">
        <v>1899</v>
      </c>
      <c r="K311" s="152">
        <v>12</v>
      </c>
    </row>
    <row r="312" spans="1:11" ht="13.5" customHeight="1" x14ac:dyDescent="0.15">
      <c r="A312" s="141"/>
      <c r="B312" s="148">
        <v>309</v>
      </c>
      <c r="C312" s="163"/>
      <c r="D312" s="151"/>
      <c r="E312" s="151" t="s">
        <v>367</v>
      </c>
      <c r="F312" s="151" t="s">
        <v>367</v>
      </c>
      <c r="G312" s="151"/>
      <c r="H312" s="151"/>
      <c r="I312" s="151"/>
      <c r="J312" s="151">
        <v>1899</v>
      </c>
      <c r="K312" s="151">
        <v>12</v>
      </c>
    </row>
    <row r="313" spans="1:11" ht="13.5" customHeight="1" x14ac:dyDescent="0.15">
      <c r="A313" s="141"/>
      <c r="B313" s="148">
        <v>310</v>
      </c>
      <c r="C313" s="164"/>
      <c r="D313" s="152"/>
      <c r="E313" s="152" t="s">
        <v>367</v>
      </c>
      <c r="F313" s="152" t="s">
        <v>367</v>
      </c>
      <c r="G313" s="152"/>
      <c r="H313" s="152"/>
      <c r="I313" s="152"/>
      <c r="J313" s="152">
        <v>1899</v>
      </c>
      <c r="K313" s="152">
        <v>12</v>
      </c>
    </row>
    <row r="314" spans="1:11" ht="13.5" customHeight="1" x14ac:dyDescent="0.15">
      <c r="A314" s="141"/>
      <c r="B314" s="148">
        <v>311</v>
      </c>
      <c r="C314" s="163"/>
      <c r="D314" s="151"/>
      <c r="E314" s="151" t="s">
        <v>367</v>
      </c>
      <c r="F314" s="151" t="s">
        <v>367</v>
      </c>
      <c r="G314" s="151"/>
      <c r="H314" s="151"/>
      <c r="I314" s="151"/>
      <c r="J314" s="151">
        <v>1899</v>
      </c>
      <c r="K314" s="151">
        <v>12</v>
      </c>
    </row>
    <row r="315" spans="1:11" ht="13.5" customHeight="1" x14ac:dyDescent="0.15">
      <c r="A315" s="141"/>
      <c r="B315" s="148">
        <v>312</v>
      </c>
      <c r="C315" s="164"/>
      <c r="D315" s="152"/>
      <c r="E315" s="152" t="s">
        <v>367</v>
      </c>
      <c r="F315" s="152" t="s">
        <v>367</v>
      </c>
      <c r="G315" s="152"/>
      <c r="H315" s="152"/>
      <c r="I315" s="152"/>
      <c r="J315" s="152">
        <v>1899</v>
      </c>
      <c r="K315" s="152">
        <v>12</v>
      </c>
    </row>
    <row r="316" spans="1:11" ht="13.5" customHeight="1" x14ac:dyDescent="0.15">
      <c r="A316" s="141"/>
      <c r="B316" s="148">
        <v>313</v>
      </c>
      <c r="C316" s="163"/>
      <c r="D316" s="151"/>
      <c r="E316" s="151" t="s">
        <v>367</v>
      </c>
      <c r="F316" s="151" t="s">
        <v>367</v>
      </c>
      <c r="G316" s="151"/>
      <c r="H316" s="151"/>
      <c r="I316" s="151"/>
      <c r="J316" s="151">
        <v>1899</v>
      </c>
      <c r="K316" s="151">
        <v>12</v>
      </c>
    </row>
    <row r="317" spans="1:11" ht="13.5" customHeight="1" x14ac:dyDescent="0.15">
      <c r="A317" s="141"/>
      <c r="B317" s="148">
        <v>314</v>
      </c>
      <c r="C317" s="164"/>
      <c r="D317" s="152"/>
      <c r="E317" s="152" t="s">
        <v>367</v>
      </c>
      <c r="F317" s="152" t="s">
        <v>367</v>
      </c>
      <c r="G317" s="152"/>
      <c r="H317" s="152"/>
      <c r="I317" s="152"/>
      <c r="J317" s="152">
        <v>1899</v>
      </c>
      <c r="K317" s="152">
        <v>12</v>
      </c>
    </row>
    <row r="318" spans="1:11" ht="13.5" customHeight="1" x14ac:dyDescent="0.15">
      <c r="A318" s="141"/>
      <c r="B318" s="148">
        <v>315</v>
      </c>
      <c r="C318" s="163"/>
      <c r="D318" s="151"/>
      <c r="E318" s="151" t="s">
        <v>367</v>
      </c>
      <c r="F318" s="151" t="s">
        <v>367</v>
      </c>
      <c r="G318" s="151"/>
      <c r="H318" s="151"/>
      <c r="I318" s="151"/>
      <c r="J318" s="151">
        <v>1899</v>
      </c>
      <c r="K318" s="151">
        <v>12</v>
      </c>
    </row>
    <row r="319" spans="1:11" ht="13.5" customHeight="1" x14ac:dyDescent="0.15">
      <c r="A319" s="141"/>
      <c r="B319" s="148">
        <v>316</v>
      </c>
      <c r="C319" s="164"/>
      <c r="D319" s="152"/>
      <c r="E319" s="152" t="s">
        <v>367</v>
      </c>
      <c r="F319" s="152" t="s">
        <v>367</v>
      </c>
      <c r="G319" s="152"/>
      <c r="H319" s="152"/>
      <c r="I319" s="152"/>
      <c r="J319" s="152">
        <v>1899</v>
      </c>
      <c r="K319" s="152">
        <v>12</v>
      </c>
    </row>
    <row r="320" spans="1:11" ht="13.5" customHeight="1" x14ac:dyDescent="0.15">
      <c r="A320" s="141"/>
      <c r="B320" s="148">
        <v>317</v>
      </c>
      <c r="C320" s="163"/>
      <c r="D320" s="151"/>
      <c r="E320" s="151" t="s">
        <v>367</v>
      </c>
      <c r="F320" s="151" t="s">
        <v>367</v>
      </c>
      <c r="G320" s="151"/>
      <c r="H320" s="151"/>
      <c r="I320" s="151"/>
      <c r="J320" s="151">
        <v>1899</v>
      </c>
      <c r="K320" s="151">
        <v>12</v>
      </c>
    </row>
    <row r="321" spans="1:11" ht="13.5" customHeight="1" x14ac:dyDescent="0.15">
      <c r="A321" s="141"/>
      <c r="B321" s="148">
        <v>318</v>
      </c>
      <c r="C321" s="164"/>
      <c r="D321" s="152"/>
      <c r="E321" s="152" t="s">
        <v>367</v>
      </c>
      <c r="F321" s="152" t="s">
        <v>367</v>
      </c>
      <c r="G321" s="152"/>
      <c r="H321" s="152"/>
      <c r="I321" s="152"/>
      <c r="J321" s="152">
        <v>1899</v>
      </c>
      <c r="K321" s="152">
        <v>12</v>
      </c>
    </row>
    <row r="322" spans="1:11" ht="13.5" customHeight="1" x14ac:dyDescent="0.15">
      <c r="A322" s="141"/>
      <c r="B322" s="148">
        <v>319</v>
      </c>
      <c r="C322" s="163"/>
      <c r="D322" s="151"/>
      <c r="E322" s="151" t="s">
        <v>367</v>
      </c>
      <c r="F322" s="151" t="s">
        <v>367</v>
      </c>
      <c r="G322" s="151"/>
      <c r="H322" s="151"/>
      <c r="I322" s="151"/>
      <c r="J322" s="151">
        <v>1899</v>
      </c>
      <c r="K322" s="151">
        <v>12</v>
      </c>
    </row>
    <row r="323" spans="1:11" ht="13.5" customHeight="1" x14ac:dyDescent="0.15">
      <c r="A323" s="141"/>
      <c r="B323" s="148">
        <v>320</v>
      </c>
      <c r="C323" s="164"/>
      <c r="D323" s="152"/>
      <c r="E323" s="152" t="s">
        <v>367</v>
      </c>
      <c r="F323" s="152" t="s">
        <v>367</v>
      </c>
      <c r="G323" s="152"/>
      <c r="H323" s="152"/>
      <c r="I323" s="152"/>
      <c r="J323" s="152">
        <v>1899</v>
      </c>
      <c r="K323" s="152">
        <v>12</v>
      </c>
    </row>
    <row r="324" spans="1:11" ht="13.5" customHeight="1" x14ac:dyDescent="0.15">
      <c r="A324" s="141"/>
      <c r="B324" s="148">
        <v>321</v>
      </c>
      <c r="C324" s="163"/>
      <c r="D324" s="151"/>
      <c r="E324" s="151" t="s">
        <v>367</v>
      </c>
      <c r="F324" s="151" t="s">
        <v>367</v>
      </c>
      <c r="G324" s="151"/>
      <c r="H324" s="151"/>
      <c r="I324" s="151"/>
      <c r="J324" s="151">
        <v>1899</v>
      </c>
      <c r="K324" s="151">
        <v>12</v>
      </c>
    </row>
    <row r="325" spans="1:11" ht="13.5" customHeight="1" x14ac:dyDescent="0.15">
      <c r="A325" s="141"/>
      <c r="B325" s="148">
        <v>322</v>
      </c>
      <c r="C325" s="164"/>
      <c r="D325" s="152"/>
      <c r="E325" s="152" t="s">
        <v>367</v>
      </c>
      <c r="F325" s="152" t="s">
        <v>367</v>
      </c>
      <c r="G325" s="152"/>
      <c r="H325" s="152"/>
      <c r="I325" s="152"/>
      <c r="J325" s="152">
        <v>1899</v>
      </c>
      <c r="K325" s="152">
        <v>12</v>
      </c>
    </row>
    <row r="326" spans="1:11" ht="13.5" customHeight="1" x14ac:dyDescent="0.15">
      <c r="A326" s="141"/>
      <c r="B326" s="148">
        <v>323</v>
      </c>
      <c r="C326" s="163"/>
      <c r="D326" s="151"/>
      <c r="E326" s="151" t="s">
        <v>367</v>
      </c>
      <c r="F326" s="151" t="s">
        <v>367</v>
      </c>
      <c r="G326" s="151"/>
      <c r="H326" s="151"/>
      <c r="I326" s="151"/>
      <c r="J326" s="151">
        <v>1899</v>
      </c>
      <c r="K326" s="151">
        <v>12</v>
      </c>
    </row>
    <row r="327" spans="1:11" ht="13.5" customHeight="1" x14ac:dyDescent="0.15">
      <c r="A327" s="141"/>
      <c r="B327" s="148">
        <v>324</v>
      </c>
      <c r="C327" s="164"/>
      <c r="D327" s="152"/>
      <c r="E327" s="152" t="s">
        <v>367</v>
      </c>
      <c r="F327" s="152" t="s">
        <v>367</v>
      </c>
      <c r="G327" s="152"/>
      <c r="H327" s="152"/>
      <c r="I327" s="152"/>
      <c r="J327" s="152">
        <v>1899</v>
      </c>
      <c r="K327" s="152">
        <v>12</v>
      </c>
    </row>
    <row r="328" spans="1:11" ht="13.5" customHeight="1" x14ac:dyDescent="0.15">
      <c r="A328" s="141"/>
      <c r="B328" s="148">
        <v>325</v>
      </c>
      <c r="C328" s="163"/>
      <c r="D328" s="151"/>
      <c r="E328" s="151" t="s">
        <v>367</v>
      </c>
      <c r="F328" s="151" t="s">
        <v>367</v>
      </c>
      <c r="G328" s="151"/>
      <c r="H328" s="151"/>
      <c r="I328" s="151"/>
      <c r="J328" s="151">
        <v>1899</v>
      </c>
      <c r="K328" s="151">
        <v>12</v>
      </c>
    </row>
    <row r="329" spans="1:11" ht="13.5" customHeight="1" x14ac:dyDescent="0.15">
      <c r="A329" s="141"/>
      <c r="B329" s="148">
        <v>326</v>
      </c>
      <c r="C329" s="164"/>
      <c r="D329" s="152"/>
      <c r="E329" s="152" t="s">
        <v>367</v>
      </c>
      <c r="F329" s="152" t="s">
        <v>367</v>
      </c>
      <c r="G329" s="152"/>
      <c r="H329" s="152"/>
      <c r="I329" s="152"/>
      <c r="J329" s="152">
        <v>1899</v>
      </c>
      <c r="K329" s="152">
        <v>12</v>
      </c>
    </row>
    <row r="330" spans="1:11" ht="13.5" customHeight="1" x14ac:dyDescent="0.15">
      <c r="A330" s="141"/>
      <c r="B330" s="148">
        <v>327</v>
      </c>
      <c r="C330" s="163"/>
      <c r="D330" s="151"/>
      <c r="E330" s="151" t="s">
        <v>367</v>
      </c>
      <c r="F330" s="151" t="s">
        <v>367</v>
      </c>
      <c r="G330" s="151"/>
      <c r="H330" s="151"/>
      <c r="I330" s="151"/>
      <c r="J330" s="151">
        <v>1899</v>
      </c>
      <c r="K330" s="151">
        <v>12</v>
      </c>
    </row>
    <row r="331" spans="1:11" ht="13.5" customHeight="1" x14ac:dyDescent="0.15">
      <c r="A331" s="141"/>
      <c r="B331" s="148">
        <v>328</v>
      </c>
      <c r="C331" s="164"/>
      <c r="D331" s="152"/>
      <c r="E331" s="152" t="s">
        <v>367</v>
      </c>
      <c r="F331" s="152" t="s">
        <v>367</v>
      </c>
      <c r="G331" s="152"/>
      <c r="H331" s="152"/>
      <c r="I331" s="152"/>
      <c r="J331" s="152">
        <v>1899</v>
      </c>
      <c r="K331" s="152">
        <v>12</v>
      </c>
    </row>
    <row r="332" spans="1:11" ht="13.5" customHeight="1" x14ac:dyDescent="0.15">
      <c r="A332" s="141"/>
      <c r="B332" s="148">
        <v>329</v>
      </c>
      <c r="C332" s="163"/>
      <c r="D332" s="151"/>
      <c r="E332" s="151" t="s">
        <v>367</v>
      </c>
      <c r="F332" s="151" t="s">
        <v>367</v>
      </c>
      <c r="G332" s="151"/>
      <c r="H332" s="151"/>
      <c r="I332" s="151"/>
      <c r="J332" s="151">
        <v>1899</v>
      </c>
      <c r="K332" s="151">
        <v>12</v>
      </c>
    </row>
    <row r="333" spans="1:11" ht="13.5" customHeight="1" x14ac:dyDescent="0.15">
      <c r="A333" s="141"/>
      <c r="B333" s="148">
        <v>330</v>
      </c>
      <c r="C333" s="164"/>
      <c r="D333" s="152"/>
      <c r="E333" s="152" t="s">
        <v>367</v>
      </c>
      <c r="F333" s="152" t="s">
        <v>367</v>
      </c>
      <c r="G333" s="152"/>
      <c r="H333" s="152"/>
      <c r="I333" s="152"/>
      <c r="J333" s="152">
        <v>1899</v>
      </c>
      <c r="K333" s="152">
        <v>12</v>
      </c>
    </row>
    <row r="334" spans="1:11" ht="13.5" customHeight="1" x14ac:dyDescent="0.15">
      <c r="A334" s="141"/>
      <c r="B334" s="148">
        <v>331</v>
      </c>
      <c r="C334" s="163"/>
      <c r="D334" s="151"/>
      <c r="E334" s="151" t="s">
        <v>367</v>
      </c>
      <c r="F334" s="151" t="s">
        <v>367</v>
      </c>
      <c r="G334" s="151"/>
      <c r="H334" s="151"/>
      <c r="I334" s="151"/>
      <c r="J334" s="151">
        <v>1899</v>
      </c>
      <c r="K334" s="151">
        <v>12</v>
      </c>
    </row>
    <row r="335" spans="1:11" ht="13.5" customHeight="1" x14ac:dyDescent="0.15">
      <c r="A335" s="141"/>
      <c r="B335" s="148">
        <v>332</v>
      </c>
      <c r="C335" s="164"/>
      <c r="D335" s="152"/>
      <c r="E335" s="152" t="s">
        <v>367</v>
      </c>
      <c r="F335" s="152" t="s">
        <v>367</v>
      </c>
      <c r="G335" s="152"/>
      <c r="H335" s="152"/>
      <c r="I335" s="152"/>
      <c r="J335" s="152">
        <v>1899</v>
      </c>
      <c r="K335" s="152">
        <v>12</v>
      </c>
    </row>
    <row r="336" spans="1:11" ht="13.5" customHeight="1" x14ac:dyDescent="0.15">
      <c r="A336" s="141"/>
      <c r="B336" s="148">
        <v>333</v>
      </c>
      <c r="C336" s="163"/>
      <c r="D336" s="151"/>
      <c r="E336" s="151" t="s">
        <v>367</v>
      </c>
      <c r="F336" s="151" t="s">
        <v>367</v>
      </c>
      <c r="G336" s="151"/>
      <c r="H336" s="151"/>
      <c r="I336" s="151"/>
      <c r="J336" s="151">
        <v>1899</v>
      </c>
      <c r="K336" s="151">
        <v>12</v>
      </c>
    </row>
    <row r="337" spans="1:11" ht="13.5" customHeight="1" x14ac:dyDescent="0.15">
      <c r="A337" s="141"/>
      <c r="B337" s="148">
        <v>334</v>
      </c>
      <c r="C337" s="164"/>
      <c r="D337" s="152"/>
      <c r="E337" s="152" t="s">
        <v>367</v>
      </c>
      <c r="F337" s="152" t="s">
        <v>367</v>
      </c>
      <c r="G337" s="152"/>
      <c r="H337" s="152"/>
      <c r="I337" s="152"/>
      <c r="J337" s="152">
        <v>1899</v>
      </c>
      <c r="K337" s="152">
        <v>12</v>
      </c>
    </row>
    <row r="338" spans="1:11" ht="13.5" customHeight="1" x14ac:dyDescent="0.15">
      <c r="A338" s="141"/>
      <c r="B338" s="148">
        <v>335</v>
      </c>
      <c r="C338" s="163"/>
      <c r="D338" s="151"/>
      <c r="E338" s="151" t="s">
        <v>367</v>
      </c>
      <c r="F338" s="151" t="s">
        <v>367</v>
      </c>
      <c r="G338" s="151"/>
      <c r="H338" s="151"/>
      <c r="I338" s="151"/>
      <c r="J338" s="151">
        <v>1899</v>
      </c>
      <c r="K338" s="151">
        <v>12</v>
      </c>
    </row>
    <row r="339" spans="1:11" ht="13.5" customHeight="1" x14ac:dyDescent="0.15">
      <c r="A339" s="141"/>
      <c r="B339" s="148">
        <v>336</v>
      </c>
      <c r="C339" s="164"/>
      <c r="D339" s="152"/>
      <c r="E339" s="152" t="s">
        <v>367</v>
      </c>
      <c r="F339" s="152" t="s">
        <v>367</v>
      </c>
      <c r="G339" s="152"/>
      <c r="H339" s="152"/>
      <c r="I339" s="152"/>
      <c r="J339" s="152">
        <v>1899</v>
      </c>
      <c r="K339" s="152">
        <v>12</v>
      </c>
    </row>
    <row r="340" spans="1:11" ht="13.5" customHeight="1" x14ac:dyDescent="0.15">
      <c r="A340" s="141"/>
      <c r="B340" s="148">
        <v>337</v>
      </c>
      <c r="C340" s="163"/>
      <c r="D340" s="151"/>
      <c r="E340" s="151" t="s">
        <v>367</v>
      </c>
      <c r="F340" s="151" t="s">
        <v>367</v>
      </c>
      <c r="G340" s="151"/>
      <c r="H340" s="151"/>
      <c r="I340" s="151"/>
      <c r="J340" s="151">
        <v>1899</v>
      </c>
      <c r="K340" s="151">
        <v>12</v>
      </c>
    </row>
    <row r="341" spans="1:11" ht="13.5" customHeight="1" x14ac:dyDescent="0.15">
      <c r="A341" s="141"/>
      <c r="B341" s="148">
        <v>338</v>
      </c>
      <c r="C341" s="164"/>
      <c r="D341" s="152"/>
      <c r="E341" s="152" t="s">
        <v>367</v>
      </c>
      <c r="F341" s="152" t="s">
        <v>367</v>
      </c>
      <c r="G341" s="152"/>
      <c r="H341" s="152"/>
      <c r="I341" s="152"/>
      <c r="J341" s="152">
        <v>1899</v>
      </c>
      <c r="K341" s="152">
        <v>12</v>
      </c>
    </row>
    <row r="342" spans="1:11" ht="13.5" customHeight="1" x14ac:dyDescent="0.15">
      <c r="A342" s="141"/>
      <c r="B342" s="148">
        <v>339</v>
      </c>
      <c r="C342" s="163"/>
      <c r="D342" s="151"/>
      <c r="E342" s="151" t="s">
        <v>367</v>
      </c>
      <c r="F342" s="151" t="s">
        <v>367</v>
      </c>
      <c r="G342" s="151"/>
      <c r="H342" s="151"/>
      <c r="I342" s="151"/>
      <c r="J342" s="151">
        <v>1899</v>
      </c>
      <c r="K342" s="151">
        <v>12</v>
      </c>
    </row>
    <row r="343" spans="1:11" ht="13.5" customHeight="1" x14ac:dyDescent="0.15">
      <c r="A343" s="141"/>
      <c r="B343" s="148">
        <v>340</v>
      </c>
      <c r="C343" s="164"/>
      <c r="D343" s="152"/>
      <c r="E343" s="152" t="s">
        <v>367</v>
      </c>
      <c r="F343" s="152" t="s">
        <v>367</v>
      </c>
      <c r="G343" s="152"/>
      <c r="H343" s="152"/>
      <c r="I343" s="152"/>
      <c r="J343" s="152">
        <v>1899</v>
      </c>
      <c r="K343" s="152">
        <v>12</v>
      </c>
    </row>
    <row r="344" spans="1:11" ht="13.5" customHeight="1" x14ac:dyDescent="0.15">
      <c r="A344" s="141"/>
      <c r="B344" s="148">
        <v>341</v>
      </c>
      <c r="C344" s="163"/>
      <c r="D344" s="151"/>
      <c r="E344" s="151" t="s">
        <v>367</v>
      </c>
      <c r="F344" s="151" t="s">
        <v>367</v>
      </c>
      <c r="G344" s="151"/>
      <c r="H344" s="151"/>
      <c r="I344" s="151"/>
      <c r="J344" s="151">
        <v>1899</v>
      </c>
      <c r="K344" s="151">
        <v>12</v>
      </c>
    </row>
    <row r="345" spans="1:11" ht="13.5" customHeight="1" x14ac:dyDescent="0.15">
      <c r="A345" s="141"/>
      <c r="B345" s="148">
        <v>342</v>
      </c>
      <c r="C345" s="164"/>
      <c r="D345" s="152"/>
      <c r="E345" s="152" t="s">
        <v>367</v>
      </c>
      <c r="F345" s="152" t="s">
        <v>367</v>
      </c>
      <c r="G345" s="152"/>
      <c r="H345" s="152"/>
      <c r="I345" s="152"/>
      <c r="J345" s="152">
        <v>1899</v>
      </c>
      <c r="K345" s="152">
        <v>12</v>
      </c>
    </row>
    <row r="346" spans="1:11" ht="13.5" customHeight="1" x14ac:dyDescent="0.15">
      <c r="A346" s="141"/>
      <c r="B346" s="148">
        <v>343</v>
      </c>
      <c r="C346" s="163"/>
      <c r="D346" s="151"/>
      <c r="E346" s="151" t="s">
        <v>367</v>
      </c>
      <c r="F346" s="151" t="s">
        <v>367</v>
      </c>
      <c r="G346" s="151"/>
      <c r="H346" s="151"/>
      <c r="I346" s="151"/>
      <c r="J346" s="151">
        <v>1899</v>
      </c>
      <c r="K346" s="151">
        <v>12</v>
      </c>
    </row>
    <row r="347" spans="1:11" ht="13.5" customHeight="1" x14ac:dyDescent="0.15">
      <c r="A347" s="141"/>
      <c r="B347" s="148">
        <v>344</v>
      </c>
      <c r="C347" s="164"/>
      <c r="D347" s="152"/>
      <c r="E347" s="152" t="s">
        <v>367</v>
      </c>
      <c r="F347" s="152" t="s">
        <v>367</v>
      </c>
      <c r="G347" s="152"/>
      <c r="H347" s="152"/>
      <c r="I347" s="152"/>
      <c r="J347" s="152">
        <v>1899</v>
      </c>
      <c r="K347" s="152">
        <v>12</v>
      </c>
    </row>
    <row r="348" spans="1:11" ht="13.5" customHeight="1" x14ac:dyDescent="0.15">
      <c r="A348" s="141"/>
      <c r="B348" s="148">
        <v>345</v>
      </c>
      <c r="C348" s="163"/>
      <c r="D348" s="151"/>
      <c r="E348" s="151" t="s">
        <v>367</v>
      </c>
      <c r="F348" s="151" t="s">
        <v>367</v>
      </c>
      <c r="G348" s="151"/>
      <c r="H348" s="151"/>
      <c r="I348" s="151"/>
      <c r="J348" s="151">
        <v>1899</v>
      </c>
      <c r="K348" s="151">
        <v>12</v>
      </c>
    </row>
    <row r="349" spans="1:11" ht="13.5" customHeight="1" x14ac:dyDescent="0.15">
      <c r="A349" s="141"/>
      <c r="B349" s="148">
        <v>346</v>
      </c>
      <c r="C349" s="164"/>
      <c r="D349" s="152"/>
      <c r="E349" s="152" t="s">
        <v>367</v>
      </c>
      <c r="F349" s="152" t="s">
        <v>367</v>
      </c>
      <c r="G349" s="152"/>
      <c r="H349" s="152"/>
      <c r="I349" s="152"/>
      <c r="J349" s="152">
        <v>1899</v>
      </c>
      <c r="K349" s="152">
        <v>12</v>
      </c>
    </row>
    <row r="350" spans="1:11" ht="13.5" customHeight="1" x14ac:dyDescent="0.15">
      <c r="A350" s="141"/>
      <c r="B350" s="148">
        <v>347</v>
      </c>
      <c r="C350" s="163"/>
      <c r="D350" s="151"/>
      <c r="E350" s="151" t="s">
        <v>367</v>
      </c>
      <c r="F350" s="151" t="s">
        <v>367</v>
      </c>
      <c r="G350" s="151"/>
      <c r="H350" s="151"/>
      <c r="I350" s="151"/>
      <c r="J350" s="151">
        <v>1899</v>
      </c>
      <c r="K350" s="151">
        <v>12</v>
      </c>
    </row>
    <row r="351" spans="1:11" ht="13.5" customHeight="1" x14ac:dyDescent="0.15">
      <c r="A351" s="141"/>
      <c r="B351" s="148">
        <v>348</v>
      </c>
      <c r="C351" s="164"/>
      <c r="D351" s="152"/>
      <c r="E351" s="152" t="s">
        <v>367</v>
      </c>
      <c r="F351" s="152" t="s">
        <v>367</v>
      </c>
      <c r="G351" s="152"/>
      <c r="H351" s="152"/>
      <c r="I351" s="152"/>
      <c r="J351" s="152">
        <v>1899</v>
      </c>
      <c r="K351" s="152">
        <v>12</v>
      </c>
    </row>
    <row r="352" spans="1:11" ht="13.5" customHeight="1" x14ac:dyDescent="0.15">
      <c r="A352" s="141"/>
      <c r="B352" s="148">
        <v>349</v>
      </c>
      <c r="C352" s="163"/>
      <c r="D352" s="151"/>
      <c r="E352" s="151" t="s">
        <v>367</v>
      </c>
      <c r="F352" s="151" t="s">
        <v>367</v>
      </c>
      <c r="G352" s="151"/>
      <c r="H352" s="151"/>
      <c r="I352" s="151"/>
      <c r="J352" s="151">
        <v>1899</v>
      </c>
      <c r="K352" s="151">
        <v>12</v>
      </c>
    </row>
    <row r="353" spans="1:11" ht="13.5" customHeight="1" x14ac:dyDescent="0.15">
      <c r="A353" s="141"/>
      <c r="B353" s="148">
        <v>350</v>
      </c>
      <c r="C353" s="164"/>
      <c r="D353" s="152"/>
      <c r="E353" s="152" t="s">
        <v>367</v>
      </c>
      <c r="F353" s="152" t="s">
        <v>367</v>
      </c>
      <c r="G353" s="152"/>
      <c r="H353" s="152"/>
      <c r="I353" s="152"/>
      <c r="J353" s="152">
        <v>1899</v>
      </c>
      <c r="K353" s="152">
        <v>12</v>
      </c>
    </row>
    <row r="354" spans="1:11" ht="13.5" customHeight="1" x14ac:dyDescent="0.15">
      <c r="A354" s="141"/>
      <c r="B354" s="148">
        <v>351</v>
      </c>
      <c r="C354" s="163"/>
      <c r="D354" s="151"/>
      <c r="E354" s="151" t="s">
        <v>367</v>
      </c>
      <c r="F354" s="151" t="s">
        <v>367</v>
      </c>
      <c r="G354" s="151"/>
      <c r="H354" s="151"/>
      <c r="I354" s="151"/>
      <c r="J354" s="151">
        <v>1899</v>
      </c>
      <c r="K354" s="151">
        <v>12</v>
      </c>
    </row>
    <row r="355" spans="1:11" ht="13.5" customHeight="1" x14ac:dyDescent="0.15">
      <c r="A355" s="141"/>
      <c r="B355" s="148">
        <v>352</v>
      </c>
      <c r="C355" s="164"/>
      <c r="D355" s="152"/>
      <c r="E355" s="152" t="s">
        <v>367</v>
      </c>
      <c r="F355" s="152" t="s">
        <v>367</v>
      </c>
      <c r="G355" s="152"/>
      <c r="H355" s="152"/>
      <c r="I355" s="152"/>
      <c r="J355" s="152">
        <v>1899</v>
      </c>
      <c r="K355" s="152">
        <v>12</v>
      </c>
    </row>
    <row r="356" spans="1:11" ht="13.5" customHeight="1" x14ac:dyDescent="0.15">
      <c r="A356" s="141"/>
      <c r="B356" s="148">
        <v>353</v>
      </c>
      <c r="C356" s="163"/>
      <c r="D356" s="151"/>
      <c r="E356" s="151" t="s">
        <v>367</v>
      </c>
      <c r="F356" s="151" t="s">
        <v>367</v>
      </c>
      <c r="G356" s="151"/>
      <c r="H356" s="151"/>
      <c r="I356" s="151"/>
      <c r="J356" s="151">
        <v>1899</v>
      </c>
      <c r="K356" s="151">
        <v>12</v>
      </c>
    </row>
    <row r="357" spans="1:11" ht="13.5" customHeight="1" x14ac:dyDescent="0.15">
      <c r="A357" s="141"/>
      <c r="B357" s="148">
        <v>354</v>
      </c>
      <c r="C357" s="164"/>
      <c r="D357" s="152"/>
      <c r="E357" s="152" t="s">
        <v>367</v>
      </c>
      <c r="F357" s="152" t="s">
        <v>367</v>
      </c>
      <c r="G357" s="152"/>
      <c r="H357" s="152"/>
      <c r="I357" s="152"/>
      <c r="J357" s="152">
        <v>1899</v>
      </c>
      <c r="K357" s="152">
        <v>12</v>
      </c>
    </row>
    <row r="358" spans="1:11" ht="13.5" customHeight="1" x14ac:dyDescent="0.15">
      <c r="A358" s="141"/>
      <c r="B358" s="148">
        <v>355</v>
      </c>
      <c r="C358" s="163"/>
      <c r="D358" s="151"/>
      <c r="E358" s="151" t="s">
        <v>367</v>
      </c>
      <c r="F358" s="151" t="s">
        <v>367</v>
      </c>
      <c r="G358" s="151"/>
      <c r="H358" s="151"/>
      <c r="I358" s="151"/>
      <c r="J358" s="151">
        <v>1899</v>
      </c>
      <c r="K358" s="151">
        <v>12</v>
      </c>
    </row>
    <row r="359" spans="1:11" ht="13.5" customHeight="1" x14ac:dyDescent="0.15">
      <c r="A359" s="141"/>
      <c r="B359" s="148">
        <v>356</v>
      </c>
      <c r="C359" s="164"/>
      <c r="D359" s="152"/>
      <c r="E359" s="152" t="s">
        <v>367</v>
      </c>
      <c r="F359" s="152" t="s">
        <v>367</v>
      </c>
      <c r="G359" s="152"/>
      <c r="H359" s="152"/>
      <c r="I359" s="152"/>
      <c r="J359" s="152">
        <v>1899</v>
      </c>
      <c r="K359" s="152">
        <v>12</v>
      </c>
    </row>
    <row r="360" spans="1:11" ht="13.5" customHeight="1" x14ac:dyDescent="0.15">
      <c r="A360" s="141"/>
      <c r="B360" s="148">
        <v>357</v>
      </c>
      <c r="C360" s="163"/>
      <c r="D360" s="151"/>
      <c r="E360" s="151" t="s">
        <v>367</v>
      </c>
      <c r="F360" s="151" t="s">
        <v>367</v>
      </c>
      <c r="G360" s="151"/>
      <c r="H360" s="151"/>
      <c r="I360" s="151"/>
      <c r="J360" s="151">
        <v>1899</v>
      </c>
      <c r="K360" s="151">
        <v>12</v>
      </c>
    </row>
    <row r="361" spans="1:11" ht="13.5" customHeight="1" x14ac:dyDescent="0.15">
      <c r="A361" s="141"/>
      <c r="B361" s="148">
        <v>358</v>
      </c>
      <c r="C361" s="164"/>
      <c r="D361" s="152"/>
      <c r="E361" s="152" t="s">
        <v>367</v>
      </c>
      <c r="F361" s="152" t="s">
        <v>367</v>
      </c>
      <c r="G361" s="152"/>
      <c r="H361" s="152"/>
      <c r="I361" s="152"/>
      <c r="J361" s="152">
        <v>1899</v>
      </c>
      <c r="K361" s="152">
        <v>12</v>
      </c>
    </row>
    <row r="362" spans="1:11" ht="13.5" customHeight="1" x14ac:dyDescent="0.15">
      <c r="A362" s="141"/>
      <c r="B362" s="148">
        <v>359</v>
      </c>
      <c r="C362" s="163"/>
      <c r="D362" s="151"/>
      <c r="E362" s="151" t="s">
        <v>367</v>
      </c>
      <c r="F362" s="151" t="s">
        <v>367</v>
      </c>
      <c r="G362" s="151"/>
      <c r="H362" s="151"/>
      <c r="I362" s="151"/>
      <c r="J362" s="151">
        <v>1899</v>
      </c>
      <c r="K362" s="151">
        <v>12</v>
      </c>
    </row>
    <row r="363" spans="1:11" ht="13.5" customHeight="1" x14ac:dyDescent="0.15">
      <c r="A363" s="141"/>
      <c r="B363" s="148">
        <v>360</v>
      </c>
      <c r="C363" s="164"/>
      <c r="D363" s="152"/>
      <c r="E363" s="152" t="s">
        <v>367</v>
      </c>
      <c r="F363" s="152" t="s">
        <v>367</v>
      </c>
      <c r="G363" s="152"/>
      <c r="H363" s="152"/>
      <c r="I363" s="152"/>
      <c r="J363" s="152">
        <v>1899</v>
      </c>
      <c r="K363" s="152">
        <v>12</v>
      </c>
    </row>
    <row r="364" spans="1:11" ht="13.5" customHeight="1" x14ac:dyDescent="0.15">
      <c r="A364" s="141"/>
      <c r="B364" s="148">
        <v>361</v>
      </c>
      <c r="C364" s="163"/>
      <c r="D364" s="151"/>
      <c r="E364" s="151" t="s">
        <v>367</v>
      </c>
      <c r="F364" s="151" t="s">
        <v>367</v>
      </c>
      <c r="G364" s="151"/>
      <c r="H364" s="151"/>
      <c r="I364" s="151"/>
      <c r="J364" s="151">
        <v>1899</v>
      </c>
      <c r="K364" s="151">
        <v>12</v>
      </c>
    </row>
    <row r="365" spans="1:11" ht="13.5" customHeight="1" x14ac:dyDescent="0.15">
      <c r="A365" s="141"/>
      <c r="B365" s="148">
        <v>362</v>
      </c>
      <c r="C365" s="164"/>
      <c r="D365" s="152"/>
      <c r="E365" s="152" t="s">
        <v>367</v>
      </c>
      <c r="F365" s="152" t="s">
        <v>367</v>
      </c>
      <c r="G365" s="152"/>
      <c r="H365" s="152"/>
      <c r="I365" s="152"/>
      <c r="J365" s="152">
        <v>1899</v>
      </c>
      <c r="K365" s="152">
        <v>12</v>
      </c>
    </row>
    <row r="366" spans="1:11" ht="13.5" customHeight="1" x14ac:dyDescent="0.15">
      <c r="A366" s="141"/>
      <c r="B366" s="148">
        <v>363</v>
      </c>
      <c r="C366" s="163"/>
      <c r="D366" s="151"/>
      <c r="E366" s="151" t="s">
        <v>367</v>
      </c>
      <c r="F366" s="151" t="s">
        <v>367</v>
      </c>
      <c r="G366" s="151"/>
      <c r="H366" s="151"/>
      <c r="I366" s="151"/>
      <c r="J366" s="151">
        <v>1899</v>
      </c>
      <c r="K366" s="151">
        <v>12</v>
      </c>
    </row>
    <row r="367" spans="1:11" ht="13.5" customHeight="1" x14ac:dyDescent="0.15">
      <c r="A367" s="141"/>
      <c r="B367" s="148">
        <v>364</v>
      </c>
      <c r="C367" s="164"/>
      <c r="D367" s="152"/>
      <c r="E367" s="152" t="s">
        <v>367</v>
      </c>
      <c r="F367" s="152" t="s">
        <v>367</v>
      </c>
      <c r="G367" s="152"/>
      <c r="H367" s="152"/>
      <c r="I367" s="152"/>
      <c r="J367" s="152">
        <v>1899</v>
      </c>
      <c r="K367" s="152">
        <v>12</v>
      </c>
    </row>
    <row r="368" spans="1:11" ht="13.5" customHeight="1" x14ac:dyDescent="0.15">
      <c r="A368" s="141"/>
      <c r="B368" s="148">
        <v>365</v>
      </c>
      <c r="C368" s="163"/>
      <c r="D368" s="151"/>
      <c r="E368" s="151" t="s">
        <v>367</v>
      </c>
      <c r="F368" s="151" t="s">
        <v>367</v>
      </c>
      <c r="G368" s="151"/>
      <c r="H368" s="151"/>
      <c r="I368" s="151"/>
      <c r="J368" s="151">
        <v>1899</v>
      </c>
      <c r="K368" s="151">
        <v>12</v>
      </c>
    </row>
    <row r="369" spans="1:11" ht="13.5" customHeight="1" x14ac:dyDescent="0.15">
      <c r="A369" s="141"/>
      <c r="B369" s="148">
        <v>366</v>
      </c>
      <c r="C369" s="164"/>
      <c r="D369" s="152"/>
      <c r="E369" s="152" t="s">
        <v>367</v>
      </c>
      <c r="F369" s="152" t="s">
        <v>367</v>
      </c>
      <c r="G369" s="152"/>
      <c r="H369" s="152"/>
      <c r="I369" s="152"/>
      <c r="J369" s="152">
        <v>1899</v>
      </c>
      <c r="K369" s="152">
        <v>12</v>
      </c>
    </row>
    <row r="370" spans="1:11" ht="13.5" customHeight="1" x14ac:dyDescent="0.15">
      <c r="A370" s="141"/>
      <c r="B370" s="148">
        <v>367</v>
      </c>
      <c r="C370" s="163"/>
      <c r="D370" s="151"/>
      <c r="E370" s="151" t="s">
        <v>367</v>
      </c>
      <c r="F370" s="151" t="s">
        <v>367</v>
      </c>
      <c r="G370" s="151"/>
      <c r="H370" s="151"/>
      <c r="I370" s="151"/>
      <c r="J370" s="151">
        <v>1899</v>
      </c>
      <c r="K370" s="151">
        <v>12</v>
      </c>
    </row>
    <row r="371" spans="1:11" ht="13.5" customHeight="1" x14ac:dyDescent="0.15">
      <c r="A371" s="141"/>
      <c r="B371" s="148">
        <v>368</v>
      </c>
      <c r="C371" s="164"/>
      <c r="D371" s="152"/>
      <c r="E371" s="152" t="s">
        <v>367</v>
      </c>
      <c r="F371" s="152" t="s">
        <v>367</v>
      </c>
      <c r="G371" s="152"/>
      <c r="H371" s="152"/>
      <c r="I371" s="152"/>
      <c r="J371" s="152">
        <v>1899</v>
      </c>
      <c r="K371" s="152">
        <v>12</v>
      </c>
    </row>
    <row r="372" spans="1:11" ht="13.5" customHeight="1" x14ac:dyDescent="0.15">
      <c r="A372" s="141"/>
      <c r="B372" s="148">
        <v>369</v>
      </c>
      <c r="C372" s="163"/>
      <c r="D372" s="151"/>
      <c r="E372" s="151" t="s">
        <v>367</v>
      </c>
      <c r="F372" s="151" t="s">
        <v>367</v>
      </c>
      <c r="G372" s="151"/>
      <c r="H372" s="151"/>
      <c r="I372" s="151"/>
      <c r="J372" s="151">
        <v>1899</v>
      </c>
      <c r="K372" s="151">
        <v>12</v>
      </c>
    </row>
    <row r="373" spans="1:11" ht="13.5" customHeight="1" x14ac:dyDescent="0.15">
      <c r="A373" s="141"/>
      <c r="B373" s="148">
        <v>370</v>
      </c>
      <c r="C373" s="164"/>
      <c r="D373" s="152"/>
      <c r="E373" s="152" t="s">
        <v>367</v>
      </c>
      <c r="F373" s="152" t="s">
        <v>367</v>
      </c>
      <c r="G373" s="152"/>
      <c r="H373" s="152"/>
      <c r="I373" s="152"/>
      <c r="J373" s="152">
        <v>1899</v>
      </c>
      <c r="K373" s="152">
        <v>12</v>
      </c>
    </row>
    <row r="374" spans="1:11" ht="13.5" customHeight="1" x14ac:dyDescent="0.15">
      <c r="A374" s="141"/>
      <c r="B374" s="148">
        <v>371</v>
      </c>
      <c r="C374" s="163"/>
      <c r="D374" s="151"/>
      <c r="E374" s="151" t="s">
        <v>367</v>
      </c>
      <c r="F374" s="151" t="s">
        <v>367</v>
      </c>
      <c r="G374" s="151"/>
      <c r="H374" s="151"/>
      <c r="I374" s="151"/>
      <c r="J374" s="151">
        <v>1899</v>
      </c>
      <c r="K374" s="151">
        <v>12</v>
      </c>
    </row>
    <row r="375" spans="1:11" ht="13.5" customHeight="1" x14ac:dyDescent="0.15">
      <c r="A375" s="141"/>
      <c r="B375" s="148">
        <v>372</v>
      </c>
      <c r="C375" s="164"/>
      <c r="D375" s="152"/>
      <c r="E375" s="152" t="s">
        <v>367</v>
      </c>
      <c r="F375" s="152" t="s">
        <v>367</v>
      </c>
      <c r="G375" s="152"/>
      <c r="H375" s="152"/>
      <c r="I375" s="152"/>
      <c r="J375" s="152">
        <v>1899</v>
      </c>
      <c r="K375" s="152">
        <v>12</v>
      </c>
    </row>
    <row r="376" spans="1:11" ht="13.5" customHeight="1" x14ac:dyDescent="0.15">
      <c r="A376" s="141"/>
      <c r="B376" s="148">
        <v>373</v>
      </c>
      <c r="C376" s="163"/>
      <c r="D376" s="151"/>
      <c r="E376" s="151" t="s">
        <v>367</v>
      </c>
      <c r="F376" s="151" t="s">
        <v>367</v>
      </c>
      <c r="G376" s="151"/>
      <c r="H376" s="151"/>
      <c r="I376" s="151"/>
      <c r="J376" s="151">
        <v>1899</v>
      </c>
      <c r="K376" s="151">
        <v>12</v>
      </c>
    </row>
    <row r="377" spans="1:11" ht="13.5" customHeight="1" x14ac:dyDescent="0.15">
      <c r="A377" s="141"/>
      <c r="B377" s="148">
        <v>374</v>
      </c>
      <c r="C377" s="164"/>
      <c r="D377" s="152"/>
      <c r="E377" s="152" t="s">
        <v>367</v>
      </c>
      <c r="F377" s="152" t="s">
        <v>367</v>
      </c>
      <c r="G377" s="152"/>
      <c r="H377" s="152"/>
      <c r="I377" s="152"/>
      <c r="J377" s="152">
        <v>1899</v>
      </c>
      <c r="K377" s="152">
        <v>12</v>
      </c>
    </row>
    <row r="378" spans="1:11" ht="13.5" customHeight="1" x14ac:dyDescent="0.15">
      <c r="A378" s="141"/>
      <c r="B378" s="148">
        <v>375</v>
      </c>
      <c r="C378" s="163"/>
      <c r="D378" s="151"/>
      <c r="E378" s="151" t="s">
        <v>367</v>
      </c>
      <c r="F378" s="151" t="s">
        <v>367</v>
      </c>
      <c r="G378" s="151"/>
      <c r="H378" s="151"/>
      <c r="I378" s="151"/>
      <c r="J378" s="151">
        <v>1899</v>
      </c>
      <c r="K378" s="151">
        <v>12</v>
      </c>
    </row>
    <row r="379" spans="1:11" ht="13.5" customHeight="1" x14ac:dyDescent="0.15">
      <c r="A379" s="141"/>
      <c r="B379" s="148">
        <v>376</v>
      </c>
      <c r="C379" s="164"/>
      <c r="D379" s="152"/>
      <c r="E379" s="152" t="s">
        <v>367</v>
      </c>
      <c r="F379" s="152" t="s">
        <v>367</v>
      </c>
      <c r="G379" s="152"/>
      <c r="H379" s="152"/>
      <c r="I379" s="152"/>
      <c r="J379" s="152">
        <v>1899</v>
      </c>
      <c r="K379" s="152">
        <v>12</v>
      </c>
    </row>
    <row r="380" spans="1:11" ht="13.5" customHeight="1" x14ac:dyDescent="0.15">
      <c r="A380" s="141"/>
      <c r="B380" s="148">
        <v>377</v>
      </c>
      <c r="C380" s="163"/>
      <c r="D380" s="151"/>
      <c r="E380" s="151" t="s">
        <v>367</v>
      </c>
      <c r="F380" s="151" t="s">
        <v>367</v>
      </c>
      <c r="G380" s="151"/>
      <c r="H380" s="151"/>
      <c r="I380" s="151"/>
      <c r="J380" s="151">
        <v>1899</v>
      </c>
      <c r="K380" s="151">
        <v>12</v>
      </c>
    </row>
    <row r="381" spans="1:11" ht="13.5" customHeight="1" x14ac:dyDescent="0.15">
      <c r="A381" s="141"/>
      <c r="B381" s="148">
        <v>378</v>
      </c>
      <c r="C381" s="164"/>
      <c r="D381" s="152"/>
      <c r="E381" s="152" t="s">
        <v>367</v>
      </c>
      <c r="F381" s="152" t="s">
        <v>367</v>
      </c>
      <c r="G381" s="152"/>
      <c r="H381" s="152"/>
      <c r="I381" s="152"/>
      <c r="J381" s="152">
        <v>1899</v>
      </c>
      <c r="K381" s="152">
        <v>12</v>
      </c>
    </row>
    <row r="382" spans="1:11" ht="13.5" customHeight="1" x14ac:dyDescent="0.15">
      <c r="A382" s="141"/>
      <c r="B382" s="148">
        <v>379</v>
      </c>
      <c r="C382" s="163"/>
      <c r="D382" s="151"/>
      <c r="E382" s="151" t="s">
        <v>367</v>
      </c>
      <c r="F382" s="151" t="s">
        <v>367</v>
      </c>
      <c r="G382" s="151"/>
      <c r="H382" s="151"/>
      <c r="I382" s="151"/>
      <c r="J382" s="151">
        <v>1899</v>
      </c>
      <c r="K382" s="151">
        <v>12</v>
      </c>
    </row>
    <row r="383" spans="1:11" ht="13.5" customHeight="1" x14ac:dyDescent="0.15">
      <c r="A383" s="141"/>
      <c r="B383" s="148">
        <v>380</v>
      </c>
      <c r="C383" s="164"/>
      <c r="D383" s="152"/>
      <c r="E383" s="152" t="s">
        <v>367</v>
      </c>
      <c r="F383" s="152" t="s">
        <v>367</v>
      </c>
      <c r="G383" s="152"/>
      <c r="H383" s="152"/>
      <c r="I383" s="152"/>
      <c r="J383" s="152">
        <v>1899</v>
      </c>
      <c r="K383" s="152">
        <v>12</v>
      </c>
    </row>
    <row r="384" spans="1:11" ht="13.5" customHeight="1" x14ac:dyDescent="0.15">
      <c r="A384" s="141"/>
      <c r="B384" s="148">
        <v>381</v>
      </c>
      <c r="C384" s="163"/>
      <c r="D384" s="151"/>
      <c r="E384" s="151" t="s">
        <v>367</v>
      </c>
      <c r="F384" s="151" t="s">
        <v>367</v>
      </c>
      <c r="G384" s="151"/>
      <c r="H384" s="151"/>
      <c r="I384" s="151"/>
      <c r="J384" s="151">
        <v>1899</v>
      </c>
      <c r="K384" s="151">
        <v>12</v>
      </c>
    </row>
    <row r="385" spans="1:11" ht="13.5" customHeight="1" x14ac:dyDescent="0.15">
      <c r="A385" s="141"/>
      <c r="B385" s="148">
        <v>382</v>
      </c>
      <c r="C385" s="164"/>
      <c r="D385" s="152"/>
      <c r="E385" s="152" t="s">
        <v>367</v>
      </c>
      <c r="F385" s="152" t="s">
        <v>367</v>
      </c>
      <c r="G385" s="152"/>
      <c r="H385" s="152"/>
      <c r="I385" s="152"/>
      <c r="J385" s="152">
        <v>1899</v>
      </c>
      <c r="K385" s="152">
        <v>12</v>
      </c>
    </row>
    <row r="386" spans="1:11" ht="13.5" customHeight="1" x14ac:dyDescent="0.15">
      <c r="A386" s="141"/>
      <c r="B386" s="148">
        <v>383</v>
      </c>
      <c r="C386" s="163"/>
      <c r="D386" s="151"/>
      <c r="E386" s="151" t="s">
        <v>367</v>
      </c>
      <c r="F386" s="151" t="s">
        <v>367</v>
      </c>
      <c r="G386" s="151"/>
      <c r="H386" s="151"/>
      <c r="I386" s="151"/>
      <c r="J386" s="151">
        <v>1899</v>
      </c>
      <c r="K386" s="151">
        <v>12</v>
      </c>
    </row>
    <row r="387" spans="1:11" ht="13.5" customHeight="1" x14ac:dyDescent="0.15">
      <c r="A387" s="141"/>
      <c r="B387" s="148">
        <v>384</v>
      </c>
      <c r="C387" s="164"/>
      <c r="D387" s="152"/>
      <c r="E387" s="152" t="s">
        <v>367</v>
      </c>
      <c r="F387" s="152" t="s">
        <v>367</v>
      </c>
      <c r="G387" s="152"/>
      <c r="H387" s="152"/>
      <c r="I387" s="152"/>
      <c r="J387" s="152">
        <v>1899</v>
      </c>
      <c r="K387" s="152">
        <v>12</v>
      </c>
    </row>
    <row r="388" spans="1:11" ht="13.5" customHeight="1" x14ac:dyDescent="0.15">
      <c r="A388" s="141"/>
      <c r="B388" s="148">
        <v>385</v>
      </c>
      <c r="C388" s="163"/>
      <c r="D388" s="151"/>
      <c r="E388" s="151" t="s">
        <v>367</v>
      </c>
      <c r="F388" s="151" t="s">
        <v>367</v>
      </c>
      <c r="G388" s="151"/>
      <c r="H388" s="151"/>
      <c r="I388" s="151"/>
      <c r="J388" s="151">
        <v>1899</v>
      </c>
      <c r="K388" s="151">
        <v>12</v>
      </c>
    </row>
    <row r="389" spans="1:11" ht="13.5" customHeight="1" x14ac:dyDescent="0.15">
      <c r="A389" s="141"/>
      <c r="B389" s="148">
        <v>386</v>
      </c>
      <c r="C389" s="164"/>
      <c r="D389" s="152"/>
      <c r="E389" s="152" t="s">
        <v>367</v>
      </c>
      <c r="F389" s="152" t="s">
        <v>367</v>
      </c>
      <c r="G389" s="152"/>
      <c r="H389" s="152"/>
      <c r="I389" s="152"/>
      <c r="J389" s="152">
        <v>1899</v>
      </c>
      <c r="K389" s="152">
        <v>12</v>
      </c>
    </row>
    <row r="390" spans="1:11" ht="13.5" customHeight="1" x14ac:dyDescent="0.15">
      <c r="A390" s="141"/>
      <c r="B390" s="148">
        <v>387</v>
      </c>
      <c r="C390" s="163"/>
      <c r="D390" s="151"/>
      <c r="E390" s="151" t="s">
        <v>367</v>
      </c>
      <c r="F390" s="151" t="s">
        <v>367</v>
      </c>
      <c r="G390" s="151"/>
      <c r="H390" s="151"/>
      <c r="I390" s="151"/>
      <c r="J390" s="151">
        <v>1899</v>
      </c>
      <c r="K390" s="151">
        <v>12</v>
      </c>
    </row>
    <row r="391" spans="1:11" ht="13.5" customHeight="1" x14ac:dyDescent="0.15">
      <c r="A391" s="141"/>
      <c r="B391" s="148">
        <v>388</v>
      </c>
      <c r="C391" s="164"/>
      <c r="D391" s="152"/>
      <c r="E391" s="152" t="s">
        <v>367</v>
      </c>
      <c r="F391" s="152" t="s">
        <v>367</v>
      </c>
      <c r="G391" s="152"/>
      <c r="H391" s="152"/>
      <c r="I391" s="152"/>
      <c r="J391" s="152">
        <v>1899</v>
      </c>
      <c r="K391" s="152">
        <v>12</v>
      </c>
    </row>
    <row r="392" spans="1:11" ht="13.5" customHeight="1" x14ac:dyDescent="0.15">
      <c r="A392" s="141"/>
      <c r="B392" s="148">
        <v>389</v>
      </c>
      <c r="C392" s="163"/>
      <c r="D392" s="151"/>
      <c r="E392" s="151" t="s">
        <v>367</v>
      </c>
      <c r="F392" s="151" t="s">
        <v>367</v>
      </c>
      <c r="G392" s="151"/>
      <c r="H392" s="151"/>
      <c r="I392" s="151"/>
      <c r="J392" s="151">
        <v>1899</v>
      </c>
      <c r="K392" s="151">
        <v>12</v>
      </c>
    </row>
    <row r="393" spans="1:11" ht="13.5" customHeight="1" x14ac:dyDescent="0.15">
      <c r="A393" s="141"/>
      <c r="B393" s="148">
        <v>390</v>
      </c>
      <c r="C393" s="164"/>
      <c r="D393" s="152"/>
      <c r="E393" s="152" t="s">
        <v>367</v>
      </c>
      <c r="F393" s="152" t="s">
        <v>367</v>
      </c>
      <c r="G393" s="152"/>
      <c r="H393" s="152"/>
      <c r="I393" s="152"/>
      <c r="J393" s="152">
        <v>1899</v>
      </c>
      <c r="K393" s="152">
        <v>12</v>
      </c>
    </row>
    <row r="394" spans="1:11" ht="13.5" customHeight="1" x14ac:dyDescent="0.15">
      <c r="A394" s="141"/>
      <c r="B394" s="148">
        <v>391</v>
      </c>
      <c r="C394" s="163"/>
      <c r="D394" s="151"/>
      <c r="E394" s="151" t="s">
        <v>367</v>
      </c>
      <c r="F394" s="151" t="s">
        <v>367</v>
      </c>
      <c r="G394" s="151"/>
      <c r="H394" s="151"/>
      <c r="I394" s="151"/>
      <c r="J394" s="151">
        <v>1899</v>
      </c>
      <c r="K394" s="151">
        <v>12</v>
      </c>
    </row>
    <row r="395" spans="1:11" ht="13.5" customHeight="1" x14ac:dyDescent="0.15">
      <c r="A395" s="141"/>
      <c r="B395" s="148">
        <v>392</v>
      </c>
      <c r="C395" s="164"/>
      <c r="D395" s="152"/>
      <c r="E395" s="152" t="s">
        <v>367</v>
      </c>
      <c r="F395" s="152" t="s">
        <v>367</v>
      </c>
      <c r="G395" s="152"/>
      <c r="H395" s="152"/>
      <c r="I395" s="152"/>
      <c r="J395" s="152">
        <v>1899</v>
      </c>
      <c r="K395" s="152">
        <v>12</v>
      </c>
    </row>
    <row r="396" spans="1:11" ht="13.5" customHeight="1" x14ac:dyDescent="0.15">
      <c r="A396" s="141"/>
      <c r="B396" s="148">
        <v>393</v>
      </c>
      <c r="C396" s="163"/>
      <c r="D396" s="151"/>
      <c r="E396" s="151" t="s">
        <v>367</v>
      </c>
      <c r="F396" s="151" t="s">
        <v>367</v>
      </c>
      <c r="G396" s="151"/>
      <c r="H396" s="151"/>
      <c r="I396" s="151"/>
      <c r="J396" s="151">
        <v>1899</v>
      </c>
      <c r="K396" s="151">
        <v>12</v>
      </c>
    </row>
    <row r="397" spans="1:11" ht="13.5" customHeight="1" x14ac:dyDescent="0.15">
      <c r="A397" s="141"/>
      <c r="B397" s="148">
        <v>394</v>
      </c>
      <c r="C397" s="164"/>
      <c r="D397" s="152"/>
      <c r="E397" s="152" t="s">
        <v>367</v>
      </c>
      <c r="F397" s="152" t="s">
        <v>367</v>
      </c>
      <c r="G397" s="152"/>
      <c r="H397" s="152"/>
      <c r="I397" s="152"/>
      <c r="J397" s="152">
        <v>1899</v>
      </c>
      <c r="K397" s="152">
        <v>12</v>
      </c>
    </row>
    <row r="398" spans="1:11" ht="13.5" customHeight="1" x14ac:dyDescent="0.15">
      <c r="A398" s="141"/>
      <c r="B398" s="148">
        <v>395</v>
      </c>
      <c r="C398" s="163"/>
      <c r="D398" s="151"/>
      <c r="E398" s="151" t="s">
        <v>367</v>
      </c>
      <c r="F398" s="151" t="s">
        <v>367</v>
      </c>
      <c r="G398" s="151"/>
      <c r="H398" s="151"/>
      <c r="I398" s="151"/>
      <c r="J398" s="151">
        <v>1899</v>
      </c>
      <c r="K398" s="151">
        <v>12</v>
      </c>
    </row>
    <row r="399" spans="1:11" ht="13.5" customHeight="1" x14ac:dyDescent="0.15">
      <c r="A399" s="141"/>
      <c r="B399" s="148">
        <v>396</v>
      </c>
      <c r="C399" s="164"/>
      <c r="D399" s="152"/>
      <c r="E399" s="152" t="s">
        <v>367</v>
      </c>
      <c r="F399" s="152" t="s">
        <v>367</v>
      </c>
      <c r="G399" s="152"/>
      <c r="H399" s="152"/>
      <c r="I399" s="152"/>
      <c r="J399" s="152">
        <v>1899</v>
      </c>
      <c r="K399" s="152">
        <v>12</v>
      </c>
    </row>
    <row r="400" spans="1:11" ht="13.5" customHeight="1" x14ac:dyDescent="0.15">
      <c r="A400" s="141"/>
      <c r="B400" s="148">
        <v>397</v>
      </c>
      <c r="C400" s="163"/>
      <c r="D400" s="151"/>
      <c r="E400" s="151" t="s">
        <v>367</v>
      </c>
      <c r="F400" s="151" t="s">
        <v>367</v>
      </c>
      <c r="G400" s="151"/>
      <c r="H400" s="151"/>
      <c r="I400" s="151"/>
      <c r="J400" s="151">
        <v>1899</v>
      </c>
      <c r="K400" s="151">
        <v>12</v>
      </c>
    </row>
    <row r="401" spans="1:11" ht="13.5" customHeight="1" x14ac:dyDescent="0.15">
      <c r="A401" s="141"/>
      <c r="B401" s="148">
        <v>398</v>
      </c>
      <c r="C401" s="164"/>
      <c r="D401" s="152"/>
      <c r="E401" s="152" t="s">
        <v>367</v>
      </c>
      <c r="F401" s="152" t="s">
        <v>367</v>
      </c>
      <c r="G401" s="152"/>
      <c r="H401" s="152"/>
      <c r="I401" s="152"/>
      <c r="J401" s="152">
        <v>1899</v>
      </c>
      <c r="K401" s="152">
        <v>12</v>
      </c>
    </row>
    <row r="402" spans="1:11" ht="13.5" customHeight="1" x14ac:dyDescent="0.15">
      <c r="A402" s="141"/>
      <c r="B402" s="148">
        <v>399</v>
      </c>
      <c r="C402" s="163"/>
      <c r="D402" s="151"/>
      <c r="E402" s="151" t="s">
        <v>367</v>
      </c>
      <c r="F402" s="151" t="s">
        <v>367</v>
      </c>
      <c r="G402" s="151"/>
      <c r="H402" s="151"/>
      <c r="I402" s="151"/>
      <c r="J402" s="151">
        <v>1899</v>
      </c>
      <c r="K402" s="151">
        <v>12</v>
      </c>
    </row>
    <row r="403" spans="1:11" ht="13.5" customHeight="1" x14ac:dyDescent="0.15">
      <c r="A403" s="141"/>
      <c r="B403" s="148">
        <v>400</v>
      </c>
      <c r="C403" s="164"/>
      <c r="D403" s="152"/>
      <c r="E403" s="152" t="s">
        <v>367</v>
      </c>
      <c r="F403" s="152" t="s">
        <v>367</v>
      </c>
      <c r="G403" s="152"/>
      <c r="H403" s="152"/>
      <c r="I403" s="152"/>
      <c r="J403" s="152">
        <v>1899</v>
      </c>
      <c r="K403" s="152">
        <v>12</v>
      </c>
    </row>
    <row r="404" spans="1:11" ht="13.5" customHeight="1" x14ac:dyDescent="0.15">
      <c r="A404" s="141"/>
      <c r="B404" s="148">
        <v>401</v>
      </c>
      <c r="C404" s="163"/>
      <c r="D404" s="151"/>
      <c r="E404" s="151" t="s">
        <v>367</v>
      </c>
      <c r="F404" s="151" t="s">
        <v>367</v>
      </c>
      <c r="G404" s="151"/>
      <c r="H404" s="151"/>
      <c r="I404" s="151"/>
      <c r="J404" s="151">
        <v>1899</v>
      </c>
      <c r="K404" s="151">
        <v>12</v>
      </c>
    </row>
    <row r="405" spans="1:11" ht="13.5" customHeight="1" x14ac:dyDescent="0.15">
      <c r="A405" s="141"/>
      <c r="B405" s="148">
        <v>402</v>
      </c>
      <c r="C405" s="164"/>
      <c r="D405" s="152"/>
      <c r="E405" s="152" t="s">
        <v>367</v>
      </c>
      <c r="F405" s="152" t="s">
        <v>367</v>
      </c>
      <c r="G405" s="152"/>
      <c r="H405" s="152"/>
      <c r="I405" s="152"/>
      <c r="J405" s="152">
        <v>1899</v>
      </c>
      <c r="K405" s="152">
        <v>12</v>
      </c>
    </row>
    <row r="406" spans="1:11" ht="13.5" customHeight="1" x14ac:dyDescent="0.15">
      <c r="A406" s="141"/>
      <c r="B406" s="148">
        <v>403</v>
      </c>
      <c r="C406" s="163"/>
      <c r="D406" s="151"/>
      <c r="E406" s="151" t="s">
        <v>367</v>
      </c>
      <c r="F406" s="151" t="s">
        <v>367</v>
      </c>
      <c r="G406" s="151"/>
      <c r="H406" s="151"/>
      <c r="I406" s="151"/>
      <c r="J406" s="151">
        <v>1899</v>
      </c>
      <c r="K406" s="151">
        <v>12</v>
      </c>
    </row>
    <row r="407" spans="1:11" ht="13.5" customHeight="1" x14ac:dyDescent="0.15">
      <c r="A407" s="141"/>
      <c r="B407" s="148">
        <v>404</v>
      </c>
      <c r="C407" s="164"/>
      <c r="D407" s="152"/>
      <c r="E407" s="152" t="s">
        <v>367</v>
      </c>
      <c r="F407" s="152" t="s">
        <v>367</v>
      </c>
      <c r="G407" s="152"/>
      <c r="H407" s="152"/>
      <c r="I407" s="152"/>
      <c r="J407" s="152">
        <v>1899</v>
      </c>
      <c r="K407" s="152">
        <v>12</v>
      </c>
    </row>
    <row r="408" spans="1:11" ht="13.5" customHeight="1" x14ac:dyDescent="0.15">
      <c r="A408" s="141"/>
      <c r="B408" s="148">
        <v>405</v>
      </c>
      <c r="C408" s="163"/>
      <c r="D408" s="151"/>
      <c r="E408" s="151" t="s">
        <v>367</v>
      </c>
      <c r="F408" s="151" t="s">
        <v>367</v>
      </c>
      <c r="G408" s="151"/>
      <c r="H408" s="151"/>
      <c r="I408" s="151"/>
      <c r="J408" s="151">
        <v>1899</v>
      </c>
      <c r="K408" s="151">
        <v>12</v>
      </c>
    </row>
    <row r="409" spans="1:11" ht="13.5" customHeight="1" x14ac:dyDescent="0.15">
      <c r="A409" s="141"/>
      <c r="B409" s="148">
        <v>406</v>
      </c>
      <c r="C409" s="164"/>
      <c r="D409" s="152"/>
      <c r="E409" s="152" t="s">
        <v>367</v>
      </c>
      <c r="F409" s="152" t="s">
        <v>367</v>
      </c>
      <c r="G409" s="152"/>
      <c r="H409" s="152"/>
      <c r="I409" s="152"/>
      <c r="J409" s="152">
        <v>1899</v>
      </c>
      <c r="K409" s="152">
        <v>12</v>
      </c>
    </row>
    <row r="410" spans="1:11" ht="13.5" customHeight="1" x14ac:dyDescent="0.15">
      <c r="A410" s="141"/>
      <c r="B410" s="148">
        <v>407</v>
      </c>
      <c r="C410" s="163"/>
      <c r="D410" s="151"/>
      <c r="E410" s="151" t="s">
        <v>367</v>
      </c>
      <c r="F410" s="151" t="s">
        <v>367</v>
      </c>
      <c r="G410" s="151"/>
      <c r="H410" s="151"/>
      <c r="I410" s="151"/>
      <c r="J410" s="151">
        <v>1899</v>
      </c>
      <c r="K410" s="151">
        <v>12</v>
      </c>
    </row>
    <row r="411" spans="1:11" ht="13.5" customHeight="1" x14ac:dyDescent="0.15">
      <c r="A411" s="141"/>
      <c r="B411" s="148">
        <v>408</v>
      </c>
      <c r="C411" s="164"/>
      <c r="D411" s="152"/>
      <c r="E411" s="152" t="s">
        <v>367</v>
      </c>
      <c r="F411" s="152" t="s">
        <v>367</v>
      </c>
      <c r="G411" s="152"/>
      <c r="H411" s="152"/>
      <c r="I411" s="152"/>
      <c r="J411" s="152">
        <v>1899</v>
      </c>
      <c r="K411" s="152">
        <v>12</v>
      </c>
    </row>
    <row r="412" spans="1:11" ht="13.5" customHeight="1" x14ac:dyDescent="0.15">
      <c r="A412" s="141"/>
      <c r="B412" s="148">
        <v>409</v>
      </c>
      <c r="C412" s="163"/>
      <c r="D412" s="151"/>
      <c r="E412" s="151" t="s">
        <v>367</v>
      </c>
      <c r="F412" s="151" t="s">
        <v>367</v>
      </c>
      <c r="G412" s="151"/>
      <c r="H412" s="151"/>
      <c r="I412" s="151"/>
      <c r="J412" s="151">
        <v>1899</v>
      </c>
      <c r="K412" s="151">
        <v>12</v>
      </c>
    </row>
    <row r="413" spans="1:11" ht="13.5" customHeight="1" x14ac:dyDescent="0.15">
      <c r="A413" s="141"/>
      <c r="B413" s="148">
        <v>410</v>
      </c>
      <c r="C413" s="164"/>
      <c r="D413" s="152"/>
      <c r="E413" s="152" t="s">
        <v>367</v>
      </c>
      <c r="F413" s="152" t="s">
        <v>367</v>
      </c>
      <c r="G413" s="152"/>
      <c r="H413" s="152"/>
      <c r="I413" s="152"/>
      <c r="J413" s="152">
        <v>1899</v>
      </c>
      <c r="K413" s="152">
        <v>12</v>
      </c>
    </row>
    <row r="414" spans="1:11" ht="13.5" customHeight="1" x14ac:dyDescent="0.15">
      <c r="A414" s="141"/>
      <c r="B414" s="148">
        <v>411</v>
      </c>
      <c r="C414" s="163"/>
      <c r="D414" s="151"/>
      <c r="E414" s="151" t="s">
        <v>367</v>
      </c>
      <c r="F414" s="151" t="s">
        <v>367</v>
      </c>
      <c r="G414" s="151"/>
      <c r="H414" s="151"/>
      <c r="I414" s="151"/>
      <c r="J414" s="151">
        <v>1899</v>
      </c>
      <c r="K414" s="151">
        <v>12</v>
      </c>
    </row>
    <row r="415" spans="1:11" ht="13.5" customHeight="1" x14ac:dyDescent="0.15">
      <c r="A415" s="141"/>
      <c r="B415" s="148">
        <v>412</v>
      </c>
      <c r="C415" s="164"/>
      <c r="D415" s="152"/>
      <c r="E415" s="152" t="s">
        <v>367</v>
      </c>
      <c r="F415" s="152" t="s">
        <v>367</v>
      </c>
      <c r="G415" s="152"/>
      <c r="H415" s="152"/>
      <c r="I415" s="152"/>
      <c r="J415" s="152">
        <v>1899</v>
      </c>
      <c r="K415" s="152">
        <v>12</v>
      </c>
    </row>
    <row r="416" spans="1:11" ht="13.5" customHeight="1" x14ac:dyDescent="0.15">
      <c r="A416" s="141"/>
      <c r="B416" s="148">
        <v>413</v>
      </c>
      <c r="C416" s="163"/>
      <c r="D416" s="151"/>
      <c r="E416" s="151" t="s">
        <v>367</v>
      </c>
      <c r="F416" s="151" t="s">
        <v>367</v>
      </c>
      <c r="G416" s="151"/>
      <c r="H416" s="151"/>
      <c r="I416" s="151"/>
      <c r="J416" s="151">
        <v>1899</v>
      </c>
      <c r="K416" s="151">
        <v>12</v>
      </c>
    </row>
    <row r="417" spans="1:11" ht="13.5" customHeight="1" x14ac:dyDescent="0.15">
      <c r="A417" s="141"/>
      <c r="B417" s="148">
        <v>414</v>
      </c>
      <c r="C417" s="164"/>
      <c r="D417" s="152"/>
      <c r="E417" s="152" t="s">
        <v>367</v>
      </c>
      <c r="F417" s="152" t="s">
        <v>367</v>
      </c>
      <c r="G417" s="152"/>
      <c r="H417" s="152"/>
      <c r="I417" s="152"/>
      <c r="J417" s="152">
        <v>1899</v>
      </c>
      <c r="K417" s="152">
        <v>12</v>
      </c>
    </row>
    <row r="418" spans="1:11" ht="13.5" customHeight="1" x14ac:dyDescent="0.15">
      <c r="A418" s="141"/>
      <c r="B418" s="148">
        <v>415</v>
      </c>
      <c r="C418" s="163"/>
      <c r="D418" s="151"/>
      <c r="E418" s="151" t="s">
        <v>367</v>
      </c>
      <c r="F418" s="151" t="s">
        <v>367</v>
      </c>
      <c r="G418" s="151"/>
      <c r="H418" s="151"/>
      <c r="I418" s="151"/>
      <c r="J418" s="151">
        <v>1899</v>
      </c>
      <c r="K418" s="151">
        <v>12</v>
      </c>
    </row>
    <row r="419" spans="1:11" ht="13.5" customHeight="1" x14ac:dyDescent="0.15">
      <c r="A419" s="141"/>
      <c r="B419" s="148">
        <v>416</v>
      </c>
      <c r="C419" s="164"/>
      <c r="D419" s="152"/>
      <c r="E419" s="152" t="s">
        <v>367</v>
      </c>
      <c r="F419" s="152" t="s">
        <v>367</v>
      </c>
      <c r="G419" s="152"/>
      <c r="H419" s="152"/>
      <c r="I419" s="152"/>
      <c r="J419" s="152">
        <v>1899</v>
      </c>
      <c r="K419" s="152">
        <v>12</v>
      </c>
    </row>
    <row r="420" spans="1:11" ht="13.5" customHeight="1" x14ac:dyDescent="0.15">
      <c r="A420" s="141"/>
      <c r="B420" s="148">
        <v>417</v>
      </c>
      <c r="C420" s="163"/>
      <c r="D420" s="151"/>
      <c r="E420" s="151" t="s">
        <v>367</v>
      </c>
      <c r="F420" s="151" t="s">
        <v>367</v>
      </c>
      <c r="G420" s="151"/>
      <c r="H420" s="151"/>
      <c r="I420" s="151"/>
      <c r="J420" s="151">
        <v>1899</v>
      </c>
      <c r="K420" s="151">
        <v>12</v>
      </c>
    </row>
    <row r="421" spans="1:11" ht="13.5" customHeight="1" x14ac:dyDescent="0.15">
      <c r="A421" s="141"/>
      <c r="B421" s="148">
        <v>418</v>
      </c>
      <c r="C421" s="164"/>
      <c r="D421" s="152"/>
      <c r="E421" s="152" t="s">
        <v>367</v>
      </c>
      <c r="F421" s="152" t="s">
        <v>367</v>
      </c>
      <c r="G421" s="152"/>
      <c r="H421" s="152"/>
      <c r="I421" s="152"/>
      <c r="J421" s="152">
        <v>1899</v>
      </c>
      <c r="K421" s="152">
        <v>12</v>
      </c>
    </row>
    <row r="422" spans="1:11" ht="13.5" customHeight="1" x14ac:dyDescent="0.15">
      <c r="A422" s="141"/>
      <c r="B422" s="148">
        <v>419</v>
      </c>
      <c r="C422" s="163"/>
      <c r="D422" s="151"/>
      <c r="E422" s="151" t="s">
        <v>367</v>
      </c>
      <c r="F422" s="151" t="s">
        <v>367</v>
      </c>
      <c r="G422" s="151"/>
      <c r="H422" s="151"/>
      <c r="I422" s="151"/>
      <c r="J422" s="151">
        <v>1899</v>
      </c>
      <c r="K422" s="151">
        <v>12</v>
      </c>
    </row>
    <row r="423" spans="1:11" ht="13.5" customHeight="1" x14ac:dyDescent="0.15">
      <c r="A423" s="141"/>
      <c r="B423" s="148">
        <v>420</v>
      </c>
      <c r="C423" s="164"/>
      <c r="D423" s="152"/>
      <c r="E423" s="152" t="s">
        <v>367</v>
      </c>
      <c r="F423" s="152" t="s">
        <v>367</v>
      </c>
      <c r="G423" s="152"/>
      <c r="H423" s="152"/>
      <c r="I423" s="152"/>
      <c r="J423" s="152">
        <v>1899</v>
      </c>
      <c r="K423" s="152">
        <v>12</v>
      </c>
    </row>
    <row r="424" spans="1:11" ht="13.5" customHeight="1" x14ac:dyDescent="0.15">
      <c r="A424" s="141"/>
      <c r="B424" s="148">
        <v>421</v>
      </c>
      <c r="C424" s="163"/>
      <c r="D424" s="151"/>
      <c r="E424" s="151" t="s">
        <v>367</v>
      </c>
      <c r="F424" s="151" t="s">
        <v>367</v>
      </c>
      <c r="G424" s="151"/>
      <c r="H424" s="151"/>
      <c r="I424" s="151"/>
      <c r="J424" s="151">
        <v>1899</v>
      </c>
      <c r="K424" s="151">
        <v>12</v>
      </c>
    </row>
    <row r="425" spans="1:11" ht="13.5" customHeight="1" x14ac:dyDescent="0.15">
      <c r="A425" s="141"/>
      <c r="B425" s="148">
        <v>422</v>
      </c>
      <c r="C425" s="164"/>
      <c r="D425" s="152"/>
      <c r="E425" s="152" t="s">
        <v>367</v>
      </c>
      <c r="F425" s="152" t="s">
        <v>367</v>
      </c>
      <c r="G425" s="152"/>
      <c r="H425" s="152"/>
      <c r="I425" s="152"/>
      <c r="J425" s="152">
        <v>1899</v>
      </c>
      <c r="K425" s="152">
        <v>12</v>
      </c>
    </row>
    <row r="426" spans="1:11" ht="13.5" customHeight="1" x14ac:dyDescent="0.15">
      <c r="A426" s="141"/>
      <c r="B426" s="148">
        <v>423</v>
      </c>
      <c r="C426" s="163"/>
      <c r="D426" s="151"/>
      <c r="E426" s="151" t="s">
        <v>367</v>
      </c>
      <c r="F426" s="151" t="s">
        <v>367</v>
      </c>
      <c r="G426" s="151"/>
      <c r="H426" s="151"/>
      <c r="I426" s="151"/>
      <c r="J426" s="151">
        <v>1899</v>
      </c>
      <c r="K426" s="151">
        <v>12</v>
      </c>
    </row>
    <row r="427" spans="1:11" ht="13.5" customHeight="1" x14ac:dyDescent="0.15">
      <c r="A427" s="141"/>
      <c r="B427" s="148">
        <v>424</v>
      </c>
      <c r="C427" s="164"/>
      <c r="D427" s="152"/>
      <c r="E427" s="152" t="s">
        <v>367</v>
      </c>
      <c r="F427" s="152" t="s">
        <v>367</v>
      </c>
      <c r="G427" s="152"/>
      <c r="H427" s="152"/>
      <c r="I427" s="152"/>
      <c r="J427" s="152">
        <v>1899</v>
      </c>
      <c r="K427" s="152">
        <v>12</v>
      </c>
    </row>
    <row r="428" spans="1:11" ht="13.5" customHeight="1" x14ac:dyDescent="0.15">
      <c r="A428" s="141"/>
      <c r="B428" s="148">
        <v>425</v>
      </c>
      <c r="C428" s="163"/>
      <c r="D428" s="151"/>
      <c r="E428" s="151" t="s">
        <v>367</v>
      </c>
      <c r="F428" s="151" t="s">
        <v>367</v>
      </c>
      <c r="G428" s="151"/>
      <c r="H428" s="151"/>
      <c r="I428" s="151"/>
      <c r="J428" s="151">
        <v>1899</v>
      </c>
      <c r="K428" s="151">
        <v>12</v>
      </c>
    </row>
    <row r="429" spans="1:11" ht="13.5" customHeight="1" x14ac:dyDescent="0.15">
      <c r="A429" s="141"/>
      <c r="B429" s="148">
        <v>426</v>
      </c>
      <c r="C429" s="164"/>
      <c r="D429" s="152"/>
      <c r="E429" s="152" t="s">
        <v>367</v>
      </c>
      <c r="F429" s="152" t="s">
        <v>367</v>
      </c>
      <c r="G429" s="152"/>
      <c r="H429" s="152"/>
      <c r="I429" s="152"/>
      <c r="J429" s="152">
        <v>1899</v>
      </c>
      <c r="K429" s="152">
        <v>12</v>
      </c>
    </row>
    <row r="430" spans="1:11" ht="13.5" customHeight="1" x14ac:dyDescent="0.15">
      <c r="A430" s="141"/>
      <c r="B430" s="148">
        <v>427</v>
      </c>
      <c r="C430" s="163"/>
      <c r="D430" s="151"/>
      <c r="E430" s="151" t="s">
        <v>367</v>
      </c>
      <c r="F430" s="151" t="s">
        <v>367</v>
      </c>
      <c r="G430" s="151"/>
      <c r="H430" s="151"/>
      <c r="I430" s="151"/>
      <c r="J430" s="151">
        <v>1899</v>
      </c>
      <c r="K430" s="151">
        <v>12</v>
      </c>
    </row>
    <row r="431" spans="1:11" ht="13.5" customHeight="1" x14ac:dyDescent="0.15">
      <c r="A431" s="141"/>
      <c r="B431" s="148">
        <v>428</v>
      </c>
      <c r="C431" s="164"/>
      <c r="D431" s="152"/>
      <c r="E431" s="152" t="s">
        <v>367</v>
      </c>
      <c r="F431" s="152" t="s">
        <v>367</v>
      </c>
      <c r="G431" s="152"/>
      <c r="H431" s="152"/>
      <c r="I431" s="152"/>
      <c r="J431" s="152">
        <v>1899</v>
      </c>
      <c r="K431" s="152">
        <v>12</v>
      </c>
    </row>
    <row r="432" spans="1:11" ht="13.5" customHeight="1" x14ac:dyDescent="0.15">
      <c r="A432" s="141"/>
      <c r="B432" s="148">
        <v>429</v>
      </c>
      <c r="C432" s="163"/>
      <c r="D432" s="151"/>
      <c r="E432" s="151" t="s">
        <v>367</v>
      </c>
      <c r="F432" s="151" t="s">
        <v>367</v>
      </c>
      <c r="G432" s="151"/>
      <c r="H432" s="151"/>
      <c r="I432" s="151"/>
      <c r="J432" s="151">
        <v>1899</v>
      </c>
      <c r="K432" s="151">
        <v>12</v>
      </c>
    </row>
    <row r="433" spans="1:11" ht="13.5" customHeight="1" x14ac:dyDescent="0.15">
      <c r="A433" s="141"/>
      <c r="B433" s="148">
        <v>430</v>
      </c>
      <c r="C433" s="164"/>
      <c r="D433" s="152"/>
      <c r="E433" s="152" t="s">
        <v>367</v>
      </c>
      <c r="F433" s="152" t="s">
        <v>367</v>
      </c>
      <c r="G433" s="152"/>
      <c r="H433" s="152"/>
      <c r="I433" s="152"/>
      <c r="J433" s="152">
        <v>1899</v>
      </c>
      <c r="K433" s="152">
        <v>12</v>
      </c>
    </row>
    <row r="434" spans="1:11" ht="13.5" customHeight="1" x14ac:dyDescent="0.15">
      <c r="A434" s="141"/>
      <c r="B434" s="148">
        <v>431</v>
      </c>
      <c r="C434" s="163"/>
      <c r="D434" s="151"/>
      <c r="E434" s="151" t="s">
        <v>367</v>
      </c>
      <c r="F434" s="151" t="s">
        <v>367</v>
      </c>
      <c r="G434" s="151"/>
      <c r="H434" s="151"/>
      <c r="I434" s="151"/>
      <c r="J434" s="151">
        <v>1899</v>
      </c>
      <c r="K434" s="151">
        <v>12</v>
      </c>
    </row>
    <row r="435" spans="1:11" ht="13.5" customHeight="1" x14ac:dyDescent="0.15">
      <c r="A435" s="141"/>
      <c r="B435" s="148">
        <v>432</v>
      </c>
      <c r="C435" s="164"/>
      <c r="D435" s="152"/>
      <c r="E435" s="152" t="s">
        <v>367</v>
      </c>
      <c r="F435" s="152" t="s">
        <v>367</v>
      </c>
      <c r="G435" s="152"/>
      <c r="H435" s="152"/>
      <c r="I435" s="152"/>
      <c r="J435" s="152">
        <v>1899</v>
      </c>
      <c r="K435" s="152">
        <v>12</v>
      </c>
    </row>
    <row r="436" spans="1:11" ht="13.5" customHeight="1" x14ac:dyDescent="0.15">
      <c r="A436" s="141"/>
      <c r="B436" s="148">
        <v>433</v>
      </c>
      <c r="C436" s="163"/>
      <c r="D436" s="151"/>
      <c r="E436" s="151" t="s">
        <v>367</v>
      </c>
      <c r="F436" s="151" t="s">
        <v>367</v>
      </c>
      <c r="G436" s="151"/>
      <c r="H436" s="151"/>
      <c r="I436" s="151"/>
      <c r="J436" s="151">
        <v>1899</v>
      </c>
      <c r="K436" s="151">
        <v>12</v>
      </c>
    </row>
    <row r="437" spans="1:11" ht="13.5" customHeight="1" x14ac:dyDescent="0.15">
      <c r="A437" s="141"/>
      <c r="B437" s="148">
        <v>434</v>
      </c>
      <c r="C437" s="164"/>
      <c r="D437" s="152"/>
      <c r="E437" s="152" t="s">
        <v>367</v>
      </c>
      <c r="F437" s="152" t="s">
        <v>367</v>
      </c>
      <c r="G437" s="152"/>
      <c r="H437" s="152"/>
      <c r="I437" s="152"/>
      <c r="J437" s="152">
        <v>1899</v>
      </c>
      <c r="K437" s="152">
        <v>12</v>
      </c>
    </row>
    <row r="438" spans="1:11" ht="13.5" customHeight="1" x14ac:dyDescent="0.15">
      <c r="A438" s="141"/>
      <c r="B438" s="148">
        <v>435</v>
      </c>
      <c r="C438" s="163"/>
      <c r="D438" s="151"/>
      <c r="E438" s="151" t="s">
        <v>367</v>
      </c>
      <c r="F438" s="151" t="s">
        <v>367</v>
      </c>
      <c r="G438" s="151"/>
      <c r="H438" s="151"/>
      <c r="I438" s="151"/>
      <c r="J438" s="151">
        <v>1899</v>
      </c>
      <c r="K438" s="151">
        <v>12</v>
      </c>
    </row>
    <row r="439" spans="1:11" ht="13.5" customHeight="1" x14ac:dyDescent="0.15">
      <c r="A439" s="141"/>
      <c r="B439" s="148">
        <v>436</v>
      </c>
      <c r="C439" s="164"/>
      <c r="D439" s="152"/>
      <c r="E439" s="152" t="s">
        <v>367</v>
      </c>
      <c r="F439" s="152" t="s">
        <v>367</v>
      </c>
      <c r="G439" s="152"/>
      <c r="H439" s="152"/>
      <c r="I439" s="152"/>
      <c r="J439" s="152">
        <v>1899</v>
      </c>
      <c r="K439" s="152">
        <v>12</v>
      </c>
    </row>
    <row r="440" spans="1:11" ht="13.5" customHeight="1" x14ac:dyDescent="0.15">
      <c r="A440" s="141"/>
      <c r="B440" s="148">
        <v>437</v>
      </c>
      <c r="C440" s="163"/>
      <c r="D440" s="151"/>
      <c r="E440" s="151" t="s">
        <v>367</v>
      </c>
      <c r="F440" s="151" t="s">
        <v>367</v>
      </c>
      <c r="G440" s="151"/>
      <c r="H440" s="151"/>
      <c r="I440" s="151"/>
      <c r="J440" s="151">
        <v>1899</v>
      </c>
      <c r="K440" s="151">
        <v>12</v>
      </c>
    </row>
    <row r="441" spans="1:11" ht="13.5" customHeight="1" x14ac:dyDescent="0.15">
      <c r="A441" s="141"/>
      <c r="B441" s="148">
        <v>438</v>
      </c>
      <c r="C441" s="164"/>
      <c r="D441" s="152"/>
      <c r="E441" s="152" t="s">
        <v>367</v>
      </c>
      <c r="F441" s="152" t="s">
        <v>367</v>
      </c>
      <c r="G441" s="152"/>
      <c r="H441" s="152"/>
      <c r="I441" s="152"/>
      <c r="J441" s="152">
        <v>1899</v>
      </c>
      <c r="K441" s="152">
        <v>12</v>
      </c>
    </row>
    <row r="442" spans="1:11" ht="13.5" customHeight="1" x14ac:dyDescent="0.15">
      <c r="A442" s="141"/>
      <c r="B442" s="148">
        <v>439</v>
      </c>
      <c r="C442" s="163"/>
      <c r="D442" s="151"/>
      <c r="E442" s="151" t="s">
        <v>367</v>
      </c>
      <c r="F442" s="151" t="s">
        <v>367</v>
      </c>
      <c r="G442" s="151"/>
      <c r="H442" s="151"/>
      <c r="I442" s="151"/>
      <c r="J442" s="151">
        <v>1899</v>
      </c>
      <c r="K442" s="151">
        <v>12</v>
      </c>
    </row>
    <row r="443" spans="1:11" ht="13.5" customHeight="1" x14ac:dyDescent="0.15">
      <c r="A443" s="141"/>
      <c r="B443" s="148">
        <v>440</v>
      </c>
      <c r="C443" s="164"/>
      <c r="D443" s="152"/>
      <c r="E443" s="152" t="s">
        <v>367</v>
      </c>
      <c r="F443" s="152" t="s">
        <v>367</v>
      </c>
      <c r="G443" s="152"/>
      <c r="H443" s="152"/>
      <c r="I443" s="152"/>
      <c r="J443" s="152">
        <v>1899</v>
      </c>
      <c r="K443" s="152">
        <v>12</v>
      </c>
    </row>
    <row r="444" spans="1:11" ht="13.5" customHeight="1" x14ac:dyDescent="0.15">
      <c r="A444" s="141"/>
      <c r="B444" s="148">
        <v>441</v>
      </c>
      <c r="C444" s="163"/>
      <c r="D444" s="151"/>
      <c r="E444" s="151" t="s">
        <v>367</v>
      </c>
      <c r="F444" s="151" t="s">
        <v>367</v>
      </c>
      <c r="G444" s="151"/>
      <c r="H444" s="151"/>
      <c r="I444" s="151"/>
      <c r="J444" s="151">
        <v>1899</v>
      </c>
      <c r="K444" s="151">
        <v>12</v>
      </c>
    </row>
    <row r="445" spans="1:11" ht="13.5" customHeight="1" x14ac:dyDescent="0.15">
      <c r="A445" s="141"/>
      <c r="B445" s="148">
        <v>442</v>
      </c>
      <c r="C445" s="164"/>
      <c r="D445" s="152"/>
      <c r="E445" s="152" t="s">
        <v>367</v>
      </c>
      <c r="F445" s="152" t="s">
        <v>367</v>
      </c>
      <c r="G445" s="152"/>
      <c r="H445" s="152"/>
      <c r="I445" s="152"/>
      <c r="J445" s="152">
        <v>1899</v>
      </c>
      <c r="K445" s="152">
        <v>12</v>
      </c>
    </row>
    <row r="446" spans="1:11" ht="13.5" customHeight="1" x14ac:dyDescent="0.15">
      <c r="A446" s="141"/>
      <c r="B446" s="148">
        <v>443</v>
      </c>
      <c r="C446" s="163"/>
      <c r="D446" s="151"/>
      <c r="E446" s="151" t="s">
        <v>367</v>
      </c>
      <c r="F446" s="151" t="s">
        <v>367</v>
      </c>
      <c r="G446" s="151"/>
      <c r="H446" s="151"/>
      <c r="I446" s="151"/>
      <c r="J446" s="151">
        <v>1899</v>
      </c>
      <c r="K446" s="151">
        <v>12</v>
      </c>
    </row>
    <row r="447" spans="1:11" ht="13.5" customHeight="1" x14ac:dyDescent="0.15">
      <c r="A447" s="141"/>
      <c r="B447" s="148">
        <v>444</v>
      </c>
      <c r="C447" s="164"/>
      <c r="D447" s="152"/>
      <c r="E447" s="152" t="s">
        <v>367</v>
      </c>
      <c r="F447" s="152" t="s">
        <v>367</v>
      </c>
      <c r="G447" s="152"/>
      <c r="H447" s="152"/>
      <c r="I447" s="152"/>
      <c r="J447" s="152">
        <v>1899</v>
      </c>
      <c r="K447" s="152">
        <v>12</v>
      </c>
    </row>
    <row r="448" spans="1:11" ht="13.5" customHeight="1" x14ac:dyDescent="0.15">
      <c r="A448" s="141"/>
      <c r="B448" s="148">
        <v>445</v>
      </c>
      <c r="C448" s="163"/>
      <c r="D448" s="151"/>
      <c r="E448" s="151" t="s">
        <v>367</v>
      </c>
      <c r="F448" s="151" t="s">
        <v>367</v>
      </c>
      <c r="G448" s="151"/>
      <c r="H448" s="151"/>
      <c r="I448" s="151"/>
      <c r="J448" s="151">
        <v>1899</v>
      </c>
      <c r="K448" s="151">
        <v>12</v>
      </c>
    </row>
    <row r="449" spans="1:11" ht="13.5" customHeight="1" x14ac:dyDescent="0.15">
      <c r="A449" s="141"/>
      <c r="B449" s="148">
        <v>446</v>
      </c>
      <c r="C449" s="164"/>
      <c r="D449" s="152"/>
      <c r="E449" s="152" t="s">
        <v>367</v>
      </c>
      <c r="F449" s="152" t="s">
        <v>367</v>
      </c>
      <c r="G449" s="152"/>
      <c r="H449" s="152"/>
      <c r="I449" s="152"/>
      <c r="J449" s="152">
        <v>1899</v>
      </c>
      <c r="K449" s="152">
        <v>12</v>
      </c>
    </row>
    <row r="450" spans="1:11" ht="13.5" customHeight="1" x14ac:dyDescent="0.15">
      <c r="A450" s="141"/>
      <c r="B450" s="148">
        <v>447</v>
      </c>
      <c r="C450" s="163"/>
      <c r="D450" s="151"/>
      <c r="E450" s="151" t="s">
        <v>367</v>
      </c>
      <c r="F450" s="151" t="s">
        <v>367</v>
      </c>
      <c r="G450" s="151"/>
      <c r="H450" s="151"/>
      <c r="I450" s="151"/>
      <c r="J450" s="151">
        <v>1899</v>
      </c>
      <c r="K450" s="151">
        <v>12</v>
      </c>
    </row>
    <row r="451" spans="1:11" ht="13.5" customHeight="1" x14ac:dyDescent="0.15">
      <c r="A451" s="141"/>
      <c r="B451" s="148">
        <v>448</v>
      </c>
      <c r="C451" s="164"/>
      <c r="D451" s="152"/>
      <c r="E451" s="152" t="s">
        <v>367</v>
      </c>
      <c r="F451" s="152" t="s">
        <v>367</v>
      </c>
      <c r="G451" s="152"/>
      <c r="H451" s="152"/>
      <c r="I451" s="152"/>
      <c r="J451" s="152">
        <v>1899</v>
      </c>
      <c r="K451" s="152">
        <v>12</v>
      </c>
    </row>
    <row r="452" spans="1:11" ht="13.5" customHeight="1" x14ac:dyDescent="0.15">
      <c r="A452" s="141"/>
      <c r="B452" s="148">
        <v>449</v>
      </c>
      <c r="C452" s="163"/>
      <c r="D452" s="151"/>
      <c r="E452" s="151" t="s">
        <v>367</v>
      </c>
      <c r="F452" s="151" t="s">
        <v>367</v>
      </c>
      <c r="G452" s="151"/>
      <c r="H452" s="151"/>
      <c r="I452" s="151"/>
      <c r="J452" s="151">
        <v>1899</v>
      </c>
      <c r="K452" s="151">
        <v>12</v>
      </c>
    </row>
    <row r="453" spans="1:11" ht="13.5" customHeight="1" x14ac:dyDescent="0.15">
      <c r="A453" s="141"/>
      <c r="B453" s="148">
        <v>450</v>
      </c>
      <c r="C453" s="164"/>
      <c r="D453" s="152"/>
      <c r="E453" s="152" t="s">
        <v>367</v>
      </c>
      <c r="F453" s="152" t="s">
        <v>367</v>
      </c>
      <c r="G453" s="152"/>
      <c r="H453" s="152"/>
      <c r="I453" s="152"/>
      <c r="J453" s="152">
        <v>1899</v>
      </c>
      <c r="K453" s="152">
        <v>12</v>
      </c>
    </row>
    <row r="454" spans="1:11" ht="13.5" customHeight="1" x14ac:dyDescent="0.15">
      <c r="A454" s="141"/>
      <c r="B454" s="148">
        <v>451</v>
      </c>
      <c r="C454" s="163"/>
      <c r="D454" s="151"/>
      <c r="E454" s="151" t="s">
        <v>367</v>
      </c>
      <c r="F454" s="151" t="s">
        <v>367</v>
      </c>
      <c r="G454" s="151"/>
      <c r="H454" s="151"/>
      <c r="I454" s="151"/>
      <c r="J454" s="151">
        <v>1899</v>
      </c>
      <c r="K454" s="151">
        <v>12</v>
      </c>
    </row>
    <row r="455" spans="1:11" ht="13.5" customHeight="1" x14ac:dyDescent="0.15">
      <c r="A455" s="141"/>
      <c r="B455" s="148">
        <v>452</v>
      </c>
      <c r="C455" s="164"/>
      <c r="D455" s="152"/>
      <c r="E455" s="152" t="s">
        <v>367</v>
      </c>
      <c r="F455" s="152" t="s">
        <v>367</v>
      </c>
      <c r="G455" s="152"/>
      <c r="H455" s="152"/>
      <c r="I455" s="152"/>
      <c r="J455" s="152">
        <v>1899</v>
      </c>
      <c r="K455" s="152">
        <v>12</v>
      </c>
    </row>
    <row r="456" spans="1:11" ht="13.5" customHeight="1" x14ac:dyDescent="0.15">
      <c r="A456" s="141"/>
      <c r="B456" s="148">
        <v>453</v>
      </c>
      <c r="C456" s="163"/>
      <c r="D456" s="151"/>
      <c r="E456" s="151" t="s">
        <v>367</v>
      </c>
      <c r="F456" s="151" t="s">
        <v>367</v>
      </c>
      <c r="G456" s="151"/>
      <c r="H456" s="151"/>
      <c r="I456" s="151"/>
      <c r="J456" s="151">
        <v>1899</v>
      </c>
      <c r="K456" s="151">
        <v>12</v>
      </c>
    </row>
    <row r="457" spans="1:11" ht="13.5" customHeight="1" x14ac:dyDescent="0.15">
      <c r="A457" s="141"/>
      <c r="B457" s="148">
        <v>454</v>
      </c>
      <c r="C457" s="164"/>
      <c r="D457" s="152"/>
      <c r="E457" s="152" t="s">
        <v>367</v>
      </c>
      <c r="F457" s="152" t="s">
        <v>367</v>
      </c>
      <c r="G457" s="152"/>
      <c r="H457" s="152"/>
      <c r="I457" s="152"/>
      <c r="J457" s="152">
        <v>1899</v>
      </c>
      <c r="K457" s="152">
        <v>12</v>
      </c>
    </row>
    <row r="458" spans="1:11" ht="13.5" customHeight="1" x14ac:dyDescent="0.15">
      <c r="A458" s="141"/>
      <c r="B458" s="148">
        <v>455</v>
      </c>
      <c r="C458" s="163"/>
      <c r="D458" s="151"/>
      <c r="E458" s="151" t="s">
        <v>367</v>
      </c>
      <c r="F458" s="151" t="s">
        <v>367</v>
      </c>
      <c r="G458" s="151"/>
      <c r="H458" s="151"/>
      <c r="I458" s="151"/>
      <c r="J458" s="151">
        <v>1899</v>
      </c>
      <c r="K458" s="151">
        <v>12</v>
      </c>
    </row>
    <row r="459" spans="1:11" ht="13.5" customHeight="1" x14ac:dyDescent="0.15">
      <c r="A459" s="141"/>
      <c r="B459" s="148">
        <v>456</v>
      </c>
      <c r="C459" s="164"/>
      <c r="D459" s="152"/>
      <c r="E459" s="152" t="s">
        <v>367</v>
      </c>
      <c r="F459" s="152" t="s">
        <v>367</v>
      </c>
      <c r="G459" s="152"/>
      <c r="H459" s="152"/>
      <c r="I459" s="152"/>
      <c r="J459" s="152">
        <v>1899</v>
      </c>
      <c r="K459" s="152">
        <v>12</v>
      </c>
    </row>
    <row r="460" spans="1:11" ht="13.5" customHeight="1" x14ac:dyDescent="0.15">
      <c r="A460" s="141"/>
      <c r="B460" s="148">
        <v>457</v>
      </c>
      <c r="C460" s="163"/>
      <c r="D460" s="151"/>
      <c r="E460" s="151" t="s">
        <v>367</v>
      </c>
      <c r="F460" s="151" t="s">
        <v>367</v>
      </c>
      <c r="G460" s="151"/>
      <c r="H460" s="151"/>
      <c r="I460" s="151"/>
      <c r="J460" s="151">
        <v>1899</v>
      </c>
      <c r="K460" s="151">
        <v>12</v>
      </c>
    </row>
    <row r="461" spans="1:11" ht="13.5" customHeight="1" x14ac:dyDescent="0.15">
      <c r="A461" s="141"/>
      <c r="B461" s="148">
        <v>458</v>
      </c>
      <c r="C461" s="164"/>
      <c r="D461" s="152"/>
      <c r="E461" s="152" t="s">
        <v>367</v>
      </c>
      <c r="F461" s="152" t="s">
        <v>367</v>
      </c>
      <c r="G461" s="152"/>
      <c r="H461" s="152"/>
      <c r="I461" s="152"/>
      <c r="J461" s="152">
        <v>1899</v>
      </c>
      <c r="K461" s="152">
        <v>12</v>
      </c>
    </row>
    <row r="462" spans="1:11" ht="13.5" customHeight="1" x14ac:dyDescent="0.15">
      <c r="A462" s="141"/>
      <c r="B462" s="148">
        <v>459</v>
      </c>
      <c r="C462" s="163"/>
      <c r="D462" s="151"/>
      <c r="E462" s="151" t="s">
        <v>367</v>
      </c>
      <c r="F462" s="151" t="s">
        <v>367</v>
      </c>
      <c r="G462" s="151"/>
      <c r="H462" s="151"/>
      <c r="I462" s="151"/>
      <c r="J462" s="151">
        <v>1899</v>
      </c>
      <c r="K462" s="151">
        <v>12</v>
      </c>
    </row>
    <row r="463" spans="1:11" ht="13.5" customHeight="1" x14ac:dyDescent="0.15">
      <c r="A463" s="141"/>
      <c r="B463" s="148">
        <v>460</v>
      </c>
      <c r="C463" s="164"/>
      <c r="D463" s="152"/>
      <c r="E463" s="152" t="s">
        <v>367</v>
      </c>
      <c r="F463" s="152" t="s">
        <v>367</v>
      </c>
      <c r="G463" s="152"/>
      <c r="H463" s="152"/>
      <c r="I463" s="152"/>
      <c r="J463" s="152">
        <v>1899</v>
      </c>
      <c r="K463" s="152">
        <v>12</v>
      </c>
    </row>
    <row r="464" spans="1:11" ht="13.5" customHeight="1" x14ac:dyDescent="0.15">
      <c r="A464" s="141"/>
      <c r="B464" s="148">
        <v>461</v>
      </c>
      <c r="C464" s="163"/>
      <c r="D464" s="151"/>
      <c r="E464" s="151" t="s">
        <v>367</v>
      </c>
      <c r="F464" s="151" t="s">
        <v>367</v>
      </c>
      <c r="G464" s="151"/>
      <c r="H464" s="151"/>
      <c r="I464" s="151"/>
      <c r="J464" s="151">
        <v>1899</v>
      </c>
      <c r="K464" s="151">
        <v>12</v>
      </c>
    </row>
    <row r="465" spans="1:11" ht="13.5" customHeight="1" x14ac:dyDescent="0.15">
      <c r="A465" s="141"/>
      <c r="B465" s="148">
        <v>462</v>
      </c>
      <c r="C465" s="164"/>
      <c r="D465" s="152"/>
      <c r="E465" s="152" t="s">
        <v>367</v>
      </c>
      <c r="F465" s="152" t="s">
        <v>367</v>
      </c>
      <c r="G465" s="152"/>
      <c r="H465" s="152"/>
      <c r="I465" s="152"/>
      <c r="J465" s="152">
        <v>1899</v>
      </c>
      <c r="K465" s="152">
        <v>12</v>
      </c>
    </row>
    <row r="466" spans="1:11" ht="13.5" customHeight="1" x14ac:dyDescent="0.15">
      <c r="A466" s="141"/>
      <c r="B466" s="148">
        <v>463</v>
      </c>
      <c r="C466" s="163"/>
      <c r="D466" s="151"/>
      <c r="E466" s="151" t="s">
        <v>367</v>
      </c>
      <c r="F466" s="151" t="s">
        <v>367</v>
      </c>
      <c r="G466" s="151"/>
      <c r="H466" s="151"/>
      <c r="I466" s="151"/>
      <c r="J466" s="151">
        <v>1899</v>
      </c>
      <c r="K466" s="151">
        <v>12</v>
      </c>
    </row>
    <row r="467" spans="1:11" ht="13.5" customHeight="1" x14ac:dyDescent="0.15">
      <c r="A467" s="141"/>
      <c r="B467" s="148">
        <v>464</v>
      </c>
      <c r="C467" s="164"/>
      <c r="D467" s="152"/>
      <c r="E467" s="152" t="s">
        <v>367</v>
      </c>
      <c r="F467" s="152" t="s">
        <v>367</v>
      </c>
      <c r="G467" s="152"/>
      <c r="H467" s="152"/>
      <c r="I467" s="152"/>
      <c r="J467" s="152">
        <v>1899</v>
      </c>
      <c r="K467" s="152">
        <v>12</v>
      </c>
    </row>
    <row r="468" spans="1:11" ht="13.5" customHeight="1" x14ac:dyDescent="0.15">
      <c r="A468" s="141"/>
      <c r="B468" s="148">
        <v>465</v>
      </c>
      <c r="C468" s="163"/>
      <c r="D468" s="151"/>
      <c r="E468" s="151" t="s">
        <v>367</v>
      </c>
      <c r="F468" s="151" t="s">
        <v>367</v>
      </c>
      <c r="G468" s="151"/>
      <c r="H468" s="151"/>
      <c r="I468" s="151"/>
      <c r="J468" s="151">
        <v>1899</v>
      </c>
      <c r="K468" s="151">
        <v>12</v>
      </c>
    </row>
    <row r="469" spans="1:11" ht="13.5" customHeight="1" x14ac:dyDescent="0.15">
      <c r="A469" s="141"/>
      <c r="B469" s="148">
        <v>466</v>
      </c>
      <c r="C469" s="164"/>
      <c r="D469" s="152"/>
      <c r="E469" s="152" t="s">
        <v>367</v>
      </c>
      <c r="F469" s="152" t="s">
        <v>367</v>
      </c>
      <c r="G469" s="152"/>
      <c r="H469" s="152"/>
      <c r="I469" s="152"/>
      <c r="J469" s="152">
        <v>1899</v>
      </c>
      <c r="K469" s="152">
        <v>12</v>
      </c>
    </row>
    <row r="470" spans="1:11" ht="13.5" customHeight="1" x14ac:dyDescent="0.15">
      <c r="A470" s="141"/>
      <c r="B470" s="148">
        <v>467</v>
      </c>
      <c r="C470" s="163"/>
      <c r="D470" s="151"/>
      <c r="E470" s="151" t="s">
        <v>367</v>
      </c>
      <c r="F470" s="151" t="s">
        <v>367</v>
      </c>
      <c r="G470" s="151"/>
      <c r="H470" s="151"/>
      <c r="I470" s="151"/>
      <c r="J470" s="151">
        <v>1899</v>
      </c>
      <c r="K470" s="151">
        <v>12</v>
      </c>
    </row>
    <row r="471" spans="1:11" ht="13.5" customHeight="1" x14ac:dyDescent="0.15">
      <c r="A471" s="141"/>
      <c r="B471" s="148">
        <v>468</v>
      </c>
      <c r="C471" s="164"/>
      <c r="D471" s="152"/>
      <c r="E471" s="152" t="s">
        <v>367</v>
      </c>
      <c r="F471" s="152" t="s">
        <v>367</v>
      </c>
      <c r="G471" s="152"/>
      <c r="H471" s="152"/>
      <c r="I471" s="152"/>
      <c r="J471" s="152">
        <v>1899</v>
      </c>
      <c r="K471" s="152">
        <v>12</v>
      </c>
    </row>
    <row r="472" spans="1:11" ht="13.5" customHeight="1" x14ac:dyDescent="0.15">
      <c r="A472" s="141"/>
      <c r="B472" s="148">
        <v>469</v>
      </c>
      <c r="C472" s="163"/>
      <c r="D472" s="151"/>
      <c r="E472" s="151" t="s">
        <v>367</v>
      </c>
      <c r="F472" s="151" t="s">
        <v>367</v>
      </c>
      <c r="G472" s="151"/>
      <c r="H472" s="151"/>
      <c r="I472" s="151"/>
      <c r="J472" s="151">
        <v>1899</v>
      </c>
      <c r="K472" s="151">
        <v>12</v>
      </c>
    </row>
    <row r="473" spans="1:11" ht="13.5" customHeight="1" x14ac:dyDescent="0.15">
      <c r="A473" s="141"/>
      <c r="B473" s="148">
        <v>470</v>
      </c>
      <c r="C473" s="164"/>
      <c r="D473" s="152"/>
      <c r="E473" s="152" t="s">
        <v>367</v>
      </c>
      <c r="F473" s="152" t="s">
        <v>367</v>
      </c>
      <c r="G473" s="152"/>
      <c r="H473" s="152"/>
      <c r="I473" s="152"/>
      <c r="J473" s="152">
        <v>1899</v>
      </c>
      <c r="K473" s="152">
        <v>12</v>
      </c>
    </row>
    <row r="474" spans="1:11" ht="13.5" customHeight="1" x14ac:dyDescent="0.15">
      <c r="A474" s="141"/>
      <c r="B474" s="148">
        <v>471</v>
      </c>
      <c r="C474" s="163"/>
      <c r="D474" s="151"/>
      <c r="E474" s="151" t="s">
        <v>367</v>
      </c>
      <c r="F474" s="151" t="s">
        <v>367</v>
      </c>
      <c r="G474" s="151"/>
      <c r="H474" s="151"/>
      <c r="I474" s="151"/>
      <c r="J474" s="151">
        <v>1899</v>
      </c>
      <c r="K474" s="151">
        <v>12</v>
      </c>
    </row>
    <row r="475" spans="1:11" ht="13.5" customHeight="1" x14ac:dyDescent="0.15">
      <c r="A475" s="141"/>
      <c r="B475" s="148">
        <v>472</v>
      </c>
      <c r="C475" s="164"/>
      <c r="D475" s="152"/>
      <c r="E475" s="152" t="s">
        <v>367</v>
      </c>
      <c r="F475" s="152" t="s">
        <v>367</v>
      </c>
      <c r="G475" s="152"/>
      <c r="H475" s="152"/>
      <c r="I475" s="152"/>
      <c r="J475" s="152">
        <v>1899</v>
      </c>
      <c r="K475" s="152">
        <v>12</v>
      </c>
    </row>
    <row r="476" spans="1:11" ht="13.5" customHeight="1" x14ac:dyDescent="0.15">
      <c r="A476" s="141"/>
      <c r="B476" s="148">
        <v>473</v>
      </c>
      <c r="C476" s="163"/>
      <c r="D476" s="151"/>
      <c r="E476" s="151" t="s">
        <v>367</v>
      </c>
      <c r="F476" s="151" t="s">
        <v>367</v>
      </c>
      <c r="G476" s="151"/>
      <c r="H476" s="151"/>
      <c r="I476" s="151"/>
      <c r="J476" s="151">
        <v>1899</v>
      </c>
      <c r="K476" s="151">
        <v>12</v>
      </c>
    </row>
    <row r="477" spans="1:11" ht="13.5" customHeight="1" x14ac:dyDescent="0.15">
      <c r="A477" s="141"/>
      <c r="B477" s="148">
        <v>474</v>
      </c>
      <c r="C477" s="164"/>
      <c r="D477" s="152"/>
      <c r="E477" s="152" t="s">
        <v>367</v>
      </c>
      <c r="F477" s="152" t="s">
        <v>367</v>
      </c>
      <c r="G477" s="152"/>
      <c r="H477" s="152"/>
      <c r="I477" s="152"/>
      <c r="J477" s="152">
        <v>1899</v>
      </c>
      <c r="K477" s="152">
        <v>12</v>
      </c>
    </row>
    <row r="478" spans="1:11" ht="13.5" customHeight="1" x14ac:dyDescent="0.15">
      <c r="A478" s="141"/>
      <c r="B478" s="148">
        <v>475</v>
      </c>
      <c r="C478" s="163"/>
      <c r="D478" s="151"/>
      <c r="E478" s="151" t="s">
        <v>367</v>
      </c>
      <c r="F478" s="151" t="s">
        <v>367</v>
      </c>
      <c r="G478" s="151"/>
      <c r="H478" s="151"/>
      <c r="I478" s="151"/>
      <c r="J478" s="151">
        <v>1899</v>
      </c>
      <c r="K478" s="151">
        <v>12</v>
      </c>
    </row>
    <row r="479" spans="1:11" ht="13.5" customHeight="1" x14ac:dyDescent="0.15">
      <c r="A479" s="141"/>
      <c r="B479" s="148">
        <v>476</v>
      </c>
      <c r="C479" s="164"/>
      <c r="D479" s="152"/>
      <c r="E479" s="152" t="s">
        <v>367</v>
      </c>
      <c r="F479" s="152" t="s">
        <v>367</v>
      </c>
      <c r="G479" s="152"/>
      <c r="H479" s="152"/>
      <c r="I479" s="152"/>
      <c r="J479" s="152">
        <v>1899</v>
      </c>
      <c r="K479" s="152">
        <v>12</v>
      </c>
    </row>
    <row r="480" spans="1:11" ht="13.5" customHeight="1" x14ac:dyDescent="0.15">
      <c r="A480" s="141"/>
      <c r="B480" s="148">
        <v>477</v>
      </c>
      <c r="C480" s="163"/>
      <c r="D480" s="151"/>
      <c r="E480" s="151" t="s">
        <v>367</v>
      </c>
      <c r="F480" s="151" t="s">
        <v>367</v>
      </c>
      <c r="G480" s="151"/>
      <c r="H480" s="151"/>
      <c r="I480" s="151"/>
      <c r="J480" s="151">
        <v>1899</v>
      </c>
      <c r="K480" s="151">
        <v>12</v>
      </c>
    </row>
    <row r="481" spans="1:11" ht="13.5" customHeight="1" x14ac:dyDescent="0.15">
      <c r="A481" s="141"/>
      <c r="B481" s="148">
        <v>478</v>
      </c>
      <c r="C481" s="164"/>
      <c r="D481" s="152"/>
      <c r="E481" s="152" t="s">
        <v>367</v>
      </c>
      <c r="F481" s="152" t="s">
        <v>367</v>
      </c>
      <c r="G481" s="152"/>
      <c r="H481" s="152"/>
      <c r="I481" s="152"/>
      <c r="J481" s="152">
        <v>1899</v>
      </c>
      <c r="K481" s="152">
        <v>12</v>
      </c>
    </row>
    <row r="482" spans="1:11" ht="13.5" customHeight="1" x14ac:dyDescent="0.15">
      <c r="A482" s="141"/>
      <c r="B482" s="148">
        <v>479</v>
      </c>
      <c r="C482" s="163"/>
      <c r="D482" s="151"/>
      <c r="E482" s="151" t="s">
        <v>367</v>
      </c>
      <c r="F482" s="151" t="s">
        <v>367</v>
      </c>
      <c r="G482" s="151"/>
      <c r="H482" s="151"/>
      <c r="I482" s="151"/>
      <c r="J482" s="151">
        <v>1899</v>
      </c>
      <c r="K482" s="151">
        <v>12</v>
      </c>
    </row>
    <row r="483" spans="1:11" ht="13.5" customHeight="1" x14ac:dyDescent="0.15">
      <c r="A483" s="141"/>
      <c r="B483" s="148">
        <v>480</v>
      </c>
      <c r="C483" s="164"/>
      <c r="D483" s="152"/>
      <c r="E483" s="152" t="s">
        <v>367</v>
      </c>
      <c r="F483" s="152" t="s">
        <v>367</v>
      </c>
      <c r="G483" s="152"/>
      <c r="H483" s="152"/>
      <c r="I483" s="152"/>
      <c r="J483" s="152">
        <v>1899</v>
      </c>
      <c r="K483" s="152">
        <v>12</v>
      </c>
    </row>
    <row r="484" spans="1:11" ht="13.5" customHeight="1" x14ac:dyDescent="0.15">
      <c r="A484" s="141"/>
      <c r="B484" s="148">
        <v>481</v>
      </c>
      <c r="C484" s="163"/>
      <c r="D484" s="151"/>
      <c r="E484" s="151" t="s">
        <v>367</v>
      </c>
      <c r="F484" s="151" t="s">
        <v>367</v>
      </c>
      <c r="G484" s="151"/>
      <c r="H484" s="151"/>
      <c r="I484" s="151"/>
      <c r="J484" s="151">
        <v>1899</v>
      </c>
      <c r="K484" s="151">
        <v>12</v>
      </c>
    </row>
    <row r="485" spans="1:11" ht="13.5" customHeight="1" x14ac:dyDescent="0.15">
      <c r="A485" s="141"/>
      <c r="B485" s="148">
        <v>482</v>
      </c>
      <c r="C485" s="164"/>
      <c r="D485" s="152"/>
      <c r="E485" s="152" t="s">
        <v>367</v>
      </c>
      <c r="F485" s="152" t="s">
        <v>367</v>
      </c>
      <c r="G485" s="152"/>
      <c r="H485" s="152"/>
      <c r="I485" s="152"/>
      <c r="J485" s="152">
        <v>1899</v>
      </c>
      <c r="K485" s="152">
        <v>12</v>
      </c>
    </row>
    <row r="486" spans="1:11" ht="13.5" customHeight="1" x14ac:dyDescent="0.15">
      <c r="A486" s="141"/>
      <c r="B486" s="148">
        <v>483</v>
      </c>
      <c r="C486" s="163"/>
      <c r="D486" s="151"/>
      <c r="E486" s="151" t="s">
        <v>367</v>
      </c>
      <c r="F486" s="151" t="s">
        <v>367</v>
      </c>
      <c r="G486" s="151"/>
      <c r="H486" s="151"/>
      <c r="I486" s="151"/>
      <c r="J486" s="151">
        <v>1899</v>
      </c>
      <c r="K486" s="151">
        <v>12</v>
      </c>
    </row>
    <row r="487" spans="1:11" ht="13.5" customHeight="1" x14ac:dyDescent="0.15">
      <c r="A487" s="141"/>
      <c r="B487" s="148">
        <v>484</v>
      </c>
      <c r="C487" s="164"/>
      <c r="D487" s="152"/>
      <c r="E487" s="152" t="s">
        <v>367</v>
      </c>
      <c r="F487" s="152" t="s">
        <v>367</v>
      </c>
      <c r="G487" s="152"/>
      <c r="H487" s="152"/>
      <c r="I487" s="152"/>
      <c r="J487" s="152">
        <v>1899</v>
      </c>
      <c r="K487" s="152">
        <v>12</v>
      </c>
    </row>
    <row r="488" spans="1:11" ht="13.5" customHeight="1" x14ac:dyDescent="0.15">
      <c r="A488" s="141"/>
      <c r="B488" s="148">
        <v>485</v>
      </c>
      <c r="C488" s="163"/>
      <c r="D488" s="151"/>
      <c r="E488" s="151" t="s">
        <v>367</v>
      </c>
      <c r="F488" s="151" t="s">
        <v>367</v>
      </c>
      <c r="G488" s="151"/>
      <c r="H488" s="151"/>
      <c r="I488" s="151"/>
      <c r="J488" s="151">
        <v>1899</v>
      </c>
      <c r="K488" s="151">
        <v>12</v>
      </c>
    </row>
    <row r="489" spans="1:11" ht="13.5" customHeight="1" x14ac:dyDescent="0.15">
      <c r="A489" s="141"/>
      <c r="B489" s="148">
        <v>486</v>
      </c>
      <c r="C489" s="164"/>
      <c r="D489" s="152"/>
      <c r="E489" s="152" t="s">
        <v>367</v>
      </c>
      <c r="F489" s="152" t="s">
        <v>367</v>
      </c>
      <c r="G489" s="152"/>
      <c r="H489" s="152"/>
      <c r="I489" s="152"/>
      <c r="J489" s="152">
        <v>1899</v>
      </c>
      <c r="K489" s="152">
        <v>12</v>
      </c>
    </row>
    <row r="490" spans="1:11" ht="13.5" customHeight="1" x14ac:dyDescent="0.15">
      <c r="A490" s="141"/>
      <c r="B490" s="148">
        <v>487</v>
      </c>
      <c r="C490" s="163"/>
      <c r="D490" s="151"/>
      <c r="E490" s="151" t="s">
        <v>367</v>
      </c>
      <c r="F490" s="151" t="s">
        <v>367</v>
      </c>
      <c r="G490" s="151"/>
      <c r="H490" s="151"/>
      <c r="I490" s="151"/>
      <c r="J490" s="151">
        <v>1899</v>
      </c>
      <c r="K490" s="151">
        <v>12</v>
      </c>
    </row>
    <row r="491" spans="1:11" ht="13.5" customHeight="1" x14ac:dyDescent="0.15">
      <c r="A491" s="141"/>
      <c r="B491" s="148">
        <v>488</v>
      </c>
      <c r="C491" s="164"/>
      <c r="D491" s="152"/>
      <c r="E491" s="152" t="s">
        <v>367</v>
      </c>
      <c r="F491" s="152" t="s">
        <v>367</v>
      </c>
      <c r="G491" s="152"/>
      <c r="H491" s="152"/>
      <c r="I491" s="152"/>
      <c r="J491" s="152">
        <v>1899</v>
      </c>
      <c r="K491" s="152">
        <v>12</v>
      </c>
    </row>
    <row r="492" spans="1:11" ht="13.5" customHeight="1" x14ac:dyDescent="0.15">
      <c r="A492" s="141"/>
      <c r="B492" s="148">
        <v>489</v>
      </c>
      <c r="C492" s="163"/>
      <c r="D492" s="151"/>
      <c r="E492" s="151" t="s">
        <v>367</v>
      </c>
      <c r="F492" s="151" t="s">
        <v>367</v>
      </c>
      <c r="G492" s="151"/>
      <c r="H492" s="151"/>
      <c r="I492" s="151"/>
      <c r="J492" s="151">
        <v>1899</v>
      </c>
      <c r="K492" s="151">
        <v>12</v>
      </c>
    </row>
    <row r="493" spans="1:11" ht="13.5" customHeight="1" x14ac:dyDescent="0.15">
      <c r="A493" s="141"/>
      <c r="B493" s="148">
        <v>490</v>
      </c>
      <c r="C493" s="164"/>
      <c r="D493" s="152"/>
      <c r="E493" s="152" t="s">
        <v>367</v>
      </c>
      <c r="F493" s="152" t="s">
        <v>367</v>
      </c>
      <c r="G493" s="152"/>
      <c r="H493" s="152"/>
      <c r="I493" s="152"/>
      <c r="J493" s="152">
        <v>1899</v>
      </c>
      <c r="K493" s="152">
        <v>12</v>
      </c>
    </row>
    <row r="494" spans="1:11" ht="13.5" customHeight="1" x14ac:dyDescent="0.15">
      <c r="A494" s="141"/>
      <c r="B494" s="148">
        <v>491</v>
      </c>
      <c r="C494" s="163"/>
      <c r="D494" s="151"/>
      <c r="E494" s="151" t="s">
        <v>367</v>
      </c>
      <c r="F494" s="151" t="s">
        <v>367</v>
      </c>
      <c r="G494" s="151"/>
      <c r="H494" s="151"/>
      <c r="I494" s="151"/>
      <c r="J494" s="151">
        <v>1899</v>
      </c>
      <c r="K494" s="151">
        <v>12</v>
      </c>
    </row>
    <row r="495" spans="1:11" ht="13.5" customHeight="1" x14ac:dyDescent="0.15">
      <c r="A495" s="141"/>
      <c r="B495" s="148">
        <v>492</v>
      </c>
      <c r="C495" s="164"/>
      <c r="D495" s="152"/>
      <c r="E495" s="152" t="s">
        <v>367</v>
      </c>
      <c r="F495" s="152" t="s">
        <v>367</v>
      </c>
      <c r="G495" s="152"/>
      <c r="H495" s="152"/>
      <c r="I495" s="152"/>
      <c r="J495" s="152">
        <v>1899</v>
      </c>
      <c r="K495" s="152">
        <v>12</v>
      </c>
    </row>
    <row r="496" spans="1:11" ht="13.5" customHeight="1" x14ac:dyDescent="0.15">
      <c r="A496" s="141"/>
      <c r="B496" s="148">
        <v>493</v>
      </c>
      <c r="C496" s="163"/>
      <c r="D496" s="151"/>
      <c r="E496" s="151" t="s">
        <v>367</v>
      </c>
      <c r="F496" s="151" t="s">
        <v>367</v>
      </c>
      <c r="G496" s="151"/>
      <c r="H496" s="151"/>
      <c r="I496" s="151"/>
      <c r="J496" s="151">
        <v>1899</v>
      </c>
      <c r="K496" s="151">
        <v>12</v>
      </c>
    </row>
    <row r="497" spans="1:11" ht="13.5" customHeight="1" x14ac:dyDescent="0.15">
      <c r="A497" s="141"/>
      <c r="B497" s="148">
        <v>494</v>
      </c>
      <c r="C497" s="164"/>
      <c r="D497" s="152"/>
      <c r="E497" s="152" t="s">
        <v>367</v>
      </c>
      <c r="F497" s="152" t="s">
        <v>367</v>
      </c>
      <c r="G497" s="152"/>
      <c r="H497" s="152"/>
      <c r="I497" s="152"/>
      <c r="J497" s="152">
        <v>1899</v>
      </c>
      <c r="K497" s="152">
        <v>12</v>
      </c>
    </row>
    <row r="498" spans="1:11" ht="13.5" customHeight="1" x14ac:dyDescent="0.15">
      <c r="A498" s="141"/>
      <c r="B498" s="148">
        <v>495</v>
      </c>
      <c r="C498" s="163"/>
      <c r="D498" s="151"/>
      <c r="E498" s="151" t="s">
        <v>367</v>
      </c>
      <c r="F498" s="151" t="s">
        <v>367</v>
      </c>
      <c r="G498" s="151"/>
      <c r="H498" s="151"/>
      <c r="I498" s="151"/>
      <c r="J498" s="151">
        <v>1899</v>
      </c>
      <c r="K498" s="151">
        <v>12</v>
      </c>
    </row>
    <row r="499" spans="1:11" ht="13.5" customHeight="1" x14ac:dyDescent="0.15">
      <c r="A499" s="141"/>
      <c r="B499" s="148">
        <v>496</v>
      </c>
      <c r="C499" s="164"/>
      <c r="D499" s="152"/>
      <c r="E499" s="152" t="s">
        <v>367</v>
      </c>
      <c r="F499" s="152" t="s">
        <v>367</v>
      </c>
      <c r="G499" s="152"/>
      <c r="H499" s="152"/>
      <c r="I499" s="152"/>
      <c r="J499" s="152">
        <v>1899</v>
      </c>
      <c r="K499" s="152">
        <v>12</v>
      </c>
    </row>
    <row r="500" spans="1:11" ht="13.5" customHeight="1" x14ac:dyDescent="0.15">
      <c r="A500" s="141"/>
      <c r="B500" s="148">
        <v>497</v>
      </c>
      <c r="C500" s="163"/>
      <c r="D500" s="151"/>
      <c r="E500" s="151" t="s">
        <v>367</v>
      </c>
      <c r="F500" s="151" t="s">
        <v>367</v>
      </c>
      <c r="G500" s="151"/>
      <c r="H500" s="151"/>
      <c r="I500" s="151"/>
      <c r="J500" s="151">
        <v>1899</v>
      </c>
      <c r="K500" s="151">
        <v>12</v>
      </c>
    </row>
    <row r="501" spans="1:11" ht="13.5" customHeight="1" x14ac:dyDescent="0.15">
      <c r="A501" s="141"/>
      <c r="B501" s="148">
        <v>498</v>
      </c>
      <c r="C501" s="164"/>
      <c r="D501" s="152"/>
      <c r="E501" s="152" t="s">
        <v>367</v>
      </c>
      <c r="F501" s="152" t="s">
        <v>367</v>
      </c>
      <c r="G501" s="152"/>
      <c r="H501" s="152"/>
      <c r="I501" s="152"/>
      <c r="J501" s="152">
        <v>1899</v>
      </c>
      <c r="K501" s="152">
        <v>12</v>
      </c>
    </row>
    <row r="502" spans="1:11" ht="13.5" customHeight="1" x14ac:dyDescent="0.15">
      <c r="A502" s="141"/>
      <c r="B502" s="148">
        <v>499</v>
      </c>
      <c r="C502" s="163"/>
      <c r="D502" s="151"/>
      <c r="E502" s="151" t="s">
        <v>367</v>
      </c>
      <c r="F502" s="151" t="s">
        <v>367</v>
      </c>
      <c r="G502" s="151"/>
      <c r="H502" s="151"/>
      <c r="I502" s="151"/>
      <c r="J502" s="151">
        <v>1899</v>
      </c>
      <c r="K502" s="151">
        <v>12</v>
      </c>
    </row>
    <row r="503" spans="1:11" ht="13.5" customHeight="1" x14ac:dyDescent="0.15">
      <c r="A503" s="141"/>
      <c r="B503" s="148">
        <v>500</v>
      </c>
      <c r="C503" s="164"/>
      <c r="D503" s="152"/>
      <c r="E503" s="152" t="s">
        <v>367</v>
      </c>
      <c r="F503" s="152" t="s">
        <v>367</v>
      </c>
      <c r="G503" s="152"/>
      <c r="H503" s="152"/>
      <c r="I503" s="152"/>
      <c r="J503" s="152">
        <v>1899</v>
      </c>
      <c r="K503" s="152">
        <v>12</v>
      </c>
    </row>
    <row r="504" spans="1:11" ht="13.5" customHeight="1" x14ac:dyDescent="0.15">
      <c r="A504" s="141"/>
      <c r="B504" s="148">
        <v>501</v>
      </c>
      <c r="C504" s="163"/>
      <c r="D504" s="151"/>
      <c r="E504" s="151" t="s">
        <v>367</v>
      </c>
      <c r="F504" s="151" t="s">
        <v>367</v>
      </c>
      <c r="G504" s="151"/>
      <c r="H504" s="151"/>
      <c r="I504" s="151"/>
      <c r="J504" s="151">
        <v>1899</v>
      </c>
      <c r="K504" s="151">
        <v>12</v>
      </c>
    </row>
    <row r="505" spans="1:11" ht="13.5" customHeight="1" x14ac:dyDescent="0.15">
      <c r="A505" s="141"/>
      <c r="B505" s="148">
        <v>502</v>
      </c>
      <c r="C505" s="164"/>
      <c r="D505" s="152"/>
      <c r="E505" s="152" t="s">
        <v>367</v>
      </c>
      <c r="F505" s="152" t="s">
        <v>367</v>
      </c>
      <c r="G505" s="152"/>
      <c r="H505" s="152"/>
      <c r="I505" s="152"/>
      <c r="J505" s="152">
        <v>1899</v>
      </c>
      <c r="K505" s="152">
        <v>12</v>
      </c>
    </row>
    <row r="506" spans="1:11" ht="13.5" customHeight="1" x14ac:dyDescent="0.15">
      <c r="A506" s="141"/>
      <c r="B506" s="148">
        <v>503</v>
      </c>
      <c r="C506" s="163"/>
      <c r="D506" s="151"/>
      <c r="E506" s="151" t="s">
        <v>367</v>
      </c>
      <c r="F506" s="151" t="s">
        <v>367</v>
      </c>
      <c r="G506" s="151"/>
      <c r="H506" s="151"/>
      <c r="I506" s="151"/>
      <c r="J506" s="151">
        <v>1899</v>
      </c>
      <c r="K506" s="151">
        <v>12</v>
      </c>
    </row>
    <row r="507" spans="1:11" ht="13.5" customHeight="1" x14ac:dyDescent="0.15">
      <c r="A507" s="141"/>
      <c r="B507" s="148">
        <v>504</v>
      </c>
      <c r="C507" s="164"/>
      <c r="D507" s="152"/>
      <c r="E507" s="152" t="s">
        <v>367</v>
      </c>
      <c r="F507" s="152" t="s">
        <v>367</v>
      </c>
      <c r="G507" s="152"/>
      <c r="H507" s="152"/>
      <c r="I507" s="152"/>
      <c r="J507" s="152">
        <v>1899</v>
      </c>
      <c r="K507" s="152">
        <v>12</v>
      </c>
    </row>
    <row r="508" spans="1:11" ht="13.5" customHeight="1" x14ac:dyDescent="0.15">
      <c r="A508" s="141"/>
      <c r="B508" s="148">
        <v>505</v>
      </c>
      <c r="C508" s="163"/>
      <c r="D508" s="151"/>
      <c r="E508" s="151" t="s">
        <v>367</v>
      </c>
      <c r="F508" s="151" t="s">
        <v>367</v>
      </c>
      <c r="G508" s="151"/>
      <c r="H508" s="151"/>
      <c r="I508" s="151"/>
      <c r="J508" s="151">
        <v>1899</v>
      </c>
      <c r="K508" s="151">
        <v>12</v>
      </c>
    </row>
    <row r="509" spans="1:11" ht="13.5" customHeight="1" x14ac:dyDescent="0.15">
      <c r="A509" s="141"/>
      <c r="B509" s="148">
        <v>506</v>
      </c>
      <c r="C509" s="164"/>
      <c r="D509" s="152"/>
      <c r="E509" s="152" t="s">
        <v>367</v>
      </c>
      <c r="F509" s="152" t="s">
        <v>367</v>
      </c>
      <c r="G509" s="152"/>
      <c r="H509" s="152"/>
      <c r="I509" s="152"/>
      <c r="J509" s="152">
        <v>1899</v>
      </c>
      <c r="K509" s="152">
        <v>12</v>
      </c>
    </row>
    <row r="510" spans="1:11" ht="13.5" customHeight="1" x14ac:dyDescent="0.15">
      <c r="A510" s="141"/>
      <c r="B510" s="148">
        <v>507</v>
      </c>
      <c r="C510" s="163"/>
      <c r="D510" s="151"/>
      <c r="E510" s="151" t="s">
        <v>367</v>
      </c>
      <c r="F510" s="151" t="s">
        <v>367</v>
      </c>
      <c r="G510" s="151"/>
      <c r="H510" s="151"/>
      <c r="I510" s="151"/>
      <c r="J510" s="151">
        <v>1899</v>
      </c>
      <c r="K510" s="151">
        <v>12</v>
      </c>
    </row>
    <row r="511" spans="1:11" ht="13.5" customHeight="1" x14ac:dyDescent="0.15">
      <c r="A511" s="141"/>
      <c r="B511" s="148">
        <v>508</v>
      </c>
      <c r="C511" s="164"/>
      <c r="D511" s="152"/>
      <c r="E511" s="152" t="s">
        <v>367</v>
      </c>
      <c r="F511" s="152" t="s">
        <v>367</v>
      </c>
      <c r="G511" s="152"/>
      <c r="H511" s="152"/>
      <c r="I511" s="152"/>
      <c r="J511" s="152">
        <v>1899</v>
      </c>
      <c r="K511" s="152">
        <v>12</v>
      </c>
    </row>
    <row r="512" spans="1:11" ht="13.5" customHeight="1" x14ac:dyDescent="0.15">
      <c r="A512" s="141"/>
      <c r="B512" s="148">
        <v>509</v>
      </c>
      <c r="C512" s="163"/>
      <c r="D512" s="151"/>
      <c r="E512" s="151" t="s">
        <v>367</v>
      </c>
      <c r="F512" s="151" t="s">
        <v>367</v>
      </c>
      <c r="G512" s="151"/>
      <c r="H512" s="151"/>
      <c r="I512" s="151"/>
      <c r="J512" s="151">
        <v>1899</v>
      </c>
      <c r="K512" s="151">
        <v>12</v>
      </c>
    </row>
    <row r="513" spans="1:11" ht="13.5" customHeight="1" x14ac:dyDescent="0.15">
      <c r="A513" s="141"/>
      <c r="B513" s="148">
        <v>510</v>
      </c>
      <c r="C513" s="164"/>
      <c r="D513" s="152"/>
      <c r="E513" s="152" t="s">
        <v>367</v>
      </c>
      <c r="F513" s="152" t="s">
        <v>367</v>
      </c>
      <c r="G513" s="152"/>
      <c r="H513" s="152"/>
      <c r="I513" s="152"/>
      <c r="J513" s="152">
        <v>1899</v>
      </c>
      <c r="K513" s="152">
        <v>12</v>
      </c>
    </row>
    <row r="514" spans="1:11" ht="13.5" customHeight="1" x14ac:dyDescent="0.15">
      <c r="A514" s="141"/>
      <c r="B514" s="148">
        <v>511</v>
      </c>
      <c r="C514" s="163"/>
      <c r="D514" s="151"/>
      <c r="E514" s="151" t="s">
        <v>367</v>
      </c>
      <c r="F514" s="151" t="s">
        <v>367</v>
      </c>
      <c r="G514" s="151"/>
      <c r="H514" s="151"/>
      <c r="I514" s="151"/>
      <c r="J514" s="151">
        <v>1899</v>
      </c>
      <c r="K514" s="151">
        <v>12</v>
      </c>
    </row>
    <row r="515" spans="1:11" ht="13.5" customHeight="1" x14ac:dyDescent="0.15">
      <c r="A515" s="141"/>
      <c r="B515" s="148">
        <v>512</v>
      </c>
      <c r="C515" s="164"/>
      <c r="D515" s="152"/>
      <c r="E515" s="152" t="s">
        <v>367</v>
      </c>
      <c r="F515" s="152" t="s">
        <v>367</v>
      </c>
      <c r="G515" s="152"/>
      <c r="H515" s="152"/>
      <c r="I515" s="152"/>
      <c r="J515" s="152">
        <v>1899</v>
      </c>
      <c r="K515" s="152">
        <v>12</v>
      </c>
    </row>
    <row r="516" spans="1:11" ht="13.5" customHeight="1" x14ac:dyDescent="0.15">
      <c r="A516" s="141"/>
      <c r="B516" s="148">
        <v>513</v>
      </c>
      <c r="C516" s="163"/>
      <c r="D516" s="151"/>
      <c r="E516" s="151" t="s">
        <v>367</v>
      </c>
      <c r="F516" s="151" t="s">
        <v>367</v>
      </c>
      <c r="G516" s="151"/>
      <c r="H516" s="151"/>
      <c r="I516" s="151"/>
      <c r="J516" s="151">
        <v>1899</v>
      </c>
      <c r="K516" s="151">
        <v>12</v>
      </c>
    </row>
    <row r="517" spans="1:11" ht="13.5" customHeight="1" x14ac:dyDescent="0.15">
      <c r="A517" s="141"/>
      <c r="B517" s="148">
        <v>514</v>
      </c>
      <c r="C517" s="164"/>
      <c r="D517" s="152"/>
      <c r="E517" s="152" t="s">
        <v>367</v>
      </c>
      <c r="F517" s="152" t="s">
        <v>367</v>
      </c>
      <c r="G517" s="152"/>
      <c r="H517" s="152"/>
      <c r="I517" s="152"/>
      <c r="J517" s="152">
        <v>1899</v>
      </c>
      <c r="K517" s="152">
        <v>12</v>
      </c>
    </row>
    <row r="518" spans="1:11" ht="13.5" customHeight="1" x14ac:dyDescent="0.15">
      <c r="A518" s="141"/>
      <c r="B518" s="148">
        <v>515</v>
      </c>
      <c r="C518" s="163"/>
      <c r="D518" s="151"/>
      <c r="E518" s="151" t="s">
        <v>367</v>
      </c>
      <c r="F518" s="151" t="s">
        <v>367</v>
      </c>
      <c r="G518" s="151"/>
      <c r="H518" s="151"/>
      <c r="I518" s="151"/>
      <c r="J518" s="151">
        <v>1899</v>
      </c>
      <c r="K518" s="151">
        <v>12</v>
      </c>
    </row>
    <row r="519" spans="1:11" ht="13.5" customHeight="1" x14ac:dyDescent="0.15">
      <c r="A519" s="141"/>
      <c r="B519" s="148">
        <v>516</v>
      </c>
      <c r="C519" s="164"/>
      <c r="D519" s="152"/>
      <c r="E519" s="152" t="s">
        <v>367</v>
      </c>
      <c r="F519" s="152" t="s">
        <v>367</v>
      </c>
      <c r="G519" s="152"/>
      <c r="H519" s="152"/>
      <c r="I519" s="152"/>
      <c r="J519" s="152">
        <v>1899</v>
      </c>
      <c r="K519" s="152">
        <v>12</v>
      </c>
    </row>
    <row r="520" spans="1:11" ht="13.5" customHeight="1" x14ac:dyDescent="0.15">
      <c r="A520" s="141"/>
      <c r="B520" s="148">
        <v>517</v>
      </c>
      <c r="C520" s="163"/>
      <c r="D520" s="151"/>
      <c r="E520" s="151" t="s">
        <v>367</v>
      </c>
      <c r="F520" s="151" t="s">
        <v>367</v>
      </c>
      <c r="G520" s="151"/>
      <c r="H520" s="151"/>
      <c r="I520" s="151"/>
      <c r="J520" s="151">
        <v>1899</v>
      </c>
      <c r="K520" s="151">
        <v>12</v>
      </c>
    </row>
    <row r="521" spans="1:11" ht="13.5" customHeight="1" x14ac:dyDescent="0.15">
      <c r="A521" s="141"/>
      <c r="B521" s="148">
        <v>518</v>
      </c>
      <c r="C521" s="164"/>
      <c r="D521" s="152"/>
      <c r="E521" s="152" t="s">
        <v>367</v>
      </c>
      <c r="F521" s="152" t="s">
        <v>367</v>
      </c>
      <c r="G521" s="152"/>
      <c r="H521" s="152"/>
      <c r="I521" s="152"/>
      <c r="J521" s="152">
        <v>1899</v>
      </c>
      <c r="K521" s="152">
        <v>12</v>
      </c>
    </row>
    <row r="522" spans="1:11" ht="13.5" customHeight="1" x14ac:dyDescent="0.15">
      <c r="A522" s="141"/>
      <c r="B522" s="148">
        <v>519</v>
      </c>
      <c r="C522" s="163"/>
      <c r="D522" s="151"/>
      <c r="E522" s="151" t="s">
        <v>367</v>
      </c>
      <c r="F522" s="151" t="s">
        <v>367</v>
      </c>
      <c r="G522" s="151"/>
      <c r="H522" s="151"/>
      <c r="I522" s="151"/>
      <c r="J522" s="151">
        <v>1899</v>
      </c>
      <c r="K522" s="151">
        <v>12</v>
      </c>
    </row>
    <row r="523" spans="1:11" ht="13.5" customHeight="1" x14ac:dyDescent="0.15">
      <c r="A523" s="141"/>
      <c r="B523" s="148">
        <v>520</v>
      </c>
      <c r="C523" s="164"/>
      <c r="D523" s="152"/>
      <c r="E523" s="152" t="s">
        <v>367</v>
      </c>
      <c r="F523" s="152" t="s">
        <v>367</v>
      </c>
      <c r="G523" s="152"/>
      <c r="H523" s="152"/>
      <c r="I523" s="152"/>
      <c r="J523" s="152">
        <v>1899</v>
      </c>
      <c r="K523" s="152">
        <v>12</v>
      </c>
    </row>
    <row r="524" spans="1:11" ht="13.5" customHeight="1" x14ac:dyDescent="0.15">
      <c r="A524" s="141"/>
      <c r="B524" s="148">
        <v>521</v>
      </c>
      <c r="C524" s="163"/>
      <c r="D524" s="151"/>
      <c r="E524" s="151" t="s">
        <v>367</v>
      </c>
      <c r="F524" s="151" t="s">
        <v>367</v>
      </c>
      <c r="G524" s="151"/>
      <c r="H524" s="151"/>
      <c r="I524" s="151"/>
      <c r="J524" s="151">
        <v>1899</v>
      </c>
      <c r="K524" s="151">
        <v>12</v>
      </c>
    </row>
    <row r="525" spans="1:11" ht="13.5" customHeight="1" x14ac:dyDescent="0.15">
      <c r="A525" s="141"/>
      <c r="B525" s="148">
        <v>522</v>
      </c>
      <c r="C525" s="164"/>
      <c r="D525" s="152"/>
      <c r="E525" s="152" t="s">
        <v>367</v>
      </c>
      <c r="F525" s="152" t="s">
        <v>367</v>
      </c>
      <c r="G525" s="152"/>
      <c r="H525" s="152"/>
      <c r="I525" s="152"/>
      <c r="J525" s="152">
        <v>1899</v>
      </c>
      <c r="K525" s="152">
        <v>12</v>
      </c>
    </row>
    <row r="526" spans="1:11" ht="13.5" customHeight="1" x14ac:dyDescent="0.15">
      <c r="A526" s="141"/>
      <c r="B526" s="148">
        <v>523</v>
      </c>
      <c r="C526" s="163"/>
      <c r="D526" s="151"/>
      <c r="E526" s="151" t="s">
        <v>367</v>
      </c>
      <c r="F526" s="151" t="s">
        <v>367</v>
      </c>
      <c r="G526" s="151"/>
      <c r="H526" s="151"/>
      <c r="I526" s="151"/>
      <c r="J526" s="151">
        <v>1899</v>
      </c>
      <c r="K526" s="151">
        <v>12</v>
      </c>
    </row>
    <row r="527" spans="1:11" ht="13.5" customHeight="1" x14ac:dyDescent="0.15">
      <c r="A527" s="141"/>
      <c r="B527" s="148">
        <v>524</v>
      </c>
      <c r="C527" s="164"/>
      <c r="D527" s="152"/>
      <c r="E527" s="152" t="s">
        <v>367</v>
      </c>
      <c r="F527" s="152" t="s">
        <v>367</v>
      </c>
      <c r="G527" s="152"/>
      <c r="H527" s="152"/>
      <c r="I527" s="152"/>
      <c r="J527" s="152">
        <v>1899</v>
      </c>
      <c r="K527" s="152">
        <v>12</v>
      </c>
    </row>
    <row r="528" spans="1:11" ht="13.5" customHeight="1" x14ac:dyDescent="0.15">
      <c r="A528" s="141"/>
      <c r="B528" s="148">
        <v>525</v>
      </c>
      <c r="C528" s="163"/>
      <c r="D528" s="151"/>
      <c r="E528" s="151" t="s">
        <v>367</v>
      </c>
      <c r="F528" s="151" t="s">
        <v>367</v>
      </c>
      <c r="G528" s="151"/>
      <c r="H528" s="151"/>
      <c r="I528" s="151"/>
      <c r="J528" s="151">
        <v>1899</v>
      </c>
      <c r="K528" s="151">
        <v>12</v>
      </c>
    </row>
    <row r="529" spans="1:11" ht="13.5" customHeight="1" x14ac:dyDescent="0.15">
      <c r="A529" s="141"/>
      <c r="B529" s="148">
        <v>526</v>
      </c>
      <c r="C529" s="164"/>
      <c r="D529" s="152"/>
      <c r="E529" s="152" t="s">
        <v>367</v>
      </c>
      <c r="F529" s="152" t="s">
        <v>367</v>
      </c>
      <c r="G529" s="152"/>
      <c r="H529" s="152"/>
      <c r="I529" s="152"/>
      <c r="J529" s="152">
        <v>1899</v>
      </c>
      <c r="K529" s="152">
        <v>12</v>
      </c>
    </row>
    <row r="530" spans="1:11" ht="13.5" customHeight="1" x14ac:dyDescent="0.15">
      <c r="A530" s="141"/>
      <c r="B530" s="148">
        <v>527</v>
      </c>
      <c r="C530" s="163"/>
      <c r="D530" s="151"/>
      <c r="E530" s="151" t="s">
        <v>367</v>
      </c>
      <c r="F530" s="151" t="s">
        <v>367</v>
      </c>
      <c r="G530" s="151"/>
      <c r="H530" s="151"/>
      <c r="I530" s="151"/>
      <c r="J530" s="151">
        <v>1899</v>
      </c>
      <c r="K530" s="151">
        <v>12</v>
      </c>
    </row>
    <row r="531" spans="1:11" ht="13.5" customHeight="1" x14ac:dyDescent="0.15">
      <c r="A531" s="141"/>
      <c r="B531" s="148">
        <v>528</v>
      </c>
      <c r="C531" s="164"/>
      <c r="D531" s="152"/>
      <c r="E531" s="152" t="s">
        <v>367</v>
      </c>
      <c r="F531" s="152" t="s">
        <v>367</v>
      </c>
      <c r="G531" s="152"/>
      <c r="H531" s="152"/>
      <c r="I531" s="152"/>
      <c r="J531" s="152">
        <v>1899</v>
      </c>
      <c r="K531" s="152">
        <v>12</v>
      </c>
    </row>
    <row r="532" spans="1:11" ht="13.5" customHeight="1" x14ac:dyDescent="0.15">
      <c r="A532" s="141"/>
      <c r="B532" s="148">
        <v>529</v>
      </c>
      <c r="C532" s="163"/>
      <c r="D532" s="151"/>
      <c r="E532" s="151" t="s">
        <v>367</v>
      </c>
      <c r="F532" s="151" t="s">
        <v>367</v>
      </c>
      <c r="G532" s="151"/>
      <c r="H532" s="151"/>
      <c r="I532" s="151"/>
      <c r="J532" s="151">
        <v>1899</v>
      </c>
      <c r="K532" s="151">
        <v>12</v>
      </c>
    </row>
    <row r="533" spans="1:11" ht="13.5" customHeight="1" x14ac:dyDescent="0.15">
      <c r="A533" s="141"/>
      <c r="B533" s="148">
        <v>530</v>
      </c>
      <c r="C533" s="164"/>
      <c r="D533" s="152"/>
      <c r="E533" s="152" t="s">
        <v>367</v>
      </c>
      <c r="F533" s="152" t="s">
        <v>367</v>
      </c>
      <c r="G533" s="152"/>
      <c r="H533" s="152"/>
      <c r="I533" s="152"/>
      <c r="J533" s="152">
        <v>1899</v>
      </c>
      <c r="K533" s="152">
        <v>12</v>
      </c>
    </row>
    <row r="534" spans="1:11" ht="13.5" customHeight="1" x14ac:dyDescent="0.15">
      <c r="A534" s="141"/>
      <c r="B534" s="148">
        <v>531</v>
      </c>
      <c r="C534" s="163"/>
      <c r="D534" s="151"/>
      <c r="E534" s="151" t="s">
        <v>367</v>
      </c>
      <c r="F534" s="151" t="s">
        <v>367</v>
      </c>
      <c r="G534" s="151"/>
      <c r="H534" s="151"/>
      <c r="I534" s="151"/>
      <c r="J534" s="151">
        <v>1899</v>
      </c>
      <c r="K534" s="151">
        <v>12</v>
      </c>
    </row>
    <row r="535" spans="1:11" ht="13.5" customHeight="1" x14ac:dyDescent="0.15">
      <c r="A535" s="141"/>
      <c r="B535" s="148">
        <v>532</v>
      </c>
      <c r="C535" s="164"/>
      <c r="D535" s="152"/>
      <c r="E535" s="152" t="s">
        <v>367</v>
      </c>
      <c r="F535" s="152" t="s">
        <v>367</v>
      </c>
      <c r="G535" s="152"/>
      <c r="H535" s="152"/>
      <c r="I535" s="152"/>
      <c r="J535" s="152">
        <v>1899</v>
      </c>
      <c r="K535" s="152">
        <v>12</v>
      </c>
    </row>
    <row r="536" spans="1:11" ht="13.5" customHeight="1" x14ac:dyDescent="0.15">
      <c r="A536" s="141"/>
      <c r="B536" s="148">
        <v>533</v>
      </c>
      <c r="C536" s="163"/>
      <c r="D536" s="151"/>
      <c r="E536" s="151" t="s">
        <v>367</v>
      </c>
      <c r="F536" s="151" t="s">
        <v>367</v>
      </c>
      <c r="G536" s="151"/>
      <c r="H536" s="151"/>
      <c r="I536" s="151"/>
      <c r="J536" s="151">
        <v>1899</v>
      </c>
      <c r="K536" s="151">
        <v>12</v>
      </c>
    </row>
    <row r="537" spans="1:11" ht="13.5" customHeight="1" x14ac:dyDescent="0.15">
      <c r="A537" s="141"/>
      <c r="B537" s="148">
        <v>534</v>
      </c>
      <c r="C537" s="164"/>
      <c r="D537" s="152"/>
      <c r="E537" s="152" t="s">
        <v>367</v>
      </c>
      <c r="F537" s="152" t="s">
        <v>367</v>
      </c>
      <c r="G537" s="152"/>
      <c r="H537" s="152"/>
      <c r="I537" s="152"/>
      <c r="J537" s="152">
        <v>1899</v>
      </c>
      <c r="K537" s="152">
        <v>12</v>
      </c>
    </row>
    <row r="538" spans="1:11" ht="13.5" customHeight="1" x14ac:dyDescent="0.15">
      <c r="A538" s="141"/>
      <c r="B538" s="148">
        <v>535</v>
      </c>
      <c r="C538" s="163"/>
      <c r="D538" s="151"/>
      <c r="E538" s="151" t="s">
        <v>367</v>
      </c>
      <c r="F538" s="151" t="s">
        <v>367</v>
      </c>
      <c r="G538" s="151"/>
      <c r="H538" s="151"/>
      <c r="I538" s="151"/>
      <c r="J538" s="151">
        <v>1899</v>
      </c>
      <c r="K538" s="151">
        <v>12</v>
      </c>
    </row>
    <row r="539" spans="1:11" ht="13.5" customHeight="1" x14ac:dyDescent="0.15">
      <c r="A539" s="141"/>
      <c r="B539" s="148">
        <v>536</v>
      </c>
      <c r="C539" s="164"/>
      <c r="D539" s="152"/>
      <c r="E539" s="152" t="s">
        <v>367</v>
      </c>
      <c r="F539" s="152" t="s">
        <v>367</v>
      </c>
      <c r="G539" s="152"/>
      <c r="H539" s="152"/>
      <c r="I539" s="152"/>
      <c r="J539" s="152">
        <v>1899</v>
      </c>
      <c r="K539" s="152">
        <v>12</v>
      </c>
    </row>
    <row r="540" spans="1:11" ht="13.5" customHeight="1" x14ac:dyDescent="0.15">
      <c r="A540" s="141"/>
      <c r="B540" s="148">
        <v>537</v>
      </c>
      <c r="C540" s="163"/>
      <c r="D540" s="151"/>
      <c r="E540" s="151" t="s">
        <v>367</v>
      </c>
      <c r="F540" s="151" t="s">
        <v>367</v>
      </c>
      <c r="G540" s="151"/>
      <c r="H540" s="151"/>
      <c r="I540" s="151"/>
      <c r="J540" s="151">
        <v>1899</v>
      </c>
      <c r="K540" s="151">
        <v>12</v>
      </c>
    </row>
    <row r="541" spans="1:11" ht="13.5" customHeight="1" x14ac:dyDescent="0.15">
      <c r="A541" s="141"/>
      <c r="B541" s="148">
        <v>538</v>
      </c>
      <c r="C541" s="164"/>
      <c r="D541" s="152"/>
      <c r="E541" s="152" t="s">
        <v>367</v>
      </c>
      <c r="F541" s="152" t="s">
        <v>367</v>
      </c>
      <c r="G541" s="152"/>
      <c r="H541" s="152"/>
      <c r="I541" s="152"/>
      <c r="J541" s="152">
        <v>1899</v>
      </c>
      <c r="K541" s="152">
        <v>12</v>
      </c>
    </row>
    <row r="542" spans="1:11" ht="13.5" customHeight="1" x14ac:dyDescent="0.15">
      <c r="A542" s="141"/>
      <c r="B542" s="148">
        <v>539</v>
      </c>
      <c r="C542" s="163"/>
      <c r="D542" s="151"/>
      <c r="E542" s="151" t="s">
        <v>367</v>
      </c>
      <c r="F542" s="151" t="s">
        <v>367</v>
      </c>
      <c r="G542" s="151"/>
      <c r="H542" s="151"/>
      <c r="I542" s="151"/>
      <c r="J542" s="151">
        <v>1899</v>
      </c>
      <c r="K542" s="151">
        <v>12</v>
      </c>
    </row>
    <row r="543" spans="1:11" ht="13.5" customHeight="1" x14ac:dyDescent="0.15">
      <c r="A543" s="141"/>
      <c r="B543" s="148">
        <v>540</v>
      </c>
      <c r="C543" s="164"/>
      <c r="D543" s="152"/>
      <c r="E543" s="152" t="s">
        <v>367</v>
      </c>
      <c r="F543" s="152" t="s">
        <v>367</v>
      </c>
      <c r="G543" s="152"/>
      <c r="H543" s="152"/>
      <c r="I543" s="152"/>
      <c r="J543" s="152">
        <v>1899</v>
      </c>
      <c r="K543" s="152">
        <v>12</v>
      </c>
    </row>
    <row r="544" spans="1:11" ht="13.5" customHeight="1" x14ac:dyDescent="0.15">
      <c r="A544" s="141"/>
      <c r="B544" s="148">
        <v>541</v>
      </c>
      <c r="C544" s="163"/>
      <c r="D544" s="151"/>
      <c r="E544" s="151" t="s">
        <v>367</v>
      </c>
      <c r="F544" s="151" t="s">
        <v>367</v>
      </c>
      <c r="G544" s="151"/>
      <c r="H544" s="151"/>
      <c r="I544" s="151"/>
      <c r="J544" s="151">
        <v>1899</v>
      </c>
      <c r="K544" s="151">
        <v>12</v>
      </c>
    </row>
    <row r="545" spans="1:11" ht="13.5" customHeight="1" x14ac:dyDescent="0.15">
      <c r="A545" s="141"/>
      <c r="B545" s="148">
        <v>542</v>
      </c>
      <c r="C545" s="164"/>
      <c r="D545" s="152"/>
      <c r="E545" s="152" t="s">
        <v>367</v>
      </c>
      <c r="F545" s="152" t="s">
        <v>367</v>
      </c>
      <c r="G545" s="152"/>
      <c r="H545" s="152"/>
      <c r="I545" s="152"/>
      <c r="J545" s="152">
        <v>1899</v>
      </c>
      <c r="K545" s="152">
        <v>12</v>
      </c>
    </row>
    <row r="546" spans="1:11" ht="13.5" customHeight="1" x14ac:dyDescent="0.15">
      <c r="A546" s="141"/>
      <c r="B546" s="148">
        <v>543</v>
      </c>
      <c r="C546" s="163"/>
      <c r="D546" s="151"/>
      <c r="E546" s="151" t="s">
        <v>367</v>
      </c>
      <c r="F546" s="151" t="s">
        <v>367</v>
      </c>
      <c r="G546" s="151"/>
      <c r="H546" s="151"/>
      <c r="I546" s="151"/>
      <c r="J546" s="151">
        <v>1899</v>
      </c>
      <c r="K546" s="151">
        <v>12</v>
      </c>
    </row>
    <row r="547" spans="1:11" ht="13.5" customHeight="1" x14ac:dyDescent="0.15">
      <c r="A547" s="141"/>
      <c r="B547" s="148">
        <v>544</v>
      </c>
      <c r="C547" s="164"/>
      <c r="D547" s="152"/>
      <c r="E547" s="152" t="s">
        <v>367</v>
      </c>
      <c r="F547" s="152" t="s">
        <v>367</v>
      </c>
      <c r="G547" s="152"/>
      <c r="H547" s="152"/>
      <c r="I547" s="152"/>
      <c r="J547" s="152">
        <v>1899</v>
      </c>
      <c r="K547" s="152">
        <v>12</v>
      </c>
    </row>
    <row r="548" spans="1:11" ht="13.5" customHeight="1" x14ac:dyDescent="0.15">
      <c r="A548" s="141"/>
      <c r="B548" s="148">
        <v>545</v>
      </c>
      <c r="C548" s="163"/>
      <c r="D548" s="151"/>
      <c r="E548" s="151" t="s">
        <v>367</v>
      </c>
      <c r="F548" s="151" t="s">
        <v>367</v>
      </c>
      <c r="G548" s="151"/>
      <c r="H548" s="151"/>
      <c r="I548" s="151"/>
      <c r="J548" s="151">
        <v>1899</v>
      </c>
      <c r="K548" s="151">
        <v>12</v>
      </c>
    </row>
    <row r="549" spans="1:11" ht="13.5" customHeight="1" x14ac:dyDescent="0.15">
      <c r="A549" s="141"/>
      <c r="B549" s="148">
        <v>546</v>
      </c>
      <c r="C549" s="164"/>
      <c r="D549" s="152"/>
      <c r="E549" s="152" t="s">
        <v>367</v>
      </c>
      <c r="F549" s="152" t="s">
        <v>367</v>
      </c>
      <c r="G549" s="152"/>
      <c r="H549" s="152"/>
      <c r="I549" s="152"/>
      <c r="J549" s="152">
        <v>1899</v>
      </c>
      <c r="K549" s="152">
        <v>12</v>
      </c>
    </row>
    <row r="550" spans="1:11" ht="13.5" customHeight="1" x14ac:dyDescent="0.15">
      <c r="A550" s="141"/>
      <c r="B550" s="148">
        <v>547</v>
      </c>
      <c r="C550" s="163"/>
      <c r="D550" s="151"/>
      <c r="E550" s="151" t="s">
        <v>367</v>
      </c>
      <c r="F550" s="151" t="s">
        <v>367</v>
      </c>
      <c r="G550" s="151"/>
      <c r="H550" s="151"/>
      <c r="I550" s="151"/>
      <c r="J550" s="151">
        <v>1899</v>
      </c>
      <c r="K550" s="151">
        <v>12</v>
      </c>
    </row>
    <row r="551" spans="1:11" ht="13.5" customHeight="1" x14ac:dyDescent="0.15">
      <c r="A551" s="141"/>
      <c r="B551" s="148">
        <v>548</v>
      </c>
      <c r="C551" s="164"/>
      <c r="D551" s="152"/>
      <c r="E551" s="152" t="s">
        <v>367</v>
      </c>
      <c r="F551" s="152" t="s">
        <v>367</v>
      </c>
      <c r="G551" s="152"/>
      <c r="H551" s="152"/>
      <c r="I551" s="152"/>
      <c r="J551" s="152">
        <v>1899</v>
      </c>
      <c r="K551" s="152">
        <v>12</v>
      </c>
    </row>
    <row r="552" spans="1:11" ht="13.5" customHeight="1" x14ac:dyDescent="0.15">
      <c r="A552" s="141"/>
      <c r="B552" s="148">
        <v>549</v>
      </c>
      <c r="C552" s="163"/>
      <c r="D552" s="151"/>
      <c r="E552" s="151" t="s">
        <v>367</v>
      </c>
      <c r="F552" s="151" t="s">
        <v>367</v>
      </c>
      <c r="G552" s="151"/>
      <c r="H552" s="151"/>
      <c r="I552" s="151"/>
      <c r="J552" s="151">
        <v>1899</v>
      </c>
      <c r="K552" s="151">
        <v>12</v>
      </c>
    </row>
    <row r="553" spans="1:11" ht="13.5" customHeight="1" x14ac:dyDescent="0.15">
      <c r="A553" s="141"/>
      <c r="B553" s="148">
        <v>550</v>
      </c>
      <c r="C553" s="164"/>
      <c r="D553" s="152"/>
      <c r="E553" s="152" t="s">
        <v>367</v>
      </c>
      <c r="F553" s="152" t="s">
        <v>367</v>
      </c>
      <c r="G553" s="152"/>
      <c r="H553" s="152"/>
      <c r="I553" s="152"/>
      <c r="J553" s="152">
        <v>1899</v>
      </c>
      <c r="K553" s="152">
        <v>12</v>
      </c>
    </row>
    <row r="554" spans="1:11" ht="13.5" customHeight="1" x14ac:dyDescent="0.15">
      <c r="A554" s="141"/>
      <c r="B554" s="148">
        <v>551</v>
      </c>
      <c r="C554" s="163"/>
      <c r="D554" s="151"/>
      <c r="E554" s="151" t="s">
        <v>367</v>
      </c>
      <c r="F554" s="151" t="s">
        <v>367</v>
      </c>
      <c r="G554" s="151"/>
      <c r="H554" s="151"/>
      <c r="I554" s="151"/>
      <c r="J554" s="151">
        <v>1899</v>
      </c>
      <c r="K554" s="151">
        <v>12</v>
      </c>
    </row>
    <row r="555" spans="1:11" ht="13.5" customHeight="1" x14ac:dyDescent="0.15">
      <c r="A555" s="141"/>
      <c r="B555" s="148">
        <v>552</v>
      </c>
      <c r="C555" s="164"/>
      <c r="D555" s="152"/>
      <c r="E555" s="152" t="s">
        <v>367</v>
      </c>
      <c r="F555" s="152" t="s">
        <v>367</v>
      </c>
      <c r="G555" s="152"/>
      <c r="H555" s="152"/>
      <c r="I555" s="152"/>
      <c r="J555" s="152">
        <v>1899</v>
      </c>
      <c r="K555" s="152">
        <v>12</v>
      </c>
    </row>
    <row r="556" spans="1:11" ht="13.5" customHeight="1" x14ac:dyDescent="0.15">
      <c r="A556" s="141"/>
      <c r="B556" s="148">
        <v>553</v>
      </c>
      <c r="C556" s="163"/>
      <c r="D556" s="151"/>
      <c r="E556" s="151" t="s">
        <v>367</v>
      </c>
      <c r="F556" s="151" t="s">
        <v>367</v>
      </c>
      <c r="G556" s="151"/>
      <c r="H556" s="151"/>
      <c r="I556" s="151"/>
      <c r="J556" s="151">
        <v>1899</v>
      </c>
      <c r="K556" s="151">
        <v>12</v>
      </c>
    </row>
    <row r="557" spans="1:11" ht="13.5" customHeight="1" x14ac:dyDescent="0.15">
      <c r="A557" s="141"/>
      <c r="B557" s="148">
        <v>554</v>
      </c>
      <c r="C557" s="164"/>
      <c r="D557" s="152"/>
      <c r="E557" s="152" t="s">
        <v>367</v>
      </c>
      <c r="F557" s="152" t="s">
        <v>367</v>
      </c>
      <c r="G557" s="152"/>
      <c r="H557" s="152"/>
      <c r="I557" s="152"/>
      <c r="J557" s="152">
        <v>1899</v>
      </c>
      <c r="K557" s="152">
        <v>12</v>
      </c>
    </row>
    <row r="558" spans="1:11" ht="13.5" customHeight="1" x14ac:dyDescent="0.15">
      <c r="A558" s="141"/>
      <c r="B558" s="148">
        <v>555</v>
      </c>
      <c r="C558" s="163"/>
      <c r="D558" s="151"/>
      <c r="E558" s="151" t="s">
        <v>367</v>
      </c>
      <c r="F558" s="151" t="s">
        <v>367</v>
      </c>
      <c r="G558" s="151"/>
      <c r="H558" s="151"/>
      <c r="I558" s="151"/>
      <c r="J558" s="151">
        <v>1899</v>
      </c>
      <c r="K558" s="151">
        <v>12</v>
      </c>
    </row>
    <row r="559" spans="1:11" ht="13.5" customHeight="1" x14ac:dyDescent="0.15">
      <c r="A559" s="141"/>
      <c r="B559" s="148">
        <v>556</v>
      </c>
      <c r="C559" s="164"/>
      <c r="D559" s="152"/>
      <c r="E559" s="152" t="s">
        <v>367</v>
      </c>
      <c r="F559" s="152" t="s">
        <v>367</v>
      </c>
      <c r="G559" s="152"/>
      <c r="H559" s="152"/>
      <c r="I559" s="152"/>
      <c r="J559" s="152">
        <v>1899</v>
      </c>
      <c r="K559" s="152">
        <v>12</v>
      </c>
    </row>
    <row r="560" spans="1:11" ht="13.5" customHeight="1" x14ac:dyDescent="0.15">
      <c r="A560" s="141"/>
      <c r="B560" s="148">
        <v>557</v>
      </c>
      <c r="C560" s="163"/>
      <c r="D560" s="151"/>
      <c r="E560" s="151" t="s">
        <v>367</v>
      </c>
      <c r="F560" s="151" t="s">
        <v>367</v>
      </c>
      <c r="G560" s="151"/>
      <c r="H560" s="151"/>
      <c r="I560" s="151"/>
      <c r="J560" s="151">
        <v>1899</v>
      </c>
      <c r="K560" s="151">
        <v>12</v>
      </c>
    </row>
    <row r="561" spans="1:11" ht="13.5" customHeight="1" x14ac:dyDescent="0.15">
      <c r="A561" s="141"/>
      <c r="B561" s="148">
        <v>558</v>
      </c>
      <c r="C561" s="164"/>
      <c r="D561" s="152"/>
      <c r="E561" s="152" t="s">
        <v>367</v>
      </c>
      <c r="F561" s="152" t="s">
        <v>367</v>
      </c>
      <c r="G561" s="152"/>
      <c r="H561" s="152"/>
      <c r="I561" s="152"/>
      <c r="J561" s="152">
        <v>1899</v>
      </c>
      <c r="K561" s="152">
        <v>12</v>
      </c>
    </row>
    <row r="562" spans="1:11" ht="13.5" customHeight="1" x14ac:dyDescent="0.15">
      <c r="A562" s="141"/>
      <c r="B562" s="148">
        <v>559</v>
      </c>
      <c r="C562" s="163"/>
      <c r="D562" s="151"/>
      <c r="E562" s="151" t="s">
        <v>367</v>
      </c>
      <c r="F562" s="151" t="s">
        <v>367</v>
      </c>
      <c r="G562" s="151"/>
      <c r="H562" s="151"/>
      <c r="I562" s="151"/>
      <c r="J562" s="151">
        <v>1899</v>
      </c>
      <c r="K562" s="151">
        <v>12</v>
      </c>
    </row>
    <row r="563" spans="1:11" ht="13.5" customHeight="1" x14ac:dyDescent="0.15">
      <c r="A563" s="141"/>
      <c r="B563" s="148">
        <v>560</v>
      </c>
      <c r="C563" s="164"/>
      <c r="D563" s="152"/>
      <c r="E563" s="152" t="s">
        <v>367</v>
      </c>
      <c r="F563" s="152" t="s">
        <v>367</v>
      </c>
      <c r="G563" s="152"/>
      <c r="H563" s="152"/>
      <c r="I563" s="152"/>
      <c r="J563" s="152">
        <v>1899</v>
      </c>
      <c r="K563" s="152">
        <v>12</v>
      </c>
    </row>
    <row r="564" spans="1:11" ht="13.5" customHeight="1" x14ac:dyDescent="0.15">
      <c r="A564" s="141"/>
      <c r="B564" s="148">
        <v>561</v>
      </c>
      <c r="C564" s="163"/>
      <c r="D564" s="151"/>
      <c r="E564" s="151" t="s">
        <v>367</v>
      </c>
      <c r="F564" s="151" t="s">
        <v>367</v>
      </c>
      <c r="G564" s="151"/>
      <c r="H564" s="151"/>
      <c r="I564" s="151"/>
      <c r="J564" s="151">
        <v>1899</v>
      </c>
      <c r="K564" s="151">
        <v>12</v>
      </c>
    </row>
    <row r="565" spans="1:11" ht="13.5" customHeight="1" x14ac:dyDescent="0.15">
      <c r="A565" s="141"/>
      <c r="B565" s="148">
        <v>562</v>
      </c>
      <c r="C565" s="164"/>
      <c r="D565" s="152"/>
      <c r="E565" s="152" t="s">
        <v>367</v>
      </c>
      <c r="F565" s="152" t="s">
        <v>367</v>
      </c>
      <c r="G565" s="152"/>
      <c r="H565" s="152"/>
      <c r="I565" s="152"/>
      <c r="J565" s="152">
        <v>1899</v>
      </c>
      <c r="K565" s="152">
        <v>12</v>
      </c>
    </row>
    <row r="566" spans="1:11" ht="13.5" customHeight="1" x14ac:dyDescent="0.15">
      <c r="A566" s="141"/>
      <c r="B566" s="148">
        <v>563</v>
      </c>
      <c r="C566" s="163"/>
      <c r="D566" s="151"/>
      <c r="E566" s="151" t="s">
        <v>367</v>
      </c>
      <c r="F566" s="151" t="s">
        <v>367</v>
      </c>
      <c r="G566" s="151"/>
      <c r="H566" s="151"/>
      <c r="I566" s="151"/>
      <c r="J566" s="151">
        <v>1899</v>
      </c>
      <c r="K566" s="151">
        <v>12</v>
      </c>
    </row>
    <row r="567" spans="1:11" ht="13.5" customHeight="1" x14ac:dyDescent="0.15">
      <c r="A567" s="141"/>
      <c r="B567" s="148">
        <v>564</v>
      </c>
      <c r="C567" s="164"/>
      <c r="D567" s="152"/>
      <c r="E567" s="152" t="s">
        <v>367</v>
      </c>
      <c r="F567" s="152" t="s">
        <v>367</v>
      </c>
      <c r="G567" s="152"/>
      <c r="H567" s="152"/>
      <c r="I567" s="152"/>
      <c r="J567" s="152">
        <v>1899</v>
      </c>
      <c r="K567" s="152">
        <v>12</v>
      </c>
    </row>
    <row r="568" spans="1:11" ht="13.5" customHeight="1" x14ac:dyDescent="0.15">
      <c r="A568" s="141"/>
      <c r="B568" s="148">
        <v>565</v>
      </c>
      <c r="C568" s="163"/>
      <c r="D568" s="151"/>
      <c r="E568" s="151" t="s">
        <v>367</v>
      </c>
      <c r="F568" s="151" t="s">
        <v>367</v>
      </c>
      <c r="G568" s="151"/>
      <c r="H568" s="151"/>
      <c r="I568" s="151"/>
      <c r="J568" s="151">
        <v>1899</v>
      </c>
      <c r="K568" s="151">
        <v>12</v>
      </c>
    </row>
    <row r="569" spans="1:11" ht="13.5" customHeight="1" x14ac:dyDescent="0.15">
      <c r="A569" s="141"/>
      <c r="B569" s="148">
        <v>566</v>
      </c>
      <c r="C569" s="164"/>
      <c r="D569" s="152"/>
      <c r="E569" s="152" t="s">
        <v>367</v>
      </c>
      <c r="F569" s="152" t="s">
        <v>367</v>
      </c>
      <c r="G569" s="152"/>
      <c r="H569" s="152"/>
      <c r="I569" s="152"/>
      <c r="J569" s="152">
        <v>1899</v>
      </c>
      <c r="K569" s="152">
        <v>12</v>
      </c>
    </row>
    <row r="570" spans="1:11" ht="13.5" customHeight="1" x14ac:dyDescent="0.15">
      <c r="A570" s="141"/>
      <c r="B570" s="148">
        <v>567</v>
      </c>
      <c r="C570" s="163"/>
      <c r="D570" s="151"/>
      <c r="E570" s="151" t="s">
        <v>367</v>
      </c>
      <c r="F570" s="151" t="s">
        <v>367</v>
      </c>
      <c r="G570" s="151"/>
      <c r="H570" s="151"/>
      <c r="I570" s="151"/>
      <c r="J570" s="151">
        <v>1899</v>
      </c>
      <c r="K570" s="151">
        <v>12</v>
      </c>
    </row>
    <row r="571" spans="1:11" ht="13.5" customHeight="1" x14ac:dyDescent="0.15">
      <c r="A571" s="141"/>
      <c r="B571" s="148">
        <v>568</v>
      </c>
      <c r="C571" s="164"/>
      <c r="D571" s="152"/>
      <c r="E571" s="152" t="s">
        <v>367</v>
      </c>
      <c r="F571" s="152" t="s">
        <v>367</v>
      </c>
      <c r="G571" s="152"/>
      <c r="H571" s="152"/>
      <c r="I571" s="152"/>
      <c r="J571" s="152">
        <v>1899</v>
      </c>
      <c r="K571" s="152">
        <v>12</v>
      </c>
    </row>
    <row r="572" spans="1:11" ht="13.5" customHeight="1" x14ac:dyDescent="0.15">
      <c r="A572" s="141"/>
      <c r="B572" s="148">
        <v>569</v>
      </c>
      <c r="C572" s="163"/>
      <c r="D572" s="151"/>
      <c r="E572" s="151" t="s">
        <v>367</v>
      </c>
      <c r="F572" s="151" t="s">
        <v>367</v>
      </c>
      <c r="G572" s="151"/>
      <c r="H572" s="151"/>
      <c r="I572" s="151"/>
      <c r="J572" s="151">
        <v>1899</v>
      </c>
      <c r="K572" s="151">
        <v>12</v>
      </c>
    </row>
    <row r="573" spans="1:11" ht="13.5" customHeight="1" x14ac:dyDescent="0.15">
      <c r="A573" s="141"/>
      <c r="B573" s="148">
        <v>570</v>
      </c>
      <c r="C573" s="164"/>
      <c r="D573" s="152"/>
      <c r="E573" s="152" t="s">
        <v>367</v>
      </c>
      <c r="F573" s="152" t="s">
        <v>367</v>
      </c>
      <c r="G573" s="152"/>
      <c r="H573" s="152"/>
      <c r="I573" s="152"/>
      <c r="J573" s="152">
        <v>1899</v>
      </c>
      <c r="K573" s="152">
        <v>12</v>
      </c>
    </row>
    <row r="574" spans="1:11" ht="13.5" customHeight="1" x14ac:dyDescent="0.15">
      <c r="A574" s="141"/>
      <c r="B574" s="148">
        <v>571</v>
      </c>
      <c r="C574" s="163"/>
      <c r="D574" s="151"/>
      <c r="E574" s="151" t="s">
        <v>367</v>
      </c>
      <c r="F574" s="151" t="s">
        <v>367</v>
      </c>
      <c r="G574" s="151"/>
      <c r="H574" s="151"/>
      <c r="I574" s="151"/>
      <c r="J574" s="151">
        <v>1899</v>
      </c>
      <c r="K574" s="151">
        <v>12</v>
      </c>
    </row>
    <row r="575" spans="1:11" ht="13.5" customHeight="1" x14ac:dyDescent="0.15">
      <c r="A575" s="141"/>
      <c r="B575" s="148">
        <v>572</v>
      </c>
      <c r="C575" s="164"/>
      <c r="D575" s="152"/>
      <c r="E575" s="152" t="s">
        <v>367</v>
      </c>
      <c r="F575" s="152" t="s">
        <v>367</v>
      </c>
      <c r="G575" s="152"/>
      <c r="H575" s="152"/>
      <c r="I575" s="152"/>
      <c r="J575" s="152">
        <v>1899</v>
      </c>
      <c r="K575" s="152">
        <v>12</v>
      </c>
    </row>
    <row r="576" spans="1:11" ht="13.5" customHeight="1" x14ac:dyDescent="0.15">
      <c r="A576" s="141"/>
      <c r="B576" s="148">
        <v>573</v>
      </c>
      <c r="C576" s="163"/>
      <c r="D576" s="151"/>
      <c r="E576" s="151" t="s">
        <v>367</v>
      </c>
      <c r="F576" s="151" t="s">
        <v>367</v>
      </c>
      <c r="G576" s="151"/>
      <c r="H576" s="151"/>
      <c r="I576" s="151"/>
      <c r="J576" s="151">
        <v>1899</v>
      </c>
      <c r="K576" s="151">
        <v>12</v>
      </c>
    </row>
    <row r="577" spans="1:11" ht="13.5" customHeight="1" x14ac:dyDescent="0.15">
      <c r="A577" s="141"/>
      <c r="B577" s="148">
        <v>574</v>
      </c>
      <c r="C577" s="164"/>
      <c r="D577" s="152"/>
      <c r="E577" s="152" t="s">
        <v>367</v>
      </c>
      <c r="F577" s="152" t="s">
        <v>367</v>
      </c>
      <c r="G577" s="152"/>
      <c r="H577" s="152"/>
      <c r="I577" s="152"/>
      <c r="J577" s="152">
        <v>1899</v>
      </c>
      <c r="K577" s="152">
        <v>12</v>
      </c>
    </row>
    <row r="578" spans="1:11" ht="13.5" customHeight="1" x14ac:dyDescent="0.15">
      <c r="A578" s="141"/>
      <c r="B578" s="148">
        <v>575</v>
      </c>
      <c r="C578" s="163"/>
      <c r="D578" s="151"/>
      <c r="E578" s="151" t="s">
        <v>367</v>
      </c>
      <c r="F578" s="151" t="s">
        <v>367</v>
      </c>
      <c r="G578" s="151"/>
      <c r="H578" s="151"/>
      <c r="I578" s="151"/>
      <c r="J578" s="151">
        <v>1899</v>
      </c>
      <c r="K578" s="151">
        <v>12</v>
      </c>
    </row>
    <row r="579" spans="1:11" ht="13.5" customHeight="1" x14ac:dyDescent="0.15">
      <c r="A579" s="141"/>
      <c r="B579" s="148">
        <v>576</v>
      </c>
      <c r="C579" s="164"/>
      <c r="D579" s="152"/>
      <c r="E579" s="152" t="s">
        <v>367</v>
      </c>
      <c r="F579" s="152" t="s">
        <v>367</v>
      </c>
      <c r="G579" s="152"/>
      <c r="H579" s="152"/>
      <c r="I579" s="152"/>
      <c r="J579" s="152">
        <v>1899</v>
      </c>
      <c r="K579" s="152">
        <v>12</v>
      </c>
    </row>
    <row r="580" spans="1:11" ht="13.5" customHeight="1" x14ac:dyDescent="0.15">
      <c r="A580" s="141"/>
      <c r="B580" s="148">
        <v>577</v>
      </c>
      <c r="C580" s="163"/>
      <c r="D580" s="151"/>
      <c r="E580" s="151" t="s">
        <v>367</v>
      </c>
      <c r="F580" s="151" t="s">
        <v>367</v>
      </c>
      <c r="G580" s="151"/>
      <c r="H580" s="151"/>
      <c r="I580" s="151"/>
      <c r="J580" s="151">
        <v>1899</v>
      </c>
      <c r="K580" s="151">
        <v>12</v>
      </c>
    </row>
    <row r="581" spans="1:11" ht="13.5" customHeight="1" x14ac:dyDescent="0.15">
      <c r="A581" s="141"/>
      <c r="B581" s="148">
        <v>578</v>
      </c>
      <c r="C581" s="164"/>
      <c r="D581" s="152"/>
      <c r="E581" s="152" t="s">
        <v>367</v>
      </c>
      <c r="F581" s="152" t="s">
        <v>367</v>
      </c>
      <c r="G581" s="152"/>
      <c r="H581" s="152"/>
      <c r="I581" s="152"/>
      <c r="J581" s="152">
        <v>1899</v>
      </c>
      <c r="K581" s="152">
        <v>12</v>
      </c>
    </row>
    <row r="582" spans="1:11" ht="13.5" customHeight="1" x14ac:dyDescent="0.15">
      <c r="A582" s="141"/>
      <c r="B582" s="148">
        <v>579</v>
      </c>
      <c r="C582" s="163"/>
      <c r="D582" s="151"/>
      <c r="E582" s="151" t="s">
        <v>367</v>
      </c>
      <c r="F582" s="151" t="s">
        <v>367</v>
      </c>
      <c r="G582" s="151"/>
      <c r="H582" s="151"/>
      <c r="I582" s="151"/>
      <c r="J582" s="151">
        <v>1899</v>
      </c>
      <c r="K582" s="151">
        <v>12</v>
      </c>
    </row>
    <row r="583" spans="1:11" ht="13.5" customHeight="1" x14ac:dyDescent="0.15">
      <c r="A583" s="141"/>
      <c r="B583" s="148">
        <v>580</v>
      </c>
      <c r="C583" s="164"/>
      <c r="D583" s="152"/>
      <c r="E583" s="152" t="s">
        <v>367</v>
      </c>
      <c r="F583" s="152" t="s">
        <v>367</v>
      </c>
      <c r="G583" s="152"/>
      <c r="H583" s="152"/>
      <c r="I583" s="152"/>
      <c r="J583" s="152">
        <v>1899</v>
      </c>
      <c r="K583" s="152">
        <v>12</v>
      </c>
    </row>
    <row r="584" spans="1:11" ht="13.5" customHeight="1" x14ac:dyDescent="0.15">
      <c r="A584" s="141"/>
      <c r="B584" s="148">
        <v>581</v>
      </c>
      <c r="C584" s="163"/>
      <c r="D584" s="151"/>
      <c r="E584" s="151" t="s">
        <v>367</v>
      </c>
      <c r="F584" s="151" t="s">
        <v>367</v>
      </c>
      <c r="G584" s="151"/>
      <c r="H584" s="151"/>
      <c r="I584" s="151"/>
      <c r="J584" s="151">
        <v>1899</v>
      </c>
      <c r="K584" s="151">
        <v>12</v>
      </c>
    </row>
    <row r="585" spans="1:11" ht="13.5" customHeight="1" x14ac:dyDescent="0.15">
      <c r="A585" s="141"/>
      <c r="B585" s="148">
        <v>582</v>
      </c>
      <c r="C585" s="164"/>
      <c r="D585" s="152"/>
      <c r="E585" s="152" t="s">
        <v>367</v>
      </c>
      <c r="F585" s="152" t="s">
        <v>367</v>
      </c>
      <c r="G585" s="152"/>
      <c r="H585" s="152"/>
      <c r="I585" s="152"/>
      <c r="J585" s="152">
        <v>1899</v>
      </c>
      <c r="K585" s="152">
        <v>12</v>
      </c>
    </row>
    <row r="586" spans="1:11" ht="13.5" customHeight="1" x14ac:dyDescent="0.15">
      <c r="A586" s="141"/>
      <c r="B586" s="148">
        <v>583</v>
      </c>
      <c r="C586" s="163"/>
      <c r="D586" s="151"/>
      <c r="E586" s="151" t="s">
        <v>367</v>
      </c>
      <c r="F586" s="151" t="s">
        <v>367</v>
      </c>
      <c r="G586" s="151"/>
      <c r="H586" s="151"/>
      <c r="I586" s="151"/>
      <c r="J586" s="151">
        <v>1899</v>
      </c>
      <c r="K586" s="151">
        <v>12</v>
      </c>
    </row>
    <row r="587" spans="1:11" ht="13.5" customHeight="1" x14ac:dyDescent="0.15">
      <c r="A587" s="141"/>
      <c r="B587" s="148">
        <v>584</v>
      </c>
      <c r="C587" s="164"/>
      <c r="D587" s="152"/>
      <c r="E587" s="152" t="s">
        <v>367</v>
      </c>
      <c r="F587" s="152" t="s">
        <v>367</v>
      </c>
      <c r="G587" s="152"/>
      <c r="H587" s="152"/>
      <c r="I587" s="152"/>
      <c r="J587" s="152">
        <v>1899</v>
      </c>
      <c r="K587" s="152">
        <v>12</v>
      </c>
    </row>
    <row r="588" spans="1:11" ht="13.5" customHeight="1" x14ac:dyDescent="0.15">
      <c r="A588" s="141"/>
      <c r="B588" s="148">
        <v>585</v>
      </c>
      <c r="C588" s="163"/>
      <c r="D588" s="151"/>
      <c r="E588" s="151" t="s">
        <v>367</v>
      </c>
      <c r="F588" s="151" t="s">
        <v>367</v>
      </c>
      <c r="G588" s="151"/>
      <c r="H588" s="151"/>
      <c r="I588" s="151"/>
      <c r="J588" s="151">
        <v>1899</v>
      </c>
      <c r="K588" s="151">
        <v>12</v>
      </c>
    </row>
    <row r="589" spans="1:11" ht="13.5" customHeight="1" x14ac:dyDescent="0.15">
      <c r="A589" s="141"/>
      <c r="B589" s="148">
        <v>586</v>
      </c>
      <c r="C589" s="164"/>
      <c r="D589" s="152"/>
      <c r="E589" s="152" t="s">
        <v>367</v>
      </c>
      <c r="F589" s="152" t="s">
        <v>367</v>
      </c>
      <c r="G589" s="152"/>
      <c r="H589" s="152"/>
      <c r="I589" s="152"/>
      <c r="J589" s="152">
        <v>1899</v>
      </c>
      <c r="K589" s="152">
        <v>12</v>
      </c>
    </row>
    <row r="590" spans="1:11" ht="13.5" customHeight="1" x14ac:dyDescent="0.15">
      <c r="A590" s="141"/>
      <c r="B590" s="148">
        <v>587</v>
      </c>
      <c r="C590" s="163"/>
      <c r="D590" s="151"/>
      <c r="E590" s="151" t="s">
        <v>367</v>
      </c>
      <c r="F590" s="151" t="s">
        <v>367</v>
      </c>
      <c r="G590" s="151"/>
      <c r="H590" s="151"/>
      <c r="I590" s="151"/>
      <c r="J590" s="151">
        <v>1899</v>
      </c>
      <c r="K590" s="151">
        <v>12</v>
      </c>
    </row>
    <row r="591" spans="1:11" ht="13.5" customHeight="1" x14ac:dyDescent="0.15">
      <c r="A591" s="141"/>
      <c r="B591" s="148">
        <v>588</v>
      </c>
      <c r="C591" s="164"/>
      <c r="D591" s="152"/>
      <c r="E591" s="152" t="s">
        <v>367</v>
      </c>
      <c r="F591" s="152" t="s">
        <v>367</v>
      </c>
      <c r="G591" s="152"/>
      <c r="H591" s="152"/>
      <c r="I591" s="152"/>
      <c r="J591" s="152">
        <v>1899</v>
      </c>
      <c r="K591" s="152">
        <v>12</v>
      </c>
    </row>
    <row r="592" spans="1:11" ht="13.5" customHeight="1" x14ac:dyDescent="0.15">
      <c r="A592" s="141"/>
      <c r="B592" s="148">
        <v>589</v>
      </c>
      <c r="C592" s="163"/>
      <c r="D592" s="151"/>
      <c r="E592" s="151" t="s">
        <v>367</v>
      </c>
      <c r="F592" s="151" t="s">
        <v>367</v>
      </c>
      <c r="G592" s="151"/>
      <c r="H592" s="151"/>
      <c r="I592" s="151"/>
      <c r="J592" s="151">
        <v>1899</v>
      </c>
      <c r="K592" s="151">
        <v>12</v>
      </c>
    </row>
    <row r="593" spans="1:11" ht="13.5" customHeight="1" x14ac:dyDescent="0.15">
      <c r="A593" s="141"/>
      <c r="B593" s="148">
        <v>590</v>
      </c>
      <c r="C593" s="164"/>
      <c r="D593" s="152"/>
      <c r="E593" s="152" t="s">
        <v>367</v>
      </c>
      <c r="F593" s="152" t="s">
        <v>367</v>
      </c>
      <c r="G593" s="152"/>
      <c r="H593" s="152"/>
      <c r="I593" s="152"/>
      <c r="J593" s="152">
        <v>1899</v>
      </c>
      <c r="K593" s="152">
        <v>12</v>
      </c>
    </row>
    <row r="594" spans="1:11" ht="13.5" customHeight="1" x14ac:dyDescent="0.15">
      <c r="A594" s="141"/>
      <c r="B594" s="148">
        <v>591</v>
      </c>
      <c r="C594" s="163"/>
      <c r="D594" s="151"/>
      <c r="E594" s="151" t="s">
        <v>367</v>
      </c>
      <c r="F594" s="151" t="s">
        <v>367</v>
      </c>
      <c r="G594" s="151"/>
      <c r="H594" s="151"/>
      <c r="I594" s="151"/>
      <c r="J594" s="151">
        <v>1899</v>
      </c>
      <c r="K594" s="151">
        <v>12</v>
      </c>
    </row>
    <row r="595" spans="1:11" ht="13.5" customHeight="1" x14ac:dyDescent="0.15">
      <c r="A595" s="141"/>
      <c r="B595" s="148">
        <v>592</v>
      </c>
      <c r="C595" s="164"/>
      <c r="D595" s="152"/>
      <c r="E595" s="152" t="s">
        <v>367</v>
      </c>
      <c r="F595" s="152" t="s">
        <v>367</v>
      </c>
      <c r="G595" s="152"/>
      <c r="H595" s="152"/>
      <c r="I595" s="152"/>
      <c r="J595" s="152">
        <v>1899</v>
      </c>
      <c r="K595" s="152">
        <v>12</v>
      </c>
    </row>
    <row r="596" spans="1:11" ht="13.5" customHeight="1" x14ac:dyDescent="0.15">
      <c r="A596" s="141"/>
      <c r="B596" s="148">
        <v>593</v>
      </c>
      <c r="C596" s="163"/>
      <c r="D596" s="151"/>
      <c r="E596" s="151" t="s">
        <v>367</v>
      </c>
      <c r="F596" s="151" t="s">
        <v>367</v>
      </c>
      <c r="G596" s="151"/>
      <c r="H596" s="151"/>
      <c r="I596" s="151"/>
      <c r="J596" s="151">
        <v>1899</v>
      </c>
      <c r="K596" s="151">
        <v>12</v>
      </c>
    </row>
    <row r="597" spans="1:11" ht="13.5" customHeight="1" x14ac:dyDescent="0.15">
      <c r="A597" s="141"/>
      <c r="B597" s="148">
        <v>594</v>
      </c>
      <c r="C597" s="164"/>
      <c r="D597" s="152"/>
      <c r="E597" s="152" t="s">
        <v>367</v>
      </c>
      <c r="F597" s="152" t="s">
        <v>367</v>
      </c>
      <c r="G597" s="152"/>
      <c r="H597" s="152"/>
      <c r="I597" s="152"/>
      <c r="J597" s="152">
        <v>1899</v>
      </c>
      <c r="K597" s="152">
        <v>12</v>
      </c>
    </row>
    <row r="598" spans="1:11" ht="13.5" customHeight="1" x14ac:dyDescent="0.15">
      <c r="A598" s="141"/>
      <c r="B598" s="148">
        <v>595</v>
      </c>
      <c r="C598" s="163"/>
      <c r="D598" s="151"/>
      <c r="E598" s="151" t="s">
        <v>367</v>
      </c>
      <c r="F598" s="151" t="s">
        <v>367</v>
      </c>
      <c r="G598" s="151"/>
      <c r="H598" s="151"/>
      <c r="I598" s="151"/>
      <c r="J598" s="151">
        <v>1899</v>
      </c>
      <c r="K598" s="151">
        <v>12</v>
      </c>
    </row>
    <row r="599" spans="1:11" ht="13.5" customHeight="1" x14ac:dyDescent="0.15">
      <c r="A599" s="141"/>
      <c r="B599" s="148">
        <v>596</v>
      </c>
      <c r="C599" s="164"/>
      <c r="D599" s="152"/>
      <c r="E599" s="152" t="s">
        <v>367</v>
      </c>
      <c r="F599" s="152" t="s">
        <v>367</v>
      </c>
      <c r="G599" s="152"/>
      <c r="H599" s="152"/>
      <c r="I599" s="152"/>
      <c r="J599" s="152">
        <v>1899</v>
      </c>
      <c r="K599" s="152">
        <v>12</v>
      </c>
    </row>
    <row r="600" spans="1:11" ht="13.5" customHeight="1" x14ac:dyDescent="0.15">
      <c r="A600" s="141"/>
      <c r="B600" s="148">
        <v>597</v>
      </c>
      <c r="C600" s="163"/>
      <c r="D600" s="151"/>
      <c r="E600" s="151" t="s">
        <v>367</v>
      </c>
      <c r="F600" s="151" t="s">
        <v>367</v>
      </c>
      <c r="G600" s="151"/>
      <c r="H600" s="151"/>
      <c r="I600" s="151"/>
      <c r="J600" s="151">
        <v>1899</v>
      </c>
      <c r="K600" s="151">
        <v>12</v>
      </c>
    </row>
    <row r="601" spans="1:11" ht="13.5" customHeight="1" x14ac:dyDescent="0.15">
      <c r="A601" s="141"/>
      <c r="B601" s="148">
        <v>598</v>
      </c>
      <c r="C601" s="164"/>
      <c r="D601" s="152"/>
      <c r="E601" s="152" t="s">
        <v>367</v>
      </c>
      <c r="F601" s="152" t="s">
        <v>367</v>
      </c>
      <c r="G601" s="152"/>
      <c r="H601" s="152"/>
      <c r="I601" s="152"/>
      <c r="J601" s="152">
        <v>1899</v>
      </c>
      <c r="K601" s="152">
        <v>12</v>
      </c>
    </row>
    <row r="602" spans="1:11" ht="13.5" customHeight="1" x14ac:dyDescent="0.15">
      <c r="A602" s="141"/>
      <c r="B602" s="148">
        <v>599</v>
      </c>
      <c r="C602" s="163"/>
      <c r="D602" s="151"/>
      <c r="E602" s="151" t="s">
        <v>367</v>
      </c>
      <c r="F602" s="151" t="s">
        <v>367</v>
      </c>
      <c r="G602" s="151"/>
      <c r="H602" s="151"/>
      <c r="I602" s="151"/>
      <c r="J602" s="151">
        <v>1899</v>
      </c>
      <c r="K602" s="151">
        <v>12</v>
      </c>
    </row>
    <row r="603" spans="1:11" ht="13.5" customHeight="1" x14ac:dyDescent="0.15">
      <c r="A603" s="141"/>
      <c r="B603" s="148">
        <v>600</v>
      </c>
      <c r="C603" s="164"/>
      <c r="D603" s="152"/>
      <c r="E603" s="152" t="s">
        <v>367</v>
      </c>
      <c r="F603" s="152" t="s">
        <v>367</v>
      </c>
      <c r="G603" s="152"/>
      <c r="H603" s="152"/>
      <c r="I603" s="152"/>
      <c r="J603" s="152">
        <v>1899</v>
      </c>
      <c r="K603" s="152">
        <v>12</v>
      </c>
    </row>
    <row r="604" spans="1:11" ht="13.5" customHeight="1" x14ac:dyDescent="0.15">
      <c r="A604" s="141"/>
      <c r="B604" s="148">
        <v>601</v>
      </c>
      <c r="C604" s="163"/>
      <c r="D604" s="151"/>
      <c r="E604" s="151" t="s">
        <v>367</v>
      </c>
      <c r="F604" s="151" t="s">
        <v>367</v>
      </c>
      <c r="G604" s="151"/>
      <c r="H604" s="151"/>
      <c r="I604" s="151"/>
      <c r="J604" s="151">
        <v>1899</v>
      </c>
      <c r="K604" s="151">
        <v>12</v>
      </c>
    </row>
    <row r="605" spans="1:11" ht="13.5" customHeight="1" x14ac:dyDescent="0.15">
      <c r="A605" s="141"/>
      <c r="B605" s="148">
        <v>602</v>
      </c>
      <c r="C605" s="164"/>
      <c r="D605" s="152"/>
      <c r="E605" s="152" t="s">
        <v>367</v>
      </c>
      <c r="F605" s="152" t="s">
        <v>367</v>
      </c>
      <c r="G605" s="152"/>
      <c r="H605" s="152"/>
      <c r="I605" s="152"/>
      <c r="J605" s="152">
        <v>1899</v>
      </c>
      <c r="K605" s="152">
        <v>12</v>
      </c>
    </row>
    <row r="606" spans="1:11" ht="13.5" customHeight="1" x14ac:dyDescent="0.15">
      <c r="A606" s="141"/>
      <c r="B606" s="148">
        <v>603</v>
      </c>
      <c r="C606" s="163"/>
      <c r="D606" s="151"/>
      <c r="E606" s="151" t="s">
        <v>367</v>
      </c>
      <c r="F606" s="151" t="s">
        <v>367</v>
      </c>
      <c r="G606" s="151"/>
      <c r="H606" s="151"/>
      <c r="I606" s="151"/>
      <c r="J606" s="151">
        <v>1899</v>
      </c>
      <c r="K606" s="151">
        <v>12</v>
      </c>
    </row>
    <row r="607" spans="1:11" ht="13.5" customHeight="1" x14ac:dyDescent="0.15">
      <c r="A607" s="141"/>
      <c r="B607" s="148">
        <v>604</v>
      </c>
      <c r="C607" s="164"/>
      <c r="D607" s="152"/>
      <c r="E607" s="152" t="s">
        <v>367</v>
      </c>
      <c r="F607" s="152" t="s">
        <v>367</v>
      </c>
      <c r="G607" s="152"/>
      <c r="H607" s="152"/>
      <c r="I607" s="152"/>
      <c r="J607" s="152">
        <v>1899</v>
      </c>
      <c r="K607" s="152">
        <v>12</v>
      </c>
    </row>
    <row r="608" spans="1:11" ht="13.5" customHeight="1" x14ac:dyDescent="0.15">
      <c r="A608" s="141"/>
      <c r="B608" s="148">
        <v>605</v>
      </c>
      <c r="C608" s="163"/>
      <c r="D608" s="151"/>
      <c r="E608" s="151" t="s">
        <v>367</v>
      </c>
      <c r="F608" s="151" t="s">
        <v>367</v>
      </c>
      <c r="G608" s="151"/>
      <c r="H608" s="151"/>
      <c r="I608" s="151"/>
      <c r="J608" s="151">
        <v>1899</v>
      </c>
      <c r="K608" s="151">
        <v>12</v>
      </c>
    </row>
    <row r="609" spans="1:11" ht="13.5" customHeight="1" x14ac:dyDescent="0.15">
      <c r="A609" s="141"/>
      <c r="B609" s="148">
        <v>606</v>
      </c>
      <c r="C609" s="164"/>
      <c r="D609" s="152"/>
      <c r="E609" s="152" t="s">
        <v>367</v>
      </c>
      <c r="F609" s="152" t="s">
        <v>367</v>
      </c>
      <c r="G609" s="152"/>
      <c r="H609" s="152"/>
      <c r="I609" s="152"/>
      <c r="J609" s="152">
        <v>1899</v>
      </c>
      <c r="K609" s="152">
        <v>12</v>
      </c>
    </row>
    <row r="610" spans="1:11" ht="13.5" customHeight="1" x14ac:dyDescent="0.15">
      <c r="A610" s="141"/>
      <c r="B610" s="148">
        <v>607</v>
      </c>
      <c r="C610" s="163"/>
      <c r="D610" s="151"/>
      <c r="E610" s="151" t="s">
        <v>367</v>
      </c>
      <c r="F610" s="151" t="s">
        <v>367</v>
      </c>
      <c r="G610" s="151"/>
      <c r="H610" s="151"/>
      <c r="I610" s="151"/>
      <c r="J610" s="151">
        <v>1899</v>
      </c>
      <c r="K610" s="151">
        <v>12</v>
      </c>
    </row>
    <row r="611" spans="1:11" ht="13.5" customHeight="1" x14ac:dyDescent="0.15">
      <c r="A611" s="141"/>
      <c r="B611" s="148">
        <v>608</v>
      </c>
      <c r="C611" s="164"/>
      <c r="D611" s="152"/>
      <c r="E611" s="152" t="s">
        <v>367</v>
      </c>
      <c r="F611" s="152" t="s">
        <v>367</v>
      </c>
      <c r="G611" s="152"/>
      <c r="H611" s="152"/>
      <c r="I611" s="152"/>
      <c r="J611" s="152">
        <v>1899</v>
      </c>
      <c r="K611" s="152">
        <v>12</v>
      </c>
    </row>
    <row r="612" spans="1:11" ht="13.5" customHeight="1" x14ac:dyDescent="0.15">
      <c r="A612" s="141"/>
      <c r="B612" s="148">
        <v>609</v>
      </c>
      <c r="C612" s="163"/>
      <c r="D612" s="151"/>
      <c r="E612" s="151" t="s">
        <v>367</v>
      </c>
      <c r="F612" s="151" t="s">
        <v>367</v>
      </c>
      <c r="G612" s="151"/>
      <c r="H612" s="151"/>
      <c r="I612" s="151"/>
      <c r="J612" s="151">
        <v>1899</v>
      </c>
      <c r="K612" s="151">
        <v>12</v>
      </c>
    </row>
    <row r="613" spans="1:11" ht="13.5" customHeight="1" x14ac:dyDescent="0.15">
      <c r="A613" s="141"/>
      <c r="B613" s="148">
        <v>610</v>
      </c>
      <c r="C613" s="164"/>
      <c r="D613" s="152"/>
      <c r="E613" s="152" t="s">
        <v>367</v>
      </c>
      <c r="F613" s="152" t="s">
        <v>367</v>
      </c>
      <c r="G613" s="152"/>
      <c r="H613" s="152"/>
      <c r="I613" s="152"/>
      <c r="J613" s="152">
        <v>1899</v>
      </c>
      <c r="K613" s="152">
        <v>12</v>
      </c>
    </row>
    <row r="614" spans="1:11" ht="13.5" customHeight="1" x14ac:dyDescent="0.15">
      <c r="A614" s="141"/>
      <c r="B614" s="148">
        <v>611</v>
      </c>
      <c r="C614" s="163"/>
      <c r="D614" s="151"/>
      <c r="E614" s="151" t="s">
        <v>367</v>
      </c>
      <c r="F614" s="151" t="s">
        <v>367</v>
      </c>
      <c r="G614" s="151"/>
      <c r="H614" s="151"/>
      <c r="I614" s="151"/>
      <c r="J614" s="151">
        <v>1899</v>
      </c>
      <c r="K614" s="151">
        <v>12</v>
      </c>
    </row>
    <row r="615" spans="1:11" ht="13.5" customHeight="1" x14ac:dyDescent="0.15">
      <c r="A615" s="141"/>
      <c r="B615" s="148">
        <v>612</v>
      </c>
      <c r="C615" s="164"/>
      <c r="D615" s="152"/>
      <c r="E615" s="152" t="s">
        <v>367</v>
      </c>
      <c r="F615" s="152" t="s">
        <v>367</v>
      </c>
      <c r="G615" s="152"/>
      <c r="H615" s="152"/>
      <c r="I615" s="152"/>
      <c r="J615" s="152">
        <v>1899</v>
      </c>
      <c r="K615" s="152">
        <v>12</v>
      </c>
    </row>
    <row r="616" spans="1:11" ht="13.5" customHeight="1" x14ac:dyDescent="0.15">
      <c r="A616" s="141"/>
      <c r="B616" s="148">
        <v>613</v>
      </c>
      <c r="C616" s="163"/>
      <c r="D616" s="151"/>
      <c r="E616" s="151" t="s">
        <v>367</v>
      </c>
      <c r="F616" s="151" t="s">
        <v>367</v>
      </c>
      <c r="G616" s="151"/>
      <c r="H616" s="151"/>
      <c r="I616" s="151"/>
      <c r="J616" s="151">
        <v>1899</v>
      </c>
      <c r="K616" s="151">
        <v>12</v>
      </c>
    </row>
    <row r="617" spans="1:11" ht="13.5" customHeight="1" x14ac:dyDescent="0.15">
      <c r="A617" s="141"/>
      <c r="B617" s="148">
        <v>614</v>
      </c>
      <c r="C617" s="164"/>
      <c r="D617" s="152"/>
      <c r="E617" s="152" t="s">
        <v>367</v>
      </c>
      <c r="F617" s="152" t="s">
        <v>367</v>
      </c>
      <c r="G617" s="152"/>
      <c r="H617" s="152"/>
      <c r="I617" s="152"/>
      <c r="J617" s="152">
        <v>1899</v>
      </c>
      <c r="K617" s="152">
        <v>12</v>
      </c>
    </row>
    <row r="618" spans="1:11" ht="13.5" customHeight="1" x14ac:dyDescent="0.15">
      <c r="A618" s="141"/>
      <c r="B618" s="148">
        <v>615</v>
      </c>
      <c r="C618" s="163"/>
      <c r="D618" s="151"/>
      <c r="E618" s="151" t="s">
        <v>367</v>
      </c>
      <c r="F618" s="151" t="s">
        <v>367</v>
      </c>
      <c r="G618" s="151"/>
      <c r="H618" s="151"/>
      <c r="I618" s="151"/>
      <c r="J618" s="151">
        <v>1899</v>
      </c>
      <c r="K618" s="151">
        <v>12</v>
      </c>
    </row>
    <row r="619" spans="1:11" ht="13.5" customHeight="1" x14ac:dyDescent="0.15">
      <c r="A619" s="141"/>
      <c r="B619" s="148">
        <v>616</v>
      </c>
      <c r="C619" s="164"/>
      <c r="D619" s="152"/>
      <c r="E619" s="152" t="s">
        <v>367</v>
      </c>
      <c r="F619" s="152" t="s">
        <v>367</v>
      </c>
      <c r="G619" s="152"/>
      <c r="H619" s="152"/>
      <c r="I619" s="152"/>
      <c r="J619" s="152">
        <v>1899</v>
      </c>
      <c r="K619" s="152">
        <v>12</v>
      </c>
    </row>
    <row r="620" spans="1:11" ht="13.5" customHeight="1" x14ac:dyDescent="0.15">
      <c r="A620" s="141"/>
      <c r="B620" s="148">
        <v>617</v>
      </c>
      <c r="C620" s="163"/>
      <c r="D620" s="151"/>
      <c r="E620" s="151" t="s">
        <v>367</v>
      </c>
      <c r="F620" s="151" t="s">
        <v>367</v>
      </c>
      <c r="G620" s="151"/>
      <c r="H620" s="151"/>
      <c r="I620" s="151"/>
      <c r="J620" s="151">
        <v>1899</v>
      </c>
      <c r="K620" s="151">
        <v>12</v>
      </c>
    </row>
    <row r="621" spans="1:11" ht="13.5" customHeight="1" x14ac:dyDescent="0.15">
      <c r="A621" s="141"/>
      <c r="B621" s="148">
        <v>618</v>
      </c>
      <c r="C621" s="164"/>
      <c r="D621" s="152"/>
      <c r="E621" s="152" t="s">
        <v>367</v>
      </c>
      <c r="F621" s="152" t="s">
        <v>367</v>
      </c>
      <c r="G621" s="152"/>
      <c r="H621" s="152"/>
      <c r="I621" s="152"/>
      <c r="J621" s="152">
        <v>1899</v>
      </c>
      <c r="K621" s="152">
        <v>12</v>
      </c>
    </row>
    <row r="622" spans="1:11" ht="13.5" customHeight="1" x14ac:dyDescent="0.15">
      <c r="A622" s="141"/>
      <c r="B622" s="148">
        <v>619</v>
      </c>
      <c r="C622" s="163"/>
      <c r="D622" s="151"/>
      <c r="E622" s="151" t="s">
        <v>367</v>
      </c>
      <c r="F622" s="151" t="s">
        <v>367</v>
      </c>
      <c r="G622" s="151"/>
      <c r="H622" s="151"/>
      <c r="I622" s="151"/>
      <c r="J622" s="151">
        <v>1899</v>
      </c>
      <c r="K622" s="151">
        <v>12</v>
      </c>
    </row>
    <row r="623" spans="1:11" ht="13.5" customHeight="1" x14ac:dyDescent="0.15">
      <c r="A623" s="141"/>
      <c r="B623" s="148">
        <v>620</v>
      </c>
      <c r="C623" s="164"/>
      <c r="D623" s="152"/>
      <c r="E623" s="152" t="s">
        <v>367</v>
      </c>
      <c r="F623" s="152" t="s">
        <v>367</v>
      </c>
      <c r="G623" s="152"/>
      <c r="H623" s="152"/>
      <c r="I623" s="152"/>
      <c r="J623" s="152">
        <v>1899</v>
      </c>
      <c r="K623" s="152">
        <v>12</v>
      </c>
    </row>
    <row r="624" spans="1:11" ht="13.5" customHeight="1" x14ac:dyDescent="0.15">
      <c r="A624" s="141"/>
      <c r="B624" s="148">
        <v>621</v>
      </c>
      <c r="C624" s="163"/>
      <c r="D624" s="151"/>
      <c r="E624" s="151" t="s">
        <v>367</v>
      </c>
      <c r="F624" s="151" t="s">
        <v>367</v>
      </c>
      <c r="G624" s="151"/>
      <c r="H624" s="151"/>
      <c r="I624" s="151"/>
      <c r="J624" s="151">
        <v>1899</v>
      </c>
      <c r="K624" s="151">
        <v>12</v>
      </c>
    </row>
    <row r="625" spans="1:11" ht="13.5" customHeight="1" x14ac:dyDescent="0.15">
      <c r="A625" s="141"/>
      <c r="B625" s="148">
        <v>622</v>
      </c>
      <c r="C625" s="164"/>
      <c r="D625" s="152"/>
      <c r="E625" s="152" t="s">
        <v>367</v>
      </c>
      <c r="F625" s="152" t="s">
        <v>367</v>
      </c>
      <c r="G625" s="152"/>
      <c r="H625" s="152"/>
      <c r="I625" s="152"/>
      <c r="J625" s="152">
        <v>1899</v>
      </c>
      <c r="K625" s="152">
        <v>12</v>
      </c>
    </row>
    <row r="626" spans="1:11" ht="13.5" customHeight="1" x14ac:dyDescent="0.15">
      <c r="A626" s="141"/>
      <c r="B626" s="148">
        <v>623</v>
      </c>
      <c r="C626" s="163"/>
      <c r="D626" s="151"/>
      <c r="E626" s="151" t="s">
        <v>367</v>
      </c>
      <c r="F626" s="151" t="s">
        <v>367</v>
      </c>
      <c r="G626" s="151"/>
      <c r="H626" s="151"/>
      <c r="I626" s="151"/>
      <c r="J626" s="151">
        <v>1899</v>
      </c>
      <c r="K626" s="151">
        <v>12</v>
      </c>
    </row>
    <row r="627" spans="1:11" ht="13.5" customHeight="1" x14ac:dyDescent="0.15">
      <c r="A627" s="141"/>
      <c r="B627" s="148">
        <v>624</v>
      </c>
      <c r="C627" s="164"/>
      <c r="D627" s="152"/>
      <c r="E627" s="152" t="s">
        <v>367</v>
      </c>
      <c r="F627" s="152" t="s">
        <v>367</v>
      </c>
      <c r="G627" s="152"/>
      <c r="H627" s="152"/>
      <c r="I627" s="152"/>
      <c r="J627" s="152">
        <v>1899</v>
      </c>
      <c r="K627" s="152">
        <v>12</v>
      </c>
    </row>
    <row r="628" spans="1:11" ht="13.5" customHeight="1" x14ac:dyDescent="0.15">
      <c r="A628" s="141"/>
      <c r="B628" s="148">
        <v>625</v>
      </c>
      <c r="C628" s="163"/>
      <c r="D628" s="151"/>
      <c r="E628" s="151" t="s">
        <v>367</v>
      </c>
      <c r="F628" s="151" t="s">
        <v>367</v>
      </c>
      <c r="G628" s="151"/>
      <c r="H628" s="151"/>
      <c r="I628" s="151"/>
      <c r="J628" s="151">
        <v>1899</v>
      </c>
      <c r="K628" s="151">
        <v>12</v>
      </c>
    </row>
    <row r="629" spans="1:11" ht="13.5" customHeight="1" x14ac:dyDescent="0.15">
      <c r="A629" s="141"/>
      <c r="B629" s="148">
        <v>626</v>
      </c>
      <c r="C629" s="164"/>
      <c r="D629" s="152"/>
      <c r="E629" s="152" t="s">
        <v>367</v>
      </c>
      <c r="F629" s="152" t="s">
        <v>367</v>
      </c>
      <c r="G629" s="152"/>
      <c r="H629" s="152"/>
      <c r="I629" s="152"/>
      <c r="J629" s="152">
        <v>1899</v>
      </c>
      <c r="K629" s="152">
        <v>12</v>
      </c>
    </row>
    <row r="630" spans="1:11" ht="13.5" customHeight="1" x14ac:dyDescent="0.15">
      <c r="A630" s="141"/>
      <c r="B630" s="148">
        <v>627</v>
      </c>
      <c r="C630" s="163"/>
      <c r="D630" s="151"/>
      <c r="E630" s="151" t="s">
        <v>367</v>
      </c>
      <c r="F630" s="151" t="s">
        <v>367</v>
      </c>
      <c r="G630" s="151"/>
      <c r="H630" s="151"/>
      <c r="I630" s="151"/>
      <c r="J630" s="151">
        <v>1899</v>
      </c>
      <c r="K630" s="151">
        <v>12</v>
      </c>
    </row>
    <row r="631" spans="1:11" ht="13.5" customHeight="1" x14ac:dyDescent="0.15">
      <c r="A631" s="141"/>
      <c r="B631" s="148">
        <v>628</v>
      </c>
      <c r="C631" s="164"/>
      <c r="D631" s="152"/>
      <c r="E631" s="152" t="s">
        <v>367</v>
      </c>
      <c r="F631" s="152" t="s">
        <v>367</v>
      </c>
      <c r="G631" s="152"/>
      <c r="H631" s="152"/>
      <c r="I631" s="152"/>
      <c r="J631" s="152">
        <v>1899</v>
      </c>
      <c r="K631" s="152">
        <v>12</v>
      </c>
    </row>
    <row r="632" spans="1:11" ht="13.5" customHeight="1" x14ac:dyDescent="0.15">
      <c r="A632" s="141"/>
      <c r="B632" s="148">
        <v>629</v>
      </c>
      <c r="C632" s="163"/>
      <c r="D632" s="151"/>
      <c r="E632" s="151" t="s">
        <v>367</v>
      </c>
      <c r="F632" s="151" t="s">
        <v>367</v>
      </c>
      <c r="G632" s="151"/>
      <c r="H632" s="151"/>
      <c r="I632" s="151"/>
      <c r="J632" s="151">
        <v>1899</v>
      </c>
      <c r="K632" s="151">
        <v>12</v>
      </c>
    </row>
    <row r="633" spans="1:11" ht="13.5" customHeight="1" x14ac:dyDescent="0.15">
      <c r="A633" s="141"/>
      <c r="B633" s="148">
        <v>630</v>
      </c>
      <c r="C633" s="164"/>
      <c r="D633" s="152"/>
      <c r="E633" s="152" t="s">
        <v>367</v>
      </c>
      <c r="F633" s="152" t="s">
        <v>367</v>
      </c>
      <c r="G633" s="152"/>
      <c r="H633" s="152"/>
      <c r="I633" s="152"/>
      <c r="J633" s="152">
        <v>1899</v>
      </c>
      <c r="K633" s="152">
        <v>12</v>
      </c>
    </row>
    <row r="634" spans="1:11" ht="13.5" customHeight="1" x14ac:dyDescent="0.15">
      <c r="A634" s="141"/>
      <c r="B634" s="148">
        <v>631</v>
      </c>
      <c r="C634" s="163"/>
      <c r="D634" s="151"/>
      <c r="E634" s="151" t="s">
        <v>367</v>
      </c>
      <c r="F634" s="151" t="s">
        <v>367</v>
      </c>
      <c r="G634" s="151"/>
      <c r="H634" s="151"/>
      <c r="I634" s="151"/>
      <c r="J634" s="151">
        <v>1899</v>
      </c>
      <c r="K634" s="151">
        <v>12</v>
      </c>
    </row>
    <row r="635" spans="1:11" ht="13.5" customHeight="1" x14ac:dyDescent="0.15">
      <c r="A635" s="141"/>
      <c r="B635" s="148">
        <v>632</v>
      </c>
      <c r="C635" s="164"/>
      <c r="D635" s="152"/>
      <c r="E635" s="152" t="s">
        <v>367</v>
      </c>
      <c r="F635" s="152" t="s">
        <v>367</v>
      </c>
      <c r="G635" s="152"/>
      <c r="H635" s="152"/>
      <c r="I635" s="152"/>
      <c r="J635" s="152">
        <v>1899</v>
      </c>
      <c r="K635" s="152">
        <v>12</v>
      </c>
    </row>
    <row r="636" spans="1:11" ht="13.5" customHeight="1" x14ac:dyDescent="0.15">
      <c r="A636" s="141"/>
      <c r="B636" s="148">
        <v>633</v>
      </c>
      <c r="C636" s="163"/>
      <c r="D636" s="151"/>
      <c r="E636" s="151" t="s">
        <v>367</v>
      </c>
      <c r="F636" s="151" t="s">
        <v>367</v>
      </c>
      <c r="G636" s="151"/>
      <c r="H636" s="151"/>
      <c r="I636" s="151"/>
      <c r="J636" s="151">
        <v>1899</v>
      </c>
      <c r="K636" s="151">
        <v>12</v>
      </c>
    </row>
    <row r="637" spans="1:11" ht="13.5" customHeight="1" x14ac:dyDescent="0.15">
      <c r="A637" s="141"/>
      <c r="B637" s="148">
        <v>634</v>
      </c>
      <c r="C637" s="164"/>
      <c r="D637" s="152"/>
      <c r="E637" s="152" t="s">
        <v>367</v>
      </c>
      <c r="F637" s="152" t="s">
        <v>367</v>
      </c>
      <c r="G637" s="152"/>
      <c r="H637" s="152"/>
      <c r="I637" s="152"/>
      <c r="J637" s="152">
        <v>1899</v>
      </c>
      <c r="K637" s="152">
        <v>12</v>
      </c>
    </row>
    <row r="638" spans="1:11" ht="13.5" customHeight="1" x14ac:dyDescent="0.15">
      <c r="A638" s="141"/>
      <c r="B638" s="148">
        <v>635</v>
      </c>
      <c r="C638" s="163"/>
      <c r="D638" s="151"/>
      <c r="E638" s="151" t="s">
        <v>367</v>
      </c>
      <c r="F638" s="151" t="s">
        <v>367</v>
      </c>
      <c r="G638" s="151"/>
      <c r="H638" s="151"/>
      <c r="I638" s="151"/>
      <c r="J638" s="151">
        <v>1899</v>
      </c>
      <c r="K638" s="151">
        <v>12</v>
      </c>
    </row>
    <row r="639" spans="1:11" ht="13.5" customHeight="1" x14ac:dyDescent="0.15">
      <c r="A639" s="141"/>
      <c r="B639" s="148">
        <v>636</v>
      </c>
      <c r="C639" s="164"/>
      <c r="D639" s="152"/>
      <c r="E639" s="152" t="s">
        <v>367</v>
      </c>
      <c r="F639" s="152" t="s">
        <v>367</v>
      </c>
      <c r="G639" s="152"/>
      <c r="H639" s="152"/>
      <c r="I639" s="152"/>
      <c r="J639" s="152">
        <v>1899</v>
      </c>
      <c r="K639" s="152">
        <v>12</v>
      </c>
    </row>
    <row r="640" spans="1:11" ht="13.5" customHeight="1" x14ac:dyDescent="0.15">
      <c r="A640" s="141"/>
      <c r="B640" s="148">
        <v>637</v>
      </c>
      <c r="C640" s="163"/>
      <c r="D640" s="151"/>
      <c r="E640" s="151" t="s">
        <v>367</v>
      </c>
      <c r="F640" s="151" t="s">
        <v>367</v>
      </c>
      <c r="G640" s="151"/>
      <c r="H640" s="151"/>
      <c r="I640" s="151"/>
      <c r="J640" s="151">
        <v>1899</v>
      </c>
      <c r="K640" s="151">
        <v>12</v>
      </c>
    </row>
    <row r="641" spans="1:11" ht="13.5" customHeight="1" x14ac:dyDescent="0.15">
      <c r="A641" s="141"/>
      <c r="B641" s="148">
        <v>638</v>
      </c>
      <c r="C641" s="164"/>
      <c r="D641" s="152"/>
      <c r="E641" s="152" t="s">
        <v>367</v>
      </c>
      <c r="F641" s="152" t="s">
        <v>367</v>
      </c>
      <c r="G641" s="152"/>
      <c r="H641" s="152"/>
      <c r="I641" s="152"/>
      <c r="J641" s="152">
        <v>1899</v>
      </c>
      <c r="K641" s="152">
        <v>12</v>
      </c>
    </row>
    <row r="642" spans="1:11" ht="13.5" customHeight="1" x14ac:dyDescent="0.15">
      <c r="A642" s="141"/>
      <c r="B642" s="148">
        <v>639</v>
      </c>
      <c r="C642" s="163"/>
      <c r="D642" s="151"/>
      <c r="E642" s="151" t="s">
        <v>367</v>
      </c>
      <c r="F642" s="151" t="s">
        <v>367</v>
      </c>
      <c r="G642" s="151"/>
      <c r="H642" s="151"/>
      <c r="I642" s="151"/>
      <c r="J642" s="151">
        <v>1899</v>
      </c>
      <c r="K642" s="151">
        <v>12</v>
      </c>
    </row>
    <row r="643" spans="1:11" ht="13.5" customHeight="1" x14ac:dyDescent="0.15">
      <c r="A643" s="141"/>
      <c r="B643" s="148">
        <v>640</v>
      </c>
      <c r="C643" s="164"/>
      <c r="D643" s="152"/>
      <c r="E643" s="152" t="s">
        <v>367</v>
      </c>
      <c r="F643" s="152" t="s">
        <v>367</v>
      </c>
      <c r="G643" s="152"/>
      <c r="H643" s="152"/>
      <c r="I643" s="152"/>
      <c r="J643" s="152">
        <v>1899</v>
      </c>
      <c r="K643" s="152">
        <v>12</v>
      </c>
    </row>
    <row r="644" spans="1:11" ht="13.5" customHeight="1" x14ac:dyDescent="0.15">
      <c r="A644" s="141"/>
      <c r="B644" s="148">
        <v>641</v>
      </c>
      <c r="C644" s="163"/>
      <c r="D644" s="151"/>
      <c r="E644" s="151" t="s">
        <v>367</v>
      </c>
      <c r="F644" s="151" t="s">
        <v>367</v>
      </c>
      <c r="G644" s="151"/>
      <c r="H644" s="151"/>
      <c r="I644" s="151"/>
      <c r="J644" s="151">
        <v>1899</v>
      </c>
      <c r="K644" s="151">
        <v>12</v>
      </c>
    </row>
    <row r="645" spans="1:11" ht="13.5" customHeight="1" x14ac:dyDescent="0.15">
      <c r="A645" s="141"/>
      <c r="B645" s="148">
        <v>642</v>
      </c>
      <c r="C645" s="164"/>
      <c r="D645" s="152"/>
      <c r="E645" s="152" t="s">
        <v>367</v>
      </c>
      <c r="F645" s="152" t="s">
        <v>367</v>
      </c>
      <c r="G645" s="152"/>
      <c r="H645" s="152"/>
      <c r="I645" s="152"/>
      <c r="J645" s="152">
        <v>1899</v>
      </c>
      <c r="K645" s="152">
        <v>12</v>
      </c>
    </row>
    <row r="646" spans="1:11" ht="13.5" customHeight="1" x14ac:dyDescent="0.15">
      <c r="A646" s="141"/>
      <c r="B646" s="148">
        <v>643</v>
      </c>
      <c r="C646" s="163"/>
      <c r="D646" s="151"/>
      <c r="E646" s="151" t="s">
        <v>367</v>
      </c>
      <c r="F646" s="151" t="s">
        <v>367</v>
      </c>
      <c r="G646" s="151"/>
      <c r="H646" s="151"/>
      <c r="I646" s="151"/>
      <c r="J646" s="151">
        <v>1899</v>
      </c>
      <c r="K646" s="151">
        <v>12</v>
      </c>
    </row>
    <row r="647" spans="1:11" ht="13.5" customHeight="1" x14ac:dyDescent="0.15">
      <c r="A647" s="141"/>
      <c r="B647" s="148">
        <v>644</v>
      </c>
      <c r="C647" s="164"/>
      <c r="D647" s="152"/>
      <c r="E647" s="152" t="s">
        <v>367</v>
      </c>
      <c r="F647" s="152" t="s">
        <v>367</v>
      </c>
      <c r="G647" s="152"/>
      <c r="H647" s="152"/>
      <c r="I647" s="152"/>
      <c r="J647" s="152">
        <v>1899</v>
      </c>
      <c r="K647" s="152">
        <v>12</v>
      </c>
    </row>
    <row r="648" spans="1:11" ht="13.5" customHeight="1" x14ac:dyDescent="0.15">
      <c r="A648" s="141"/>
      <c r="B648" s="148">
        <v>645</v>
      </c>
      <c r="C648" s="163"/>
      <c r="D648" s="151"/>
      <c r="E648" s="151" t="s">
        <v>367</v>
      </c>
      <c r="F648" s="151" t="s">
        <v>367</v>
      </c>
      <c r="G648" s="151"/>
      <c r="H648" s="151"/>
      <c r="I648" s="151"/>
      <c r="J648" s="151">
        <v>1899</v>
      </c>
      <c r="K648" s="151">
        <v>12</v>
      </c>
    </row>
    <row r="649" spans="1:11" ht="13.5" customHeight="1" x14ac:dyDescent="0.15">
      <c r="A649" s="141"/>
      <c r="B649" s="148">
        <v>646</v>
      </c>
      <c r="C649" s="164"/>
      <c r="D649" s="152"/>
      <c r="E649" s="152" t="s">
        <v>367</v>
      </c>
      <c r="F649" s="152" t="s">
        <v>367</v>
      </c>
      <c r="G649" s="152"/>
      <c r="H649" s="152"/>
      <c r="I649" s="152"/>
      <c r="J649" s="152">
        <v>1899</v>
      </c>
      <c r="K649" s="152">
        <v>12</v>
      </c>
    </row>
    <row r="650" spans="1:11" ht="13.5" customHeight="1" x14ac:dyDescent="0.15">
      <c r="A650" s="141"/>
      <c r="B650" s="148">
        <v>647</v>
      </c>
      <c r="C650" s="163"/>
      <c r="D650" s="151"/>
      <c r="E650" s="151" t="s">
        <v>367</v>
      </c>
      <c r="F650" s="151" t="s">
        <v>367</v>
      </c>
      <c r="G650" s="151"/>
      <c r="H650" s="151"/>
      <c r="I650" s="151"/>
      <c r="J650" s="151">
        <v>1899</v>
      </c>
      <c r="K650" s="151">
        <v>12</v>
      </c>
    </row>
    <row r="651" spans="1:11" ht="13.5" customHeight="1" x14ac:dyDescent="0.15">
      <c r="A651" s="141"/>
      <c r="B651" s="148">
        <v>648</v>
      </c>
      <c r="C651" s="164"/>
      <c r="D651" s="152"/>
      <c r="E651" s="152" t="s">
        <v>367</v>
      </c>
      <c r="F651" s="152" t="s">
        <v>367</v>
      </c>
      <c r="G651" s="152"/>
      <c r="H651" s="152"/>
      <c r="I651" s="152"/>
      <c r="J651" s="152">
        <v>1899</v>
      </c>
      <c r="K651" s="152">
        <v>12</v>
      </c>
    </row>
    <row r="652" spans="1:11" ht="13.5" customHeight="1" x14ac:dyDescent="0.15">
      <c r="A652" s="141"/>
      <c r="B652" s="148">
        <v>649</v>
      </c>
      <c r="C652" s="163"/>
      <c r="D652" s="151"/>
      <c r="E652" s="151" t="s">
        <v>367</v>
      </c>
      <c r="F652" s="151" t="s">
        <v>367</v>
      </c>
      <c r="G652" s="151"/>
      <c r="H652" s="151"/>
      <c r="I652" s="151"/>
      <c r="J652" s="151">
        <v>1899</v>
      </c>
      <c r="K652" s="151">
        <v>12</v>
      </c>
    </row>
    <row r="653" spans="1:11" ht="13.5" customHeight="1" x14ac:dyDescent="0.15">
      <c r="A653" s="141"/>
      <c r="B653" s="148">
        <v>650</v>
      </c>
      <c r="C653" s="164"/>
      <c r="D653" s="152"/>
      <c r="E653" s="152" t="s">
        <v>367</v>
      </c>
      <c r="F653" s="152" t="s">
        <v>367</v>
      </c>
      <c r="G653" s="152"/>
      <c r="H653" s="152"/>
      <c r="I653" s="152"/>
      <c r="J653" s="152">
        <v>1899</v>
      </c>
      <c r="K653" s="152">
        <v>12</v>
      </c>
    </row>
    <row r="654" spans="1:11" ht="13.5" customHeight="1" x14ac:dyDescent="0.15">
      <c r="A654" s="141"/>
      <c r="B654" s="148">
        <v>651</v>
      </c>
      <c r="C654" s="163"/>
      <c r="D654" s="151"/>
      <c r="E654" s="151" t="s">
        <v>367</v>
      </c>
      <c r="F654" s="151" t="s">
        <v>367</v>
      </c>
      <c r="G654" s="151"/>
      <c r="H654" s="151"/>
      <c r="I654" s="151"/>
      <c r="J654" s="151">
        <v>1899</v>
      </c>
      <c r="K654" s="151">
        <v>12</v>
      </c>
    </row>
    <row r="655" spans="1:11" ht="13.5" customHeight="1" x14ac:dyDescent="0.15">
      <c r="A655" s="141"/>
      <c r="B655" s="148">
        <v>652</v>
      </c>
      <c r="C655" s="164"/>
      <c r="D655" s="152"/>
      <c r="E655" s="152" t="s">
        <v>367</v>
      </c>
      <c r="F655" s="152" t="s">
        <v>367</v>
      </c>
      <c r="G655" s="152"/>
      <c r="H655" s="152"/>
      <c r="I655" s="152"/>
      <c r="J655" s="152">
        <v>1899</v>
      </c>
      <c r="K655" s="152">
        <v>12</v>
      </c>
    </row>
    <row r="656" spans="1:11" ht="13.5" customHeight="1" x14ac:dyDescent="0.15">
      <c r="A656" s="141"/>
      <c r="B656" s="148">
        <v>653</v>
      </c>
      <c r="C656" s="163"/>
      <c r="D656" s="151"/>
      <c r="E656" s="151" t="s">
        <v>367</v>
      </c>
      <c r="F656" s="151" t="s">
        <v>367</v>
      </c>
      <c r="G656" s="151"/>
      <c r="H656" s="151"/>
      <c r="I656" s="151"/>
      <c r="J656" s="151">
        <v>1899</v>
      </c>
      <c r="K656" s="151">
        <v>12</v>
      </c>
    </row>
    <row r="657" spans="1:11" ht="13.5" customHeight="1" x14ac:dyDescent="0.15">
      <c r="A657" s="141"/>
      <c r="B657" s="148">
        <v>654</v>
      </c>
      <c r="C657" s="164"/>
      <c r="D657" s="152"/>
      <c r="E657" s="152" t="s">
        <v>367</v>
      </c>
      <c r="F657" s="152" t="s">
        <v>367</v>
      </c>
      <c r="G657" s="152"/>
      <c r="H657" s="152"/>
      <c r="I657" s="152"/>
      <c r="J657" s="152">
        <v>1899</v>
      </c>
      <c r="K657" s="152">
        <v>12</v>
      </c>
    </row>
    <row r="658" spans="1:11" ht="13.5" customHeight="1" x14ac:dyDescent="0.15">
      <c r="A658" s="141"/>
      <c r="B658" s="148">
        <v>655</v>
      </c>
      <c r="C658" s="163"/>
      <c r="D658" s="151"/>
      <c r="E658" s="151" t="s">
        <v>367</v>
      </c>
      <c r="F658" s="151" t="s">
        <v>367</v>
      </c>
      <c r="G658" s="151"/>
      <c r="H658" s="151"/>
      <c r="I658" s="151"/>
      <c r="J658" s="151">
        <v>1899</v>
      </c>
      <c r="K658" s="151">
        <v>12</v>
      </c>
    </row>
    <row r="659" spans="1:11" ht="13.5" customHeight="1" x14ac:dyDescent="0.15">
      <c r="A659" s="141"/>
      <c r="B659" s="148">
        <v>656</v>
      </c>
      <c r="C659" s="164"/>
      <c r="D659" s="152"/>
      <c r="E659" s="152" t="s">
        <v>367</v>
      </c>
      <c r="F659" s="152" t="s">
        <v>367</v>
      </c>
      <c r="G659" s="152"/>
      <c r="H659" s="152"/>
      <c r="I659" s="152"/>
      <c r="J659" s="152">
        <v>1899</v>
      </c>
      <c r="K659" s="152">
        <v>12</v>
      </c>
    </row>
    <row r="660" spans="1:11" ht="13.5" customHeight="1" x14ac:dyDescent="0.15">
      <c r="A660" s="141"/>
      <c r="B660" s="148">
        <v>657</v>
      </c>
      <c r="C660" s="163"/>
      <c r="D660" s="151"/>
      <c r="E660" s="151" t="s">
        <v>367</v>
      </c>
      <c r="F660" s="151" t="s">
        <v>367</v>
      </c>
      <c r="G660" s="151"/>
      <c r="H660" s="151"/>
      <c r="I660" s="151"/>
      <c r="J660" s="151">
        <v>1899</v>
      </c>
      <c r="K660" s="151">
        <v>12</v>
      </c>
    </row>
    <row r="661" spans="1:11" ht="13.5" customHeight="1" x14ac:dyDescent="0.15">
      <c r="A661" s="141"/>
      <c r="B661" s="148">
        <v>658</v>
      </c>
      <c r="C661" s="164"/>
      <c r="D661" s="152"/>
      <c r="E661" s="152" t="s">
        <v>367</v>
      </c>
      <c r="F661" s="152" t="s">
        <v>367</v>
      </c>
      <c r="G661" s="152"/>
      <c r="H661" s="152"/>
      <c r="I661" s="152"/>
      <c r="J661" s="152">
        <v>1899</v>
      </c>
      <c r="K661" s="152">
        <v>12</v>
      </c>
    </row>
    <row r="662" spans="1:11" ht="13.5" customHeight="1" x14ac:dyDescent="0.15">
      <c r="A662" s="141"/>
      <c r="B662" s="148">
        <v>659</v>
      </c>
      <c r="C662" s="163"/>
      <c r="D662" s="151"/>
      <c r="E662" s="151" t="s">
        <v>367</v>
      </c>
      <c r="F662" s="151" t="s">
        <v>367</v>
      </c>
      <c r="G662" s="151"/>
      <c r="H662" s="151"/>
      <c r="I662" s="151"/>
      <c r="J662" s="151">
        <v>1899</v>
      </c>
      <c r="K662" s="151">
        <v>12</v>
      </c>
    </row>
    <row r="663" spans="1:11" ht="13.5" customHeight="1" x14ac:dyDescent="0.15">
      <c r="A663" s="141"/>
      <c r="B663" s="148">
        <v>660</v>
      </c>
      <c r="C663" s="164"/>
      <c r="D663" s="152"/>
      <c r="E663" s="152" t="s">
        <v>367</v>
      </c>
      <c r="F663" s="152" t="s">
        <v>367</v>
      </c>
      <c r="G663" s="152"/>
      <c r="H663" s="152"/>
      <c r="I663" s="152"/>
      <c r="J663" s="152">
        <v>1899</v>
      </c>
      <c r="K663" s="152">
        <v>12</v>
      </c>
    </row>
    <row r="664" spans="1:11" ht="13.5" customHeight="1" x14ac:dyDescent="0.15">
      <c r="A664" s="141"/>
      <c r="B664" s="148">
        <v>661</v>
      </c>
      <c r="C664" s="163"/>
      <c r="D664" s="151"/>
      <c r="E664" s="151" t="s">
        <v>367</v>
      </c>
      <c r="F664" s="151" t="s">
        <v>367</v>
      </c>
      <c r="G664" s="151"/>
      <c r="H664" s="151"/>
      <c r="I664" s="151"/>
      <c r="J664" s="151">
        <v>1899</v>
      </c>
      <c r="K664" s="151">
        <v>12</v>
      </c>
    </row>
    <row r="665" spans="1:11" ht="13.5" customHeight="1" x14ac:dyDescent="0.15">
      <c r="A665" s="141"/>
      <c r="B665" s="148">
        <v>662</v>
      </c>
      <c r="C665" s="164"/>
      <c r="D665" s="152"/>
      <c r="E665" s="152" t="s">
        <v>367</v>
      </c>
      <c r="F665" s="152" t="s">
        <v>367</v>
      </c>
      <c r="G665" s="152"/>
      <c r="H665" s="152"/>
      <c r="I665" s="152"/>
      <c r="J665" s="152">
        <v>1899</v>
      </c>
      <c r="K665" s="152">
        <v>12</v>
      </c>
    </row>
    <row r="666" spans="1:11" ht="13.5" customHeight="1" x14ac:dyDescent="0.15">
      <c r="A666" s="141"/>
      <c r="B666" s="148">
        <v>663</v>
      </c>
      <c r="C666" s="163"/>
      <c r="D666" s="151"/>
      <c r="E666" s="151" t="s">
        <v>367</v>
      </c>
      <c r="F666" s="151" t="s">
        <v>367</v>
      </c>
      <c r="G666" s="151"/>
      <c r="H666" s="151"/>
      <c r="I666" s="151"/>
      <c r="J666" s="151">
        <v>1899</v>
      </c>
      <c r="K666" s="151">
        <v>12</v>
      </c>
    </row>
    <row r="667" spans="1:11" ht="13.5" customHeight="1" x14ac:dyDescent="0.15">
      <c r="A667" s="141"/>
      <c r="B667" s="148">
        <v>664</v>
      </c>
      <c r="C667" s="164"/>
      <c r="D667" s="152"/>
      <c r="E667" s="152" t="s">
        <v>367</v>
      </c>
      <c r="F667" s="152" t="s">
        <v>367</v>
      </c>
      <c r="G667" s="152"/>
      <c r="H667" s="152"/>
      <c r="I667" s="152"/>
      <c r="J667" s="152">
        <v>1899</v>
      </c>
      <c r="K667" s="152">
        <v>12</v>
      </c>
    </row>
    <row r="668" spans="1:11" ht="13.5" customHeight="1" x14ac:dyDescent="0.15">
      <c r="A668" s="141"/>
      <c r="B668" s="148">
        <v>665</v>
      </c>
      <c r="C668" s="163"/>
      <c r="D668" s="151"/>
      <c r="E668" s="151" t="s">
        <v>367</v>
      </c>
      <c r="F668" s="151" t="s">
        <v>367</v>
      </c>
      <c r="G668" s="151"/>
      <c r="H668" s="151"/>
      <c r="I668" s="151"/>
      <c r="J668" s="151">
        <v>1899</v>
      </c>
      <c r="K668" s="151">
        <v>12</v>
      </c>
    </row>
    <row r="669" spans="1:11" ht="13.5" customHeight="1" x14ac:dyDescent="0.15">
      <c r="A669" s="141"/>
      <c r="B669" s="148">
        <v>666</v>
      </c>
      <c r="C669" s="164"/>
      <c r="D669" s="152"/>
      <c r="E669" s="152" t="s">
        <v>367</v>
      </c>
      <c r="F669" s="152" t="s">
        <v>367</v>
      </c>
      <c r="G669" s="152"/>
      <c r="H669" s="152"/>
      <c r="I669" s="152"/>
      <c r="J669" s="152">
        <v>1899</v>
      </c>
      <c r="K669" s="152">
        <v>12</v>
      </c>
    </row>
    <row r="670" spans="1:11" ht="13.5" customHeight="1" x14ac:dyDescent="0.15">
      <c r="A670" s="141"/>
      <c r="B670" s="148">
        <v>667</v>
      </c>
      <c r="C670" s="163"/>
      <c r="D670" s="151"/>
      <c r="E670" s="151" t="s">
        <v>367</v>
      </c>
      <c r="F670" s="151" t="s">
        <v>367</v>
      </c>
      <c r="G670" s="151"/>
      <c r="H670" s="151"/>
      <c r="I670" s="151"/>
      <c r="J670" s="151">
        <v>1899</v>
      </c>
      <c r="K670" s="151">
        <v>12</v>
      </c>
    </row>
    <row r="671" spans="1:11" ht="13.5" customHeight="1" x14ac:dyDescent="0.15">
      <c r="A671" s="141"/>
      <c r="B671" s="148">
        <v>668</v>
      </c>
      <c r="C671" s="164"/>
      <c r="D671" s="152"/>
      <c r="E671" s="152" t="s">
        <v>367</v>
      </c>
      <c r="F671" s="152" t="s">
        <v>367</v>
      </c>
      <c r="G671" s="152"/>
      <c r="H671" s="152"/>
      <c r="I671" s="152"/>
      <c r="J671" s="152">
        <v>1899</v>
      </c>
      <c r="K671" s="152">
        <v>12</v>
      </c>
    </row>
    <row r="672" spans="1:11" ht="13.5" customHeight="1" x14ac:dyDescent="0.15">
      <c r="A672" s="141"/>
      <c r="B672" s="148">
        <v>669</v>
      </c>
      <c r="C672" s="163"/>
      <c r="D672" s="151"/>
      <c r="E672" s="151" t="s">
        <v>367</v>
      </c>
      <c r="F672" s="151" t="s">
        <v>367</v>
      </c>
      <c r="G672" s="151"/>
      <c r="H672" s="151"/>
      <c r="I672" s="151"/>
      <c r="J672" s="151">
        <v>1899</v>
      </c>
      <c r="K672" s="151">
        <v>12</v>
      </c>
    </row>
    <row r="673" spans="1:11" ht="13.5" customHeight="1" x14ac:dyDescent="0.15">
      <c r="A673" s="141"/>
      <c r="B673" s="148">
        <v>670</v>
      </c>
      <c r="C673" s="164"/>
      <c r="D673" s="152"/>
      <c r="E673" s="152" t="s">
        <v>367</v>
      </c>
      <c r="F673" s="152" t="s">
        <v>367</v>
      </c>
      <c r="G673" s="152"/>
      <c r="H673" s="152"/>
      <c r="I673" s="152"/>
      <c r="J673" s="152">
        <v>1899</v>
      </c>
      <c r="K673" s="152">
        <v>12</v>
      </c>
    </row>
    <row r="674" spans="1:11" ht="13.5" customHeight="1" x14ac:dyDescent="0.15">
      <c r="A674" s="141"/>
      <c r="B674" s="148">
        <v>671</v>
      </c>
      <c r="C674" s="163"/>
      <c r="D674" s="151"/>
      <c r="E674" s="151" t="s">
        <v>367</v>
      </c>
      <c r="F674" s="151" t="s">
        <v>367</v>
      </c>
      <c r="G674" s="151"/>
      <c r="H674" s="151"/>
      <c r="I674" s="151"/>
      <c r="J674" s="151">
        <v>1899</v>
      </c>
      <c r="K674" s="151">
        <v>12</v>
      </c>
    </row>
    <row r="675" spans="1:11" ht="13.5" customHeight="1" x14ac:dyDescent="0.15">
      <c r="A675" s="141"/>
      <c r="B675" s="148">
        <v>672</v>
      </c>
      <c r="C675" s="164"/>
      <c r="D675" s="152"/>
      <c r="E675" s="152" t="s">
        <v>367</v>
      </c>
      <c r="F675" s="152" t="s">
        <v>367</v>
      </c>
      <c r="G675" s="152"/>
      <c r="H675" s="152"/>
      <c r="I675" s="152"/>
      <c r="J675" s="152">
        <v>1899</v>
      </c>
      <c r="K675" s="152">
        <v>12</v>
      </c>
    </row>
    <row r="676" spans="1:11" ht="13.5" customHeight="1" x14ac:dyDescent="0.15">
      <c r="A676" s="141"/>
      <c r="B676" s="148">
        <v>673</v>
      </c>
      <c r="C676" s="163"/>
      <c r="D676" s="151"/>
      <c r="E676" s="151" t="s">
        <v>367</v>
      </c>
      <c r="F676" s="151" t="s">
        <v>367</v>
      </c>
      <c r="G676" s="151"/>
      <c r="H676" s="151"/>
      <c r="I676" s="151"/>
      <c r="J676" s="151">
        <v>1899</v>
      </c>
      <c r="K676" s="151">
        <v>12</v>
      </c>
    </row>
    <row r="677" spans="1:11" ht="13.5" customHeight="1" x14ac:dyDescent="0.15">
      <c r="A677" s="141"/>
      <c r="B677" s="148">
        <v>674</v>
      </c>
      <c r="C677" s="164"/>
      <c r="D677" s="152"/>
      <c r="E677" s="152" t="s">
        <v>367</v>
      </c>
      <c r="F677" s="152" t="s">
        <v>367</v>
      </c>
      <c r="G677" s="152"/>
      <c r="H677" s="152"/>
      <c r="I677" s="152"/>
      <c r="J677" s="152">
        <v>1899</v>
      </c>
      <c r="K677" s="152">
        <v>12</v>
      </c>
    </row>
    <row r="678" spans="1:11" ht="13.5" customHeight="1" x14ac:dyDescent="0.15">
      <c r="A678" s="141"/>
      <c r="B678" s="148">
        <v>675</v>
      </c>
      <c r="C678" s="163"/>
      <c r="D678" s="151"/>
      <c r="E678" s="151" t="s">
        <v>367</v>
      </c>
      <c r="F678" s="151" t="s">
        <v>367</v>
      </c>
      <c r="G678" s="151"/>
      <c r="H678" s="151"/>
      <c r="I678" s="151"/>
      <c r="J678" s="151">
        <v>1899</v>
      </c>
      <c r="K678" s="151">
        <v>12</v>
      </c>
    </row>
    <row r="679" spans="1:11" ht="13.5" customHeight="1" x14ac:dyDescent="0.15">
      <c r="A679" s="141"/>
      <c r="B679" s="148">
        <v>676</v>
      </c>
      <c r="C679" s="164"/>
      <c r="D679" s="152"/>
      <c r="E679" s="152" t="s">
        <v>367</v>
      </c>
      <c r="F679" s="152" t="s">
        <v>367</v>
      </c>
      <c r="G679" s="152"/>
      <c r="H679" s="152"/>
      <c r="I679" s="152"/>
      <c r="J679" s="152">
        <v>1899</v>
      </c>
      <c r="K679" s="152">
        <v>12</v>
      </c>
    </row>
    <row r="680" spans="1:11" ht="13.5" customHeight="1" x14ac:dyDescent="0.15">
      <c r="A680" s="141"/>
      <c r="B680" s="148">
        <v>677</v>
      </c>
      <c r="C680" s="163"/>
      <c r="D680" s="151"/>
      <c r="E680" s="151" t="s">
        <v>367</v>
      </c>
      <c r="F680" s="151" t="s">
        <v>367</v>
      </c>
      <c r="G680" s="151"/>
      <c r="H680" s="151"/>
      <c r="I680" s="151"/>
      <c r="J680" s="151">
        <v>1899</v>
      </c>
      <c r="K680" s="151">
        <v>12</v>
      </c>
    </row>
    <row r="681" spans="1:11" ht="13.5" customHeight="1" x14ac:dyDescent="0.15">
      <c r="A681" s="141"/>
      <c r="B681" s="148">
        <v>678</v>
      </c>
      <c r="C681" s="164"/>
      <c r="D681" s="152"/>
      <c r="E681" s="152" t="s">
        <v>367</v>
      </c>
      <c r="F681" s="152" t="s">
        <v>367</v>
      </c>
      <c r="G681" s="152"/>
      <c r="H681" s="152"/>
      <c r="I681" s="152"/>
      <c r="J681" s="152">
        <v>1899</v>
      </c>
      <c r="K681" s="152">
        <v>12</v>
      </c>
    </row>
    <row r="682" spans="1:11" ht="13.5" customHeight="1" x14ac:dyDescent="0.15">
      <c r="A682" s="141"/>
      <c r="B682" s="148">
        <v>679</v>
      </c>
      <c r="C682" s="163"/>
      <c r="D682" s="151"/>
      <c r="E682" s="151" t="s">
        <v>367</v>
      </c>
      <c r="F682" s="151" t="s">
        <v>367</v>
      </c>
      <c r="G682" s="151"/>
      <c r="H682" s="151"/>
      <c r="I682" s="151"/>
      <c r="J682" s="151">
        <v>1899</v>
      </c>
      <c r="K682" s="151">
        <v>12</v>
      </c>
    </row>
    <row r="683" spans="1:11" ht="13.5" customHeight="1" x14ac:dyDescent="0.15">
      <c r="A683" s="141"/>
      <c r="B683" s="148">
        <v>680</v>
      </c>
      <c r="C683" s="164"/>
      <c r="D683" s="152"/>
      <c r="E683" s="152" t="s">
        <v>367</v>
      </c>
      <c r="F683" s="152" t="s">
        <v>367</v>
      </c>
      <c r="G683" s="152"/>
      <c r="H683" s="152"/>
      <c r="I683" s="152"/>
      <c r="J683" s="152">
        <v>1899</v>
      </c>
      <c r="K683" s="152">
        <v>12</v>
      </c>
    </row>
    <row r="684" spans="1:11" ht="13.5" customHeight="1" x14ac:dyDescent="0.15">
      <c r="A684" s="141"/>
      <c r="B684" s="148">
        <v>681</v>
      </c>
      <c r="C684" s="163"/>
      <c r="D684" s="151"/>
      <c r="E684" s="151" t="s">
        <v>367</v>
      </c>
      <c r="F684" s="151" t="s">
        <v>367</v>
      </c>
      <c r="G684" s="151"/>
      <c r="H684" s="151"/>
      <c r="I684" s="151"/>
      <c r="J684" s="151">
        <v>1899</v>
      </c>
      <c r="K684" s="151">
        <v>12</v>
      </c>
    </row>
    <row r="685" spans="1:11" ht="13.5" customHeight="1" x14ac:dyDescent="0.15">
      <c r="A685" s="141"/>
      <c r="B685" s="148">
        <v>682</v>
      </c>
      <c r="C685" s="164"/>
      <c r="D685" s="152"/>
      <c r="E685" s="152" t="s">
        <v>367</v>
      </c>
      <c r="F685" s="152" t="s">
        <v>367</v>
      </c>
      <c r="G685" s="152"/>
      <c r="H685" s="152"/>
      <c r="I685" s="152"/>
      <c r="J685" s="152">
        <v>1899</v>
      </c>
      <c r="K685" s="152">
        <v>12</v>
      </c>
    </row>
    <row r="686" spans="1:11" ht="13.5" customHeight="1" x14ac:dyDescent="0.15">
      <c r="A686" s="141"/>
      <c r="B686" s="148">
        <v>683</v>
      </c>
      <c r="C686" s="163"/>
      <c r="D686" s="151"/>
      <c r="E686" s="151" t="s">
        <v>367</v>
      </c>
      <c r="F686" s="151" t="s">
        <v>367</v>
      </c>
      <c r="G686" s="151"/>
      <c r="H686" s="151"/>
      <c r="I686" s="151"/>
      <c r="J686" s="151">
        <v>1899</v>
      </c>
      <c r="K686" s="151">
        <v>12</v>
      </c>
    </row>
    <row r="687" spans="1:11" ht="13.5" customHeight="1" x14ac:dyDescent="0.15">
      <c r="A687" s="141"/>
      <c r="B687" s="148">
        <v>684</v>
      </c>
      <c r="C687" s="164"/>
      <c r="D687" s="152"/>
      <c r="E687" s="152" t="s">
        <v>367</v>
      </c>
      <c r="F687" s="152" t="s">
        <v>367</v>
      </c>
      <c r="G687" s="152"/>
      <c r="H687" s="152"/>
      <c r="I687" s="152"/>
      <c r="J687" s="152">
        <v>1899</v>
      </c>
      <c r="K687" s="152">
        <v>12</v>
      </c>
    </row>
    <row r="688" spans="1:11" ht="13.5" customHeight="1" x14ac:dyDescent="0.15">
      <c r="A688" s="141"/>
      <c r="B688" s="148">
        <v>685</v>
      </c>
      <c r="C688" s="163"/>
      <c r="D688" s="151"/>
      <c r="E688" s="151" t="s">
        <v>367</v>
      </c>
      <c r="F688" s="151" t="s">
        <v>367</v>
      </c>
      <c r="G688" s="151"/>
      <c r="H688" s="151"/>
      <c r="I688" s="151"/>
      <c r="J688" s="151">
        <v>1899</v>
      </c>
      <c r="K688" s="151">
        <v>12</v>
      </c>
    </row>
    <row r="689" spans="1:11" ht="13.5" customHeight="1" x14ac:dyDescent="0.15">
      <c r="A689" s="141"/>
      <c r="B689" s="148">
        <v>686</v>
      </c>
      <c r="C689" s="164"/>
      <c r="D689" s="152"/>
      <c r="E689" s="152" t="s">
        <v>367</v>
      </c>
      <c r="F689" s="152" t="s">
        <v>367</v>
      </c>
      <c r="G689" s="152"/>
      <c r="H689" s="152"/>
      <c r="I689" s="152"/>
      <c r="J689" s="152">
        <v>1899</v>
      </c>
      <c r="K689" s="152">
        <v>12</v>
      </c>
    </row>
    <row r="690" spans="1:11" ht="13.5" customHeight="1" x14ac:dyDescent="0.15">
      <c r="A690" s="141"/>
      <c r="B690" s="148">
        <v>687</v>
      </c>
      <c r="C690" s="163"/>
      <c r="D690" s="151"/>
      <c r="E690" s="151" t="s">
        <v>367</v>
      </c>
      <c r="F690" s="151" t="s">
        <v>367</v>
      </c>
      <c r="G690" s="151"/>
      <c r="H690" s="151"/>
      <c r="I690" s="151"/>
      <c r="J690" s="151">
        <v>1899</v>
      </c>
      <c r="K690" s="151">
        <v>12</v>
      </c>
    </row>
    <row r="691" spans="1:11" ht="13.5" customHeight="1" x14ac:dyDescent="0.15">
      <c r="A691" s="141"/>
      <c r="B691" s="148">
        <v>688</v>
      </c>
      <c r="C691" s="164"/>
      <c r="D691" s="152"/>
      <c r="E691" s="152" t="s">
        <v>367</v>
      </c>
      <c r="F691" s="152" t="s">
        <v>367</v>
      </c>
      <c r="G691" s="152"/>
      <c r="H691" s="152"/>
      <c r="I691" s="152"/>
      <c r="J691" s="152">
        <v>1899</v>
      </c>
      <c r="K691" s="152">
        <v>12</v>
      </c>
    </row>
    <row r="692" spans="1:11" ht="13.5" customHeight="1" x14ac:dyDescent="0.15">
      <c r="A692" s="141"/>
      <c r="B692" s="148">
        <v>689</v>
      </c>
      <c r="C692" s="163"/>
      <c r="D692" s="151"/>
      <c r="E692" s="151" t="s">
        <v>367</v>
      </c>
      <c r="F692" s="151" t="s">
        <v>367</v>
      </c>
      <c r="G692" s="151"/>
      <c r="H692" s="151"/>
      <c r="I692" s="151"/>
      <c r="J692" s="151">
        <v>1899</v>
      </c>
      <c r="K692" s="151">
        <v>12</v>
      </c>
    </row>
    <row r="693" spans="1:11" ht="13.5" customHeight="1" x14ac:dyDescent="0.15">
      <c r="A693" s="141"/>
      <c r="B693" s="148">
        <v>690</v>
      </c>
      <c r="C693" s="164"/>
      <c r="D693" s="152"/>
      <c r="E693" s="152" t="s">
        <v>367</v>
      </c>
      <c r="F693" s="152" t="s">
        <v>367</v>
      </c>
      <c r="G693" s="152"/>
      <c r="H693" s="152"/>
      <c r="I693" s="152"/>
      <c r="J693" s="152">
        <v>1899</v>
      </c>
      <c r="K693" s="152">
        <v>12</v>
      </c>
    </row>
    <row r="694" spans="1:11" ht="13.5" customHeight="1" x14ac:dyDescent="0.15">
      <c r="A694" s="141"/>
      <c r="B694" s="148">
        <v>691</v>
      </c>
      <c r="C694" s="163"/>
      <c r="D694" s="151"/>
      <c r="E694" s="151" t="s">
        <v>367</v>
      </c>
      <c r="F694" s="151" t="s">
        <v>367</v>
      </c>
      <c r="G694" s="151"/>
      <c r="H694" s="151"/>
      <c r="I694" s="151"/>
      <c r="J694" s="151">
        <v>1899</v>
      </c>
      <c r="K694" s="151">
        <v>12</v>
      </c>
    </row>
    <row r="695" spans="1:11" ht="13.5" customHeight="1" x14ac:dyDescent="0.15">
      <c r="A695" s="141"/>
      <c r="B695" s="148">
        <v>692</v>
      </c>
      <c r="C695" s="164"/>
      <c r="D695" s="152"/>
      <c r="E695" s="152" t="s">
        <v>367</v>
      </c>
      <c r="F695" s="152" t="s">
        <v>367</v>
      </c>
      <c r="G695" s="152"/>
      <c r="H695" s="152"/>
      <c r="I695" s="152"/>
      <c r="J695" s="152">
        <v>1899</v>
      </c>
      <c r="K695" s="152">
        <v>12</v>
      </c>
    </row>
    <row r="696" spans="1:11" ht="13.5" customHeight="1" x14ac:dyDescent="0.15">
      <c r="A696" s="141"/>
      <c r="B696" s="148">
        <v>693</v>
      </c>
      <c r="C696" s="163"/>
      <c r="D696" s="151"/>
      <c r="E696" s="151" t="s">
        <v>367</v>
      </c>
      <c r="F696" s="151" t="s">
        <v>367</v>
      </c>
      <c r="G696" s="151"/>
      <c r="H696" s="151"/>
      <c r="I696" s="151"/>
      <c r="J696" s="151">
        <v>1899</v>
      </c>
      <c r="K696" s="151">
        <v>12</v>
      </c>
    </row>
    <row r="697" spans="1:11" ht="13.5" customHeight="1" x14ac:dyDescent="0.15">
      <c r="A697" s="141"/>
      <c r="B697" s="148">
        <v>694</v>
      </c>
      <c r="C697" s="164"/>
      <c r="D697" s="152"/>
      <c r="E697" s="152" t="s">
        <v>367</v>
      </c>
      <c r="F697" s="152" t="s">
        <v>367</v>
      </c>
      <c r="G697" s="152"/>
      <c r="H697" s="152"/>
      <c r="I697" s="152"/>
      <c r="J697" s="152">
        <v>1899</v>
      </c>
      <c r="K697" s="152">
        <v>12</v>
      </c>
    </row>
    <row r="698" spans="1:11" ht="13.5" customHeight="1" x14ac:dyDescent="0.15">
      <c r="A698" s="141"/>
      <c r="B698" s="148">
        <v>695</v>
      </c>
      <c r="C698" s="163"/>
      <c r="D698" s="151"/>
      <c r="E698" s="151" t="s">
        <v>367</v>
      </c>
      <c r="F698" s="151" t="s">
        <v>367</v>
      </c>
      <c r="G698" s="151"/>
      <c r="H698" s="151"/>
      <c r="I698" s="151"/>
      <c r="J698" s="151">
        <v>1899</v>
      </c>
      <c r="K698" s="151">
        <v>12</v>
      </c>
    </row>
    <row r="699" spans="1:11" ht="13.5" customHeight="1" x14ac:dyDescent="0.15">
      <c r="A699" s="141"/>
      <c r="B699" s="148">
        <v>696</v>
      </c>
      <c r="C699" s="164"/>
      <c r="D699" s="152"/>
      <c r="E699" s="152" t="s">
        <v>367</v>
      </c>
      <c r="F699" s="152" t="s">
        <v>367</v>
      </c>
      <c r="G699" s="152"/>
      <c r="H699" s="152"/>
      <c r="I699" s="152"/>
      <c r="J699" s="152">
        <v>1899</v>
      </c>
      <c r="K699" s="152">
        <v>12</v>
      </c>
    </row>
    <row r="700" spans="1:11" ht="13.5" customHeight="1" x14ac:dyDescent="0.15">
      <c r="A700" s="141"/>
      <c r="B700" s="148">
        <v>697</v>
      </c>
      <c r="C700" s="163"/>
      <c r="D700" s="151"/>
      <c r="E700" s="151" t="s">
        <v>367</v>
      </c>
      <c r="F700" s="151" t="s">
        <v>367</v>
      </c>
      <c r="G700" s="151"/>
      <c r="H700" s="151"/>
      <c r="I700" s="151"/>
      <c r="J700" s="151">
        <v>1899</v>
      </c>
      <c r="K700" s="151">
        <v>12</v>
      </c>
    </row>
    <row r="701" spans="1:11" ht="13.5" customHeight="1" x14ac:dyDescent="0.15">
      <c r="A701" s="141"/>
      <c r="B701" s="148">
        <v>698</v>
      </c>
      <c r="C701" s="164"/>
      <c r="D701" s="152"/>
      <c r="E701" s="152" t="s">
        <v>367</v>
      </c>
      <c r="F701" s="152" t="s">
        <v>367</v>
      </c>
      <c r="G701" s="152"/>
      <c r="H701" s="152"/>
      <c r="I701" s="152"/>
      <c r="J701" s="152">
        <v>1899</v>
      </c>
      <c r="K701" s="152">
        <v>12</v>
      </c>
    </row>
    <row r="702" spans="1:11" ht="13.5" customHeight="1" x14ac:dyDescent="0.15">
      <c r="A702" s="141"/>
      <c r="B702" s="148">
        <v>699</v>
      </c>
      <c r="C702" s="163"/>
      <c r="D702" s="151"/>
      <c r="E702" s="151" t="s">
        <v>367</v>
      </c>
      <c r="F702" s="151" t="s">
        <v>367</v>
      </c>
      <c r="G702" s="151"/>
      <c r="H702" s="151"/>
      <c r="I702" s="151"/>
      <c r="J702" s="151">
        <v>1899</v>
      </c>
      <c r="K702" s="151">
        <v>12</v>
      </c>
    </row>
    <row r="703" spans="1:11" ht="13.5" customHeight="1" x14ac:dyDescent="0.15">
      <c r="A703" s="141"/>
      <c r="B703" s="148">
        <v>700</v>
      </c>
      <c r="C703" s="164"/>
      <c r="D703" s="152"/>
      <c r="E703" s="152" t="s">
        <v>367</v>
      </c>
      <c r="F703" s="152" t="s">
        <v>367</v>
      </c>
      <c r="G703" s="152"/>
      <c r="H703" s="152"/>
      <c r="I703" s="152"/>
      <c r="J703" s="152">
        <v>1899</v>
      </c>
      <c r="K703" s="152">
        <v>12</v>
      </c>
    </row>
    <row r="704" spans="1:11" ht="13.5" customHeight="1" x14ac:dyDescent="0.15">
      <c r="A704" s="141"/>
      <c r="B704" s="148">
        <v>701</v>
      </c>
      <c r="C704" s="163"/>
      <c r="D704" s="151"/>
      <c r="E704" s="151" t="s">
        <v>367</v>
      </c>
      <c r="F704" s="151" t="s">
        <v>367</v>
      </c>
      <c r="G704" s="151"/>
      <c r="H704" s="151"/>
      <c r="I704" s="151"/>
      <c r="J704" s="151">
        <v>1899</v>
      </c>
      <c r="K704" s="151">
        <v>12</v>
      </c>
    </row>
    <row r="705" spans="1:11" ht="13.5" customHeight="1" x14ac:dyDescent="0.15">
      <c r="A705" s="141"/>
      <c r="B705" s="148">
        <v>702</v>
      </c>
      <c r="C705" s="164"/>
      <c r="D705" s="152"/>
      <c r="E705" s="152" t="s">
        <v>367</v>
      </c>
      <c r="F705" s="152" t="s">
        <v>367</v>
      </c>
      <c r="G705" s="152"/>
      <c r="H705" s="152"/>
      <c r="I705" s="152"/>
      <c r="J705" s="152">
        <v>1899</v>
      </c>
      <c r="K705" s="152">
        <v>12</v>
      </c>
    </row>
    <row r="706" spans="1:11" ht="13.5" customHeight="1" x14ac:dyDescent="0.15">
      <c r="A706" s="141"/>
      <c r="B706" s="148">
        <v>703</v>
      </c>
      <c r="C706" s="163"/>
      <c r="D706" s="151"/>
      <c r="E706" s="151" t="s">
        <v>367</v>
      </c>
      <c r="F706" s="151" t="s">
        <v>367</v>
      </c>
      <c r="G706" s="151"/>
      <c r="H706" s="151"/>
      <c r="I706" s="151"/>
      <c r="J706" s="151">
        <v>1899</v>
      </c>
      <c r="K706" s="151">
        <v>12</v>
      </c>
    </row>
    <row r="707" spans="1:11" ht="13.5" customHeight="1" x14ac:dyDescent="0.15">
      <c r="A707" s="141"/>
      <c r="B707" s="148">
        <v>704</v>
      </c>
      <c r="C707" s="164"/>
      <c r="D707" s="152"/>
      <c r="E707" s="152" t="s">
        <v>367</v>
      </c>
      <c r="F707" s="152" t="s">
        <v>367</v>
      </c>
      <c r="G707" s="152"/>
      <c r="H707" s="152"/>
      <c r="I707" s="152"/>
      <c r="J707" s="152">
        <v>1899</v>
      </c>
      <c r="K707" s="152">
        <v>12</v>
      </c>
    </row>
    <row r="708" spans="1:11" ht="13.5" customHeight="1" x14ac:dyDescent="0.15">
      <c r="A708" s="141"/>
      <c r="B708" s="148">
        <v>705</v>
      </c>
      <c r="C708" s="163"/>
      <c r="D708" s="151"/>
      <c r="E708" s="151" t="s">
        <v>367</v>
      </c>
      <c r="F708" s="151" t="s">
        <v>367</v>
      </c>
      <c r="G708" s="151"/>
      <c r="H708" s="151"/>
      <c r="I708" s="151"/>
      <c r="J708" s="151">
        <v>1899</v>
      </c>
      <c r="K708" s="151">
        <v>12</v>
      </c>
    </row>
    <row r="709" spans="1:11" ht="13.5" customHeight="1" x14ac:dyDescent="0.15">
      <c r="A709" s="141"/>
      <c r="B709" s="148">
        <v>706</v>
      </c>
      <c r="C709" s="164"/>
      <c r="D709" s="152"/>
      <c r="E709" s="152" t="s">
        <v>367</v>
      </c>
      <c r="F709" s="152" t="s">
        <v>367</v>
      </c>
      <c r="G709" s="152"/>
      <c r="H709" s="152"/>
      <c r="I709" s="152"/>
      <c r="J709" s="152">
        <v>1899</v>
      </c>
      <c r="K709" s="152">
        <v>12</v>
      </c>
    </row>
    <row r="710" spans="1:11" ht="13.5" customHeight="1" x14ac:dyDescent="0.15">
      <c r="A710" s="141"/>
      <c r="B710" s="148">
        <v>707</v>
      </c>
      <c r="C710" s="163"/>
      <c r="D710" s="151"/>
      <c r="E710" s="151" t="s">
        <v>367</v>
      </c>
      <c r="F710" s="151" t="s">
        <v>367</v>
      </c>
      <c r="G710" s="151"/>
      <c r="H710" s="151"/>
      <c r="I710" s="151"/>
      <c r="J710" s="151">
        <v>1899</v>
      </c>
      <c r="K710" s="151">
        <v>12</v>
      </c>
    </row>
    <row r="711" spans="1:11" ht="13.5" customHeight="1" x14ac:dyDescent="0.15">
      <c r="A711" s="141"/>
      <c r="B711" s="148">
        <v>708</v>
      </c>
      <c r="C711" s="164"/>
      <c r="D711" s="152"/>
      <c r="E711" s="152" t="s">
        <v>367</v>
      </c>
      <c r="F711" s="152" t="s">
        <v>367</v>
      </c>
      <c r="G711" s="152"/>
      <c r="H711" s="152"/>
      <c r="I711" s="152"/>
      <c r="J711" s="152">
        <v>1899</v>
      </c>
      <c r="K711" s="152">
        <v>12</v>
      </c>
    </row>
    <row r="712" spans="1:11" ht="13.5" customHeight="1" x14ac:dyDescent="0.15">
      <c r="A712" s="141"/>
      <c r="B712" s="148">
        <v>709</v>
      </c>
      <c r="C712" s="163"/>
      <c r="D712" s="151"/>
      <c r="E712" s="151" t="s">
        <v>367</v>
      </c>
      <c r="F712" s="151" t="s">
        <v>367</v>
      </c>
      <c r="G712" s="151"/>
      <c r="H712" s="151"/>
      <c r="I712" s="151"/>
      <c r="J712" s="151">
        <v>1899</v>
      </c>
      <c r="K712" s="151">
        <v>12</v>
      </c>
    </row>
    <row r="713" spans="1:11" ht="13.5" customHeight="1" x14ac:dyDescent="0.15">
      <c r="A713" s="141"/>
      <c r="B713" s="148">
        <v>710</v>
      </c>
      <c r="C713" s="164"/>
      <c r="D713" s="152"/>
      <c r="E713" s="152" t="s">
        <v>367</v>
      </c>
      <c r="F713" s="152" t="s">
        <v>367</v>
      </c>
      <c r="G713" s="152"/>
      <c r="H713" s="152"/>
      <c r="I713" s="152"/>
      <c r="J713" s="152">
        <v>1899</v>
      </c>
      <c r="K713" s="152">
        <v>12</v>
      </c>
    </row>
    <row r="714" spans="1:11" ht="13.5" customHeight="1" x14ac:dyDescent="0.15">
      <c r="A714" s="141"/>
      <c r="B714" s="148">
        <v>711</v>
      </c>
      <c r="C714" s="163"/>
      <c r="D714" s="151"/>
      <c r="E714" s="151" t="s">
        <v>367</v>
      </c>
      <c r="F714" s="151" t="s">
        <v>367</v>
      </c>
      <c r="G714" s="151"/>
      <c r="H714" s="151"/>
      <c r="I714" s="151"/>
      <c r="J714" s="151">
        <v>1899</v>
      </c>
      <c r="K714" s="151">
        <v>12</v>
      </c>
    </row>
    <row r="715" spans="1:11" ht="13.5" customHeight="1" x14ac:dyDescent="0.15">
      <c r="A715" s="141"/>
      <c r="B715" s="148">
        <v>712</v>
      </c>
      <c r="C715" s="164"/>
      <c r="D715" s="152"/>
      <c r="E715" s="152" t="s">
        <v>367</v>
      </c>
      <c r="F715" s="152" t="s">
        <v>367</v>
      </c>
      <c r="G715" s="152"/>
      <c r="H715" s="152"/>
      <c r="I715" s="152"/>
      <c r="J715" s="152">
        <v>1899</v>
      </c>
      <c r="K715" s="152">
        <v>12</v>
      </c>
    </row>
    <row r="716" spans="1:11" ht="13.5" customHeight="1" x14ac:dyDescent="0.15">
      <c r="A716" s="141"/>
      <c r="B716" s="148">
        <v>713</v>
      </c>
      <c r="C716" s="163"/>
      <c r="D716" s="151"/>
      <c r="E716" s="151" t="s">
        <v>367</v>
      </c>
      <c r="F716" s="151" t="s">
        <v>367</v>
      </c>
      <c r="G716" s="151"/>
      <c r="H716" s="151"/>
      <c r="I716" s="151"/>
      <c r="J716" s="151">
        <v>1899</v>
      </c>
      <c r="K716" s="151">
        <v>12</v>
      </c>
    </row>
    <row r="717" spans="1:11" ht="13.5" customHeight="1" x14ac:dyDescent="0.15">
      <c r="A717" s="141"/>
      <c r="B717" s="148">
        <v>714</v>
      </c>
      <c r="C717" s="164"/>
      <c r="D717" s="152"/>
      <c r="E717" s="152" t="s">
        <v>367</v>
      </c>
      <c r="F717" s="152" t="s">
        <v>367</v>
      </c>
      <c r="G717" s="152"/>
      <c r="H717" s="152"/>
      <c r="I717" s="152"/>
      <c r="J717" s="152">
        <v>1899</v>
      </c>
      <c r="K717" s="152">
        <v>12</v>
      </c>
    </row>
    <row r="718" spans="1:11" ht="13.5" customHeight="1" x14ac:dyDescent="0.15">
      <c r="A718" s="141"/>
      <c r="B718" s="148">
        <v>715</v>
      </c>
      <c r="C718" s="163"/>
      <c r="D718" s="151"/>
      <c r="E718" s="151" t="s">
        <v>367</v>
      </c>
      <c r="F718" s="151" t="s">
        <v>367</v>
      </c>
      <c r="G718" s="151"/>
      <c r="H718" s="151"/>
      <c r="I718" s="151"/>
      <c r="J718" s="151">
        <v>1899</v>
      </c>
      <c r="K718" s="151">
        <v>12</v>
      </c>
    </row>
    <row r="719" spans="1:11" ht="13.5" customHeight="1" x14ac:dyDescent="0.15">
      <c r="A719" s="141"/>
      <c r="B719" s="148">
        <v>716</v>
      </c>
      <c r="C719" s="164"/>
      <c r="D719" s="152"/>
      <c r="E719" s="152" t="s">
        <v>367</v>
      </c>
      <c r="F719" s="152" t="s">
        <v>367</v>
      </c>
      <c r="G719" s="152"/>
      <c r="H719" s="152"/>
      <c r="I719" s="152"/>
      <c r="J719" s="152">
        <v>1899</v>
      </c>
      <c r="K719" s="152">
        <v>12</v>
      </c>
    </row>
    <row r="720" spans="1:11" ht="13.5" customHeight="1" x14ac:dyDescent="0.15">
      <c r="A720" s="141"/>
      <c r="B720" s="148">
        <v>717</v>
      </c>
      <c r="C720" s="163"/>
      <c r="D720" s="151"/>
      <c r="E720" s="151" t="s">
        <v>367</v>
      </c>
      <c r="F720" s="151" t="s">
        <v>367</v>
      </c>
      <c r="G720" s="151"/>
      <c r="H720" s="151"/>
      <c r="I720" s="151"/>
      <c r="J720" s="151">
        <v>1899</v>
      </c>
      <c r="K720" s="151">
        <v>12</v>
      </c>
    </row>
    <row r="721" spans="1:11" ht="13.5" customHeight="1" x14ac:dyDescent="0.15">
      <c r="A721" s="141"/>
      <c r="B721" s="148">
        <v>718</v>
      </c>
      <c r="C721" s="164"/>
      <c r="D721" s="152"/>
      <c r="E721" s="152" t="s">
        <v>367</v>
      </c>
      <c r="F721" s="152" t="s">
        <v>367</v>
      </c>
      <c r="G721" s="152"/>
      <c r="H721" s="152"/>
      <c r="I721" s="152"/>
      <c r="J721" s="152">
        <v>1899</v>
      </c>
      <c r="K721" s="152">
        <v>12</v>
      </c>
    </row>
    <row r="722" spans="1:11" ht="13.5" customHeight="1" x14ac:dyDescent="0.15">
      <c r="A722" s="141"/>
      <c r="B722" s="148">
        <v>719</v>
      </c>
      <c r="C722" s="163"/>
      <c r="D722" s="151"/>
      <c r="E722" s="151" t="s">
        <v>367</v>
      </c>
      <c r="F722" s="151" t="s">
        <v>367</v>
      </c>
      <c r="G722" s="151"/>
      <c r="H722" s="151"/>
      <c r="I722" s="151"/>
      <c r="J722" s="151">
        <v>1899</v>
      </c>
      <c r="K722" s="151">
        <v>12</v>
      </c>
    </row>
    <row r="723" spans="1:11" ht="13.5" customHeight="1" x14ac:dyDescent="0.15">
      <c r="A723" s="141"/>
      <c r="B723" s="148">
        <v>720</v>
      </c>
      <c r="C723" s="164"/>
      <c r="D723" s="152"/>
      <c r="E723" s="152" t="s">
        <v>367</v>
      </c>
      <c r="F723" s="152" t="s">
        <v>367</v>
      </c>
      <c r="G723" s="152"/>
      <c r="H723" s="152"/>
      <c r="I723" s="152"/>
      <c r="J723" s="152">
        <v>1899</v>
      </c>
      <c r="K723" s="152">
        <v>12</v>
      </c>
    </row>
    <row r="724" spans="1:11" ht="13.5" customHeight="1" x14ac:dyDescent="0.15">
      <c r="A724" s="141"/>
      <c r="B724" s="148">
        <v>721</v>
      </c>
      <c r="C724" s="163"/>
      <c r="D724" s="151"/>
      <c r="E724" s="151" t="s">
        <v>367</v>
      </c>
      <c r="F724" s="151" t="s">
        <v>367</v>
      </c>
      <c r="G724" s="151"/>
      <c r="H724" s="151"/>
      <c r="I724" s="151"/>
      <c r="J724" s="151">
        <v>1899</v>
      </c>
      <c r="K724" s="151">
        <v>12</v>
      </c>
    </row>
    <row r="725" spans="1:11" ht="13.5" customHeight="1" x14ac:dyDescent="0.15">
      <c r="A725" s="141"/>
      <c r="B725" s="148">
        <v>722</v>
      </c>
      <c r="C725" s="164"/>
      <c r="D725" s="152"/>
      <c r="E725" s="152" t="s">
        <v>367</v>
      </c>
      <c r="F725" s="152" t="s">
        <v>367</v>
      </c>
      <c r="G725" s="152"/>
      <c r="H725" s="152"/>
      <c r="I725" s="152"/>
      <c r="J725" s="152">
        <v>1899</v>
      </c>
      <c r="K725" s="152">
        <v>12</v>
      </c>
    </row>
    <row r="726" spans="1:11" ht="13.5" customHeight="1" x14ac:dyDescent="0.15">
      <c r="A726" s="141"/>
      <c r="B726" s="148">
        <v>723</v>
      </c>
      <c r="C726" s="163"/>
      <c r="D726" s="151"/>
      <c r="E726" s="151" t="s">
        <v>367</v>
      </c>
      <c r="F726" s="151" t="s">
        <v>367</v>
      </c>
      <c r="G726" s="151"/>
      <c r="H726" s="151"/>
      <c r="I726" s="151"/>
      <c r="J726" s="151">
        <v>1899</v>
      </c>
      <c r="K726" s="151">
        <v>12</v>
      </c>
    </row>
    <row r="727" spans="1:11" ht="13.5" customHeight="1" x14ac:dyDescent="0.15">
      <c r="A727" s="141"/>
      <c r="B727" s="148">
        <v>724</v>
      </c>
      <c r="C727" s="164"/>
      <c r="D727" s="152"/>
      <c r="E727" s="152" t="s">
        <v>367</v>
      </c>
      <c r="F727" s="152" t="s">
        <v>367</v>
      </c>
      <c r="G727" s="152"/>
      <c r="H727" s="152"/>
      <c r="I727" s="152"/>
      <c r="J727" s="152">
        <v>1899</v>
      </c>
      <c r="K727" s="152">
        <v>12</v>
      </c>
    </row>
    <row r="728" spans="1:11" ht="13.5" customHeight="1" x14ac:dyDescent="0.15">
      <c r="A728" s="141"/>
      <c r="B728" s="148">
        <v>725</v>
      </c>
      <c r="C728" s="163"/>
      <c r="D728" s="151"/>
      <c r="E728" s="151" t="s">
        <v>367</v>
      </c>
      <c r="F728" s="151" t="s">
        <v>367</v>
      </c>
      <c r="G728" s="151"/>
      <c r="H728" s="151"/>
      <c r="I728" s="151"/>
      <c r="J728" s="151">
        <v>1899</v>
      </c>
      <c r="K728" s="151">
        <v>12</v>
      </c>
    </row>
    <row r="729" spans="1:11" ht="13.5" customHeight="1" x14ac:dyDescent="0.15">
      <c r="A729" s="141"/>
      <c r="B729" s="148">
        <v>726</v>
      </c>
      <c r="C729" s="164"/>
      <c r="D729" s="152"/>
      <c r="E729" s="152" t="s">
        <v>367</v>
      </c>
      <c r="F729" s="152" t="s">
        <v>367</v>
      </c>
      <c r="G729" s="152"/>
      <c r="H729" s="152"/>
      <c r="I729" s="152"/>
      <c r="J729" s="152">
        <v>1899</v>
      </c>
      <c r="K729" s="152">
        <v>12</v>
      </c>
    </row>
    <row r="730" spans="1:11" ht="13.5" customHeight="1" x14ac:dyDescent="0.15">
      <c r="A730" s="141"/>
      <c r="B730" s="148">
        <v>727</v>
      </c>
      <c r="C730" s="163"/>
      <c r="D730" s="151"/>
      <c r="E730" s="151" t="s">
        <v>367</v>
      </c>
      <c r="F730" s="151" t="s">
        <v>367</v>
      </c>
      <c r="G730" s="151"/>
      <c r="H730" s="151"/>
      <c r="I730" s="151"/>
      <c r="J730" s="151">
        <v>1899</v>
      </c>
      <c r="K730" s="151">
        <v>12</v>
      </c>
    </row>
    <row r="731" spans="1:11" ht="13.5" customHeight="1" x14ac:dyDescent="0.15">
      <c r="A731" s="141"/>
      <c r="B731" s="148">
        <v>728</v>
      </c>
      <c r="C731" s="164"/>
      <c r="D731" s="152"/>
      <c r="E731" s="152" t="s">
        <v>367</v>
      </c>
      <c r="F731" s="152" t="s">
        <v>367</v>
      </c>
      <c r="G731" s="152"/>
      <c r="H731" s="152"/>
      <c r="I731" s="152"/>
      <c r="J731" s="152">
        <v>1899</v>
      </c>
      <c r="K731" s="152">
        <v>12</v>
      </c>
    </row>
    <row r="732" spans="1:11" ht="13.5" customHeight="1" x14ac:dyDescent="0.15">
      <c r="A732" s="141"/>
      <c r="B732" s="148">
        <v>729</v>
      </c>
      <c r="C732" s="163"/>
      <c r="D732" s="151"/>
      <c r="E732" s="151" t="s">
        <v>367</v>
      </c>
      <c r="F732" s="151" t="s">
        <v>367</v>
      </c>
      <c r="G732" s="151"/>
      <c r="H732" s="151"/>
      <c r="I732" s="151"/>
      <c r="J732" s="151">
        <v>1899</v>
      </c>
      <c r="K732" s="151">
        <v>12</v>
      </c>
    </row>
    <row r="733" spans="1:11" ht="13.5" customHeight="1" x14ac:dyDescent="0.15">
      <c r="A733" s="141"/>
      <c r="B733" s="148">
        <v>730</v>
      </c>
      <c r="C733" s="164"/>
      <c r="D733" s="152"/>
      <c r="E733" s="152" t="s">
        <v>367</v>
      </c>
      <c r="F733" s="152" t="s">
        <v>367</v>
      </c>
      <c r="G733" s="152"/>
      <c r="H733" s="152"/>
      <c r="I733" s="152"/>
      <c r="J733" s="152">
        <v>1899</v>
      </c>
      <c r="K733" s="152">
        <v>12</v>
      </c>
    </row>
    <row r="734" spans="1:11" ht="13.5" customHeight="1" x14ac:dyDescent="0.15">
      <c r="A734" s="141"/>
      <c r="B734" s="148">
        <v>731</v>
      </c>
      <c r="C734" s="163"/>
      <c r="D734" s="151"/>
      <c r="E734" s="151" t="s">
        <v>367</v>
      </c>
      <c r="F734" s="151" t="s">
        <v>367</v>
      </c>
      <c r="G734" s="151"/>
      <c r="H734" s="151"/>
      <c r="I734" s="151"/>
      <c r="J734" s="151">
        <v>1899</v>
      </c>
      <c r="K734" s="151">
        <v>12</v>
      </c>
    </row>
    <row r="735" spans="1:11" ht="13.5" customHeight="1" x14ac:dyDescent="0.15">
      <c r="A735" s="141"/>
      <c r="B735" s="148">
        <v>732</v>
      </c>
      <c r="C735" s="164"/>
      <c r="D735" s="152"/>
      <c r="E735" s="152" t="s">
        <v>367</v>
      </c>
      <c r="F735" s="152" t="s">
        <v>367</v>
      </c>
      <c r="G735" s="152"/>
      <c r="H735" s="152"/>
      <c r="I735" s="152"/>
      <c r="J735" s="152">
        <v>1899</v>
      </c>
      <c r="K735" s="152">
        <v>12</v>
      </c>
    </row>
    <row r="736" spans="1:11" ht="13.5" customHeight="1" x14ac:dyDescent="0.15">
      <c r="A736" s="141"/>
      <c r="B736" s="148">
        <v>733</v>
      </c>
      <c r="C736" s="163"/>
      <c r="D736" s="151"/>
      <c r="E736" s="151" t="s">
        <v>367</v>
      </c>
      <c r="F736" s="151" t="s">
        <v>367</v>
      </c>
      <c r="G736" s="151"/>
      <c r="H736" s="151"/>
      <c r="I736" s="151"/>
      <c r="J736" s="151">
        <v>1899</v>
      </c>
      <c r="K736" s="151">
        <v>12</v>
      </c>
    </row>
    <row r="737" spans="1:11" ht="13.5" customHeight="1" x14ac:dyDescent="0.15">
      <c r="A737" s="141"/>
      <c r="B737" s="148">
        <v>734</v>
      </c>
      <c r="C737" s="164"/>
      <c r="D737" s="152"/>
      <c r="E737" s="152" t="s">
        <v>367</v>
      </c>
      <c r="F737" s="152" t="s">
        <v>367</v>
      </c>
      <c r="G737" s="152"/>
      <c r="H737" s="152"/>
      <c r="I737" s="152"/>
      <c r="J737" s="152">
        <v>1899</v>
      </c>
      <c r="K737" s="152">
        <v>12</v>
      </c>
    </row>
    <row r="738" spans="1:11" ht="13.5" customHeight="1" x14ac:dyDescent="0.15">
      <c r="A738" s="141"/>
      <c r="B738" s="148">
        <v>735</v>
      </c>
      <c r="C738" s="163"/>
      <c r="D738" s="151"/>
      <c r="E738" s="151" t="s">
        <v>367</v>
      </c>
      <c r="F738" s="151" t="s">
        <v>367</v>
      </c>
      <c r="G738" s="151"/>
      <c r="H738" s="151"/>
      <c r="I738" s="151"/>
      <c r="J738" s="151">
        <v>1899</v>
      </c>
      <c r="K738" s="151">
        <v>12</v>
      </c>
    </row>
    <row r="739" spans="1:11" ht="13.5" customHeight="1" x14ac:dyDescent="0.15">
      <c r="A739" s="141"/>
      <c r="B739" s="148">
        <v>736</v>
      </c>
      <c r="C739" s="164"/>
      <c r="D739" s="152"/>
      <c r="E739" s="152" t="s">
        <v>367</v>
      </c>
      <c r="F739" s="152" t="s">
        <v>367</v>
      </c>
      <c r="G739" s="152"/>
      <c r="H739" s="152"/>
      <c r="I739" s="152"/>
      <c r="J739" s="152">
        <v>1899</v>
      </c>
      <c r="K739" s="152">
        <v>12</v>
      </c>
    </row>
    <row r="740" spans="1:11" ht="13.5" customHeight="1" x14ac:dyDescent="0.15">
      <c r="A740" s="141"/>
      <c r="B740" s="148">
        <v>737</v>
      </c>
      <c r="C740" s="163"/>
      <c r="D740" s="151"/>
      <c r="E740" s="151" t="s">
        <v>367</v>
      </c>
      <c r="F740" s="151" t="s">
        <v>367</v>
      </c>
      <c r="G740" s="151"/>
      <c r="H740" s="151"/>
      <c r="I740" s="151"/>
      <c r="J740" s="151">
        <v>1899</v>
      </c>
      <c r="K740" s="151">
        <v>12</v>
      </c>
    </row>
    <row r="741" spans="1:11" ht="13.5" customHeight="1" x14ac:dyDescent="0.15">
      <c r="A741" s="141"/>
      <c r="B741" s="148">
        <v>738</v>
      </c>
      <c r="C741" s="164"/>
      <c r="D741" s="152"/>
      <c r="E741" s="152" t="s">
        <v>367</v>
      </c>
      <c r="F741" s="152" t="s">
        <v>367</v>
      </c>
      <c r="G741" s="152"/>
      <c r="H741" s="152"/>
      <c r="I741" s="152"/>
      <c r="J741" s="152">
        <v>1899</v>
      </c>
      <c r="K741" s="152">
        <v>12</v>
      </c>
    </row>
    <row r="742" spans="1:11" ht="13.5" customHeight="1" x14ac:dyDescent="0.15">
      <c r="A742" s="141"/>
      <c r="B742" s="148">
        <v>739</v>
      </c>
      <c r="C742" s="163"/>
      <c r="D742" s="151"/>
      <c r="E742" s="151" t="s">
        <v>367</v>
      </c>
      <c r="F742" s="151" t="s">
        <v>367</v>
      </c>
      <c r="G742" s="151"/>
      <c r="H742" s="151"/>
      <c r="I742" s="151"/>
      <c r="J742" s="151">
        <v>1899</v>
      </c>
      <c r="K742" s="151">
        <v>12</v>
      </c>
    </row>
    <row r="743" spans="1:11" ht="13.5" customHeight="1" x14ac:dyDescent="0.15">
      <c r="A743" s="141"/>
      <c r="B743" s="148">
        <v>740</v>
      </c>
      <c r="C743" s="164"/>
      <c r="D743" s="152"/>
      <c r="E743" s="152" t="s">
        <v>367</v>
      </c>
      <c r="F743" s="152" t="s">
        <v>367</v>
      </c>
      <c r="G743" s="152"/>
      <c r="H743" s="152"/>
      <c r="I743" s="152"/>
      <c r="J743" s="152">
        <v>1899</v>
      </c>
      <c r="K743" s="152">
        <v>12</v>
      </c>
    </row>
    <row r="744" spans="1:11" ht="13.5" customHeight="1" x14ac:dyDescent="0.15">
      <c r="A744" s="141"/>
      <c r="B744" s="148">
        <v>741</v>
      </c>
      <c r="C744" s="163"/>
      <c r="D744" s="151"/>
      <c r="E744" s="151" t="s">
        <v>367</v>
      </c>
      <c r="F744" s="151" t="s">
        <v>367</v>
      </c>
      <c r="G744" s="151"/>
      <c r="H744" s="151"/>
      <c r="I744" s="151"/>
      <c r="J744" s="151">
        <v>1899</v>
      </c>
      <c r="K744" s="151">
        <v>12</v>
      </c>
    </row>
    <row r="745" spans="1:11" ht="13.5" customHeight="1" x14ac:dyDescent="0.15">
      <c r="A745" s="141"/>
      <c r="B745" s="148">
        <v>742</v>
      </c>
      <c r="C745" s="164"/>
      <c r="D745" s="152"/>
      <c r="E745" s="152" t="s">
        <v>367</v>
      </c>
      <c r="F745" s="152" t="s">
        <v>367</v>
      </c>
      <c r="G745" s="152"/>
      <c r="H745" s="152"/>
      <c r="I745" s="152"/>
      <c r="J745" s="152">
        <v>1899</v>
      </c>
      <c r="K745" s="152">
        <v>12</v>
      </c>
    </row>
    <row r="746" spans="1:11" ht="13.5" customHeight="1" x14ac:dyDescent="0.15">
      <c r="A746" s="141"/>
      <c r="B746" s="148">
        <v>743</v>
      </c>
      <c r="C746" s="163"/>
      <c r="D746" s="151"/>
      <c r="E746" s="151" t="s">
        <v>367</v>
      </c>
      <c r="F746" s="151" t="s">
        <v>367</v>
      </c>
      <c r="G746" s="151"/>
      <c r="H746" s="151"/>
      <c r="I746" s="151"/>
      <c r="J746" s="151">
        <v>1899</v>
      </c>
      <c r="K746" s="151">
        <v>12</v>
      </c>
    </row>
    <row r="747" spans="1:11" ht="13.5" customHeight="1" x14ac:dyDescent="0.15">
      <c r="A747" s="141"/>
      <c r="B747" s="148">
        <v>744</v>
      </c>
      <c r="C747" s="164"/>
      <c r="D747" s="152"/>
      <c r="E747" s="152" t="s">
        <v>367</v>
      </c>
      <c r="F747" s="152" t="s">
        <v>367</v>
      </c>
      <c r="G747" s="152"/>
      <c r="H747" s="152"/>
      <c r="I747" s="152"/>
      <c r="J747" s="152">
        <v>1899</v>
      </c>
      <c r="K747" s="152">
        <v>12</v>
      </c>
    </row>
    <row r="748" spans="1:11" ht="13.5" customHeight="1" x14ac:dyDescent="0.15">
      <c r="A748" s="141"/>
      <c r="B748" s="148">
        <v>745</v>
      </c>
      <c r="C748" s="163"/>
      <c r="D748" s="151"/>
      <c r="E748" s="151" t="s">
        <v>367</v>
      </c>
      <c r="F748" s="151" t="s">
        <v>367</v>
      </c>
      <c r="G748" s="151"/>
      <c r="H748" s="151"/>
      <c r="I748" s="151"/>
      <c r="J748" s="151">
        <v>1899</v>
      </c>
      <c r="K748" s="151">
        <v>12</v>
      </c>
    </row>
    <row r="749" spans="1:11" ht="13.5" customHeight="1" x14ac:dyDescent="0.15">
      <c r="A749" s="141"/>
      <c r="B749" s="148">
        <v>746</v>
      </c>
      <c r="C749" s="164"/>
      <c r="D749" s="152"/>
      <c r="E749" s="152" t="s">
        <v>367</v>
      </c>
      <c r="F749" s="152" t="s">
        <v>367</v>
      </c>
      <c r="G749" s="152"/>
      <c r="H749" s="152"/>
      <c r="I749" s="152"/>
      <c r="J749" s="152">
        <v>1899</v>
      </c>
      <c r="K749" s="152">
        <v>12</v>
      </c>
    </row>
    <row r="750" spans="1:11" ht="13.5" customHeight="1" x14ac:dyDescent="0.15">
      <c r="A750" s="141"/>
      <c r="B750" s="148">
        <v>747</v>
      </c>
      <c r="C750" s="163"/>
      <c r="D750" s="151"/>
      <c r="E750" s="151" t="s">
        <v>367</v>
      </c>
      <c r="F750" s="151" t="s">
        <v>367</v>
      </c>
      <c r="G750" s="151"/>
      <c r="H750" s="151"/>
      <c r="I750" s="151"/>
      <c r="J750" s="151">
        <v>1899</v>
      </c>
      <c r="K750" s="151">
        <v>12</v>
      </c>
    </row>
    <row r="751" spans="1:11" ht="13.5" customHeight="1" x14ac:dyDescent="0.15">
      <c r="A751" s="141"/>
      <c r="B751" s="148">
        <v>748</v>
      </c>
      <c r="C751" s="164"/>
      <c r="D751" s="152"/>
      <c r="E751" s="152" t="s">
        <v>367</v>
      </c>
      <c r="F751" s="152" t="s">
        <v>367</v>
      </c>
      <c r="G751" s="152"/>
      <c r="H751" s="152"/>
      <c r="I751" s="152"/>
      <c r="J751" s="152">
        <v>1899</v>
      </c>
      <c r="K751" s="152">
        <v>12</v>
      </c>
    </row>
    <row r="752" spans="1:11" ht="13.5" customHeight="1" x14ac:dyDescent="0.15">
      <c r="A752" s="141"/>
      <c r="B752" s="148">
        <v>749</v>
      </c>
      <c r="C752" s="163"/>
      <c r="D752" s="151"/>
      <c r="E752" s="151" t="s">
        <v>367</v>
      </c>
      <c r="F752" s="151" t="s">
        <v>367</v>
      </c>
      <c r="G752" s="151"/>
      <c r="H752" s="151"/>
      <c r="I752" s="151"/>
      <c r="J752" s="151">
        <v>1899</v>
      </c>
      <c r="K752" s="151">
        <v>12</v>
      </c>
    </row>
    <row r="753" spans="1:11" ht="13.5" customHeight="1" x14ac:dyDescent="0.15">
      <c r="A753" s="141"/>
      <c r="B753" s="148">
        <v>750</v>
      </c>
      <c r="C753" s="164"/>
      <c r="D753" s="152"/>
      <c r="E753" s="152" t="s">
        <v>367</v>
      </c>
      <c r="F753" s="152" t="s">
        <v>367</v>
      </c>
      <c r="G753" s="152"/>
      <c r="H753" s="152"/>
      <c r="I753" s="152"/>
      <c r="J753" s="152">
        <v>1899</v>
      </c>
      <c r="K753" s="152">
        <v>12</v>
      </c>
    </row>
    <row r="754" spans="1:11" ht="13.5" customHeight="1" x14ac:dyDescent="0.15">
      <c r="A754" s="141"/>
      <c r="B754" s="148">
        <v>751</v>
      </c>
      <c r="C754" s="163"/>
      <c r="D754" s="151"/>
      <c r="E754" s="151" t="s">
        <v>367</v>
      </c>
      <c r="F754" s="151" t="s">
        <v>367</v>
      </c>
      <c r="G754" s="151"/>
      <c r="H754" s="151"/>
      <c r="I754" s="151"/>
      <c r="J754" s="151">
        <v>1899</v>
      </c>
      <c r="K754" s="151">
        <v>12</v>
      </c>
    </row>
    <row r="755" spans="1:11" ht="13.5" customHeight="1" x14ac:dyDescent="0.15">
      <c r="A755" s="141"/>
      <c r="B755" s="148">
        <v>752</v>
      </c>
      <c r="C755" s="164"/>
      <c r="D755" s="152"/>
      <c r="E755" s="152" t="s">
        <v>367</v>
      </c>
      <c r="F755" s="152" t="s">
        <v>367</v>
      </c>
      <c r="G755" s="152"/>
      <c r="H755" s="152"/>
      <c r="I755" s="152"/>
      <c r="J755" s="152">
        <v>1899</v>
      </c>
      <c r="K755" s="152">
        <v>12</v>
      </c>
    </row>
    <row r="756" spans="1:11" ht="13.5" customHeight="1" x14ac:dyDescent="0.15">
      <c r="A756" s="141"/>
      <c r="B756" s="148">
        <v>753</v>
      </c>
      <c r="C756" s="163"/>
      <c r="D756" s="151"/>
      <c r="E756" s="151" t="s">
        <v>367</v>
      </c>
      <c r="F756" s="151" t="s">
        <v>367</v>
      </c>
      <c r="G756" s="151"/>
      <c r="H756" s="151"/>
      <c r="I756" s="151"/>
      <c r="J756" s="151">
        <v>1899</v>
      </c>
      <c r="K756" s="151">
        <v>12</v>
      </c>
    </row>
    <row r="757" spans="1:11" ht="13.5" customHeight="1" x14ac:dyDescent="0.15">
      <c r="A757" s="141"/>
      <c r="B757" s="148">
        <v>754</v>
      </c>
      <c r="C757" s="164"/>
      <c r="D757" s="152"/>
      <c r="E757" s="152" t="s">
        <v>367</v>
      </c>
      <c r="F757" s="152" t="s">
        <v>367</v>
      </c>
      <c r="G757" s="152"/>
      <c r="H757" s="152"/>
      <c r="I757" s="152"/>
      <c r="J757" s="152">
        <v>1899</v>
      </c>
      <c r="K757" s="152">
        <v>12</v>
      </c>
    </row>
    <row r="758" spans="1:11" ht="13.5" customHeight="1" x14ac:dyDescent="0.15">
      <c r="A758" s="141"/>
      <c r="B758" s="148">
        <v>755</v>
      </c>
      <c r="C758" s="163"/>
      <c r="D758" s="151"/>
      <c r="E758" s="151" t="s">
        <v>367</v>
      </c>
      <c r="F758" s="151" t="s">
        <v>367</v>
      </c>
      <c r="G758" s="151"/>
      <c r="H758" s="151"/>
      <c r="I758" s="151"/>
      <c r="J758" s="151">
        <v>1899</v>
      </c>
      <c r="K758" s="151">
        <v>12</v>
      </c>
    </row>
    <row r="759" spans="1:11" ht="13.5" customHeight="1" x14ac:dyDescent="0.15">
      <c r="A759" s="141"/>
      <c r="B759" s="148">
        <v>756</v>
      </c>
      <c r="C759" s="164"/>
      <c r="D759" s="152"/>
      <c r="E759" s="152" t="s">
        <v>367</v>
      </c>
      <c r="F759" s="152" t="s">
        <v>367</v>
      </c>
      <c r="G759" s="152"/>
      <c r="H759" s="152"/>
      <c r="I759" s="152"/>
      <c r="J759" s="152">
        <v>1899</v>
      </c>
      <c r="K759" s="152">
        <v>12</v>
      </c>
    </row>
    <row r="760" spans="1:11" ht="13.5" customHeight="1" x14ac:dyDescent="0.15">
      <c r="A760" s="141"/>
      <c r="B760" s="148">
        <v>757</v>
      </c>
      <c r="C760" s="163"/>
      <c r="D760" s="151"/>
      <c r="E760" s="151" t="s">
        <v>367</v>
      </c>
      <c r="F760" s="151" t="s">
        <v>367</v>
      </c>
      <c r="G760" s="151"/>
      <c r="H760" s="151"/>
      <c r="I760" s="151"/>
      <c r="J760" s="151">
        <v>1899</v>
      </c>
      <c r="K760" s="151">
        <v>12</v>
      </c>
    </row>
    <row r="761" spans="1:11" ht="13.5" customHeight="1" x14ac:dyDescent="0.15">
      <c r="A761" s="141"/>
      <c r="B761" s="148">
        <v>758</v>
      </c>
      <c r="C761" s="164"/>
      <c r="D761" s="152"/>
      <c r="E761" s="152" t="s">
        <v>367</v>
      </c>
      <c r="F761" s="152" t="s">
        <v>367</v>
      </c>
      <c r="G761" s="152"/>
      <c r="H761" s="152"/>
      <c r="I761" s="152"/>
      <c r="J761" s="152">
        <v>1899</v>
      </c>
      <c r="K761" s="152">
        <v>12</v>
      </c>
    </row>
    <row r="762" spans="1:11" ht="13.5" customHeight="1" x14ac:dyDescent="0.15">
      <c r="A762" s="141"/>
      <c r="B762" s="148">
        <v>759</v>
      </c>
      <c r="C762" s="163"/>
      <c r="D762" s="151"/>
      <c r="E762" s="151" t="s">
        <v>367</v>
      </c>
      <c r="F762" s="151" t="s">
        <v>367</v>
      </c>
      <c r="G762" s="151"/>
      <c r="H762" s="151"/>
      <c r="I762" s="151"/>
      <c r="J762" s="151">
        <v>1899</v>
      </c>
      <c r="K762" s="151">
        <v>12</v>
      </c>
    </row>
    <row r="763" spans="1:11" ht="13.5" customHeight="1" x14ac:dyDescent="0.15">
      <c r="A763" s="141"/>
      <c r="B763" s="148">
        <v>760</v>
      </c>
      <c r="C763" s="164"/>
      <c r="D763" s="152"/>
      <c r="E763" s="152" t="s">
        <v>367</v>
      </c>
      <c r="F763" s="152" t="s">
        <v>367</v>
      </c>
      <c r="G763" s="152"/>
      <c r="H763" s="152"/>
      <c r="I763" s="152"/>
      <c r="J763" s="152">
        <v>1899</v>
      </c>
      <c r="K763" s="152">
        <v>12</v>
      </c>
    </row>
    <row r="764" spans="1:11" ht="13.5" customHeight="1" x14ac:dyDescent="0.15">
      <c r="A764" s="141"/>
      <c r="B764" s="148">
        <v>761</v>
      </c>
      <c r="C764" s="163"/>
      <c r="D764" s="151"/>
      <c r="E764" s="151" t="s">
        <v>367</v>
      </c>
      <c r="F764" s="151" t="s">
        <v>367</v>
      </c>
      <c r="G764" s="151"/>
      <c r="H764" s="151"/>
      <c r="I764" s="151"/>
      <c r="J764" s="151">
        <v>1899</v>
      </c>
      <c r="K764" s="151">
        <v>12</v>
      </c>
    </row>
    <row r="765" spans="1:11" ht="13.5" customHeight="1" x14ac:dyDescent="0.15">
      <c r="A765" s="141"/>
      <c r="B765" s="148">
        <v>762</v>
      </c>
      <c r="C765" s="164"/>
      <c r="D765" s="152"/>
      <c r="E765" s="152" t="s">
        <v>367</v>
      </c>
      <c r="F765" s="152" t="s">
        <v>367</v>
      </c>
      <c r="G765" s="152"/>
      <c r="H765" s="152"/>
      <c r="I765" s="152"/>
      <c r="J765" s="152">
        <v>1899</v>
      </c>
      <c r="K765" s="152">
        <v>12</v>
      </c>
    </row>
    <row r="766" spans="1:11" ht="13.5" customHeight="1" x14ac:dyDescent="0.15">
      <c r="A766" s="141"/>
      <c r="B766" s="148">
        <v>763</v>
      </c>
      <c r="C766" s="163"/>
      <c r="D766" s="151"/>
      <c r="E766" s="151" t="s">
        <v>367</v>
      </c>
      <c r="F766" s="151" t="s">
        <v>367</v>
      </c>
      <c r="G766" s="151"/>
      <c r="H766" s="151"/>
      <c r="I766" s="151"/>
      <c r="J766" s="151">
        <v>1899</v>
      </c>
      <c r="K766" s="151">
        <v>12</v>
      </c>
    </row>
    <row r="767" spans="1:11" ht="13.5" customHeight="1" x14ac:dyDescent="0.15">
      <c r="A767" s="141"/>
      <c r="B767" s="148">
        <v>764</v>
      </c>
      <c r="C767" s="164"/>
      <c r="D767" s="152"/>
      <c r="E767" s="152" t="s">
        <v>367</v>
      </c>
      <c r="F767" s="152" t="s">
        <v>367</v>
      </c>
      <c r="G767" s="152"/>
      <c r="H767" s="152"/>
      <c r="I767" s="152"/>
      <c r="J767" s="152">
        <v>1899</v>
      </c>
      <c r="K767" s="152">
        <v>12</v>
      </c>
    </row>
    <row r="768" spans="1:11" ht="13.5" customHeight="1" x14ac:dyDescent="0.15">
      <c r="A768" s="141"/>
      <c r="B768" s="148">
        <v>765</v>
      </c>
      <c r="C768" s="163"/>
      <c r="D768" s="151"/>
      <c r="E768" s="151" t="s">
        <v>367</v>
      </c>
      <c r="F768" s="151" t="s">
        <v>367</v>
      </c>
      <c r="G768" s="151"/>
      <c r="H768" s="151"/>
      <c r="I768" s="151"/>
      <c r="J768" s="151">
        <v>1899</v>
      </c>
      <c r="K768" s="151">
        <v>12</v>
      </c>
    </row>
    <row r="769" spans="1:11" ht="13.5" customHeight="1" x14ac:dyDescent="0.15">
      <c r="A769" s="141"/>
      <c r="B769" s="148">
        <v>766</v>
      </c>
      <c r="C769" s="164"/>
      <c r="D769" s="152"/>
      <c r="E769" s="152" t="s">
        <v>367</v>
      </c>
      <c r="F769" s="152" t="s">
        <v>367</v>
      </c>
      <c r="G769" s="152"/>
      <c r="H769" s="152"/>
      <c r="I769" s="152"/>
      <c r="J769" s="152">
        <v>1899</v>
      </c>
      <c r="K769" s="152">
        <v>12</v>
      </c>
    </row>
    <row r="770" spans="1:11" ht="13.5" customHeight="1" x14ac:dyDescent="0.15">
      <c r="A770" s="141"/>
      <c r="B770" s="148">
        <v>767</v>
      </c>
      <c r="C770" s="163"/>
      <c r="D770" s="151"/>
      <c r="E770" s="151" t="s">
        <v>367</v>
      </c>
      <c r="F770" s="151" t="s">
        <v>367</v>
      </c>
      <c r="G770" s="151"/>
      <c r="H770" s="151"/>
      <c r="I770" s="151"/>
      <c r="J770" s="151">
        <v>1899</v>
      </c>
      <c r="K770" s="151">
        <v>12</v>
      </c>
    </row>
    <row r="771" spans="1:11" ht="13.5" customHeight="1" x14ac:dyDescent="0.15">
      <c r="A771" s="141"/>
      <c r="B771" s="148">
        <v>768</v>
      </c>
      <c r="C771" s="164"/>
      <c r="D771" s="152"/>
      <c r="E771" s="152" t="s">
        <v>367</v>
      </c>
      <c r="F771" s="152" t="s">
        <v>367</v>
      </c>
      <c r="G771" s="152"/>
      <c r="H771" s="152"/>
      <c r="I771" s="152"/>
      <c r="J771" s="152">
        <v>1899</v>
      </c>
      <c r="K771" s="152">
        <v>12</v>
      </c>
    </row>
    <row r="772" spans="1:11" ht="13.5" customHeight="1" x14ac:dyDescent="0.15">
      <c r="A772" s="141"/>
      <c r="B772" s="148">
        <v>769</v>
      </c>
      <c r="C772" s="163"/>
      <c r="D772" s="151"/>
      <c r="E772" s="151" t="s">
        <v>367</v>
      </c>
      <c r="F772" s="151" t="s">
        <v>367</v>
      </c>
      <c r="G772" s="151"/>
      <c r="H772" s="151"/>
      <c r="I772" s="151"/>
      <c r="J772" s="151">
        <v>1899</v>
      </c>
      <c r="K772" s="151">
        <v>12</v>
      </c>
    </row>
    <row r="773" spans="1:11" ht="13.5" customHeight="1" x14ac:dyDescent="0.15">
      <c r="A773" s="141"/>
      <c r="B773" s="148">
        <v>770</v>
      </c>
      <c r="C773" s="164"/>
      <c r="D773" s="152"/>
      <c r="E773" s="152" t="s">
        <v>367</v>
      </c>
      <c r="F773" s="152" t="s">
        <v>367</v>
      </c>
      <c r="G773" s="152"/>
      <c r="H773" s="152"/>
      <c r="I773" s="152"/>
      <c r="J773" s="152">
        <v>1899</v>
      </c>
      <c r="K773" s="152">
        <v>12</v>
      </c>
    </row>
    <row r="774" spans="1:11" ht="13.5" customHeight="1" x14ac:dyDescent="0.15">
      <c r="A774" s="141"/>
      <c r="B774" s="148">
        <v>771</v>
      </c>
      <c r="C774" s="163"/>
      <c r="D774" s="151"/>
      <c r="E774" s="151" t="s">
        <v>367</v>
      </c>
      <c r="F774" s="151" t="s">
        <v>367</v>
      </c>
      <c r="G774" s="151"/>
      <c r="H774" s="151"/>
      <c r="I774" s="151"/>
      <c r="J774" s="151">
        <v>1899</v>
      </c>
      <c r="K774" s="151">
        <v>12</v>
      </c>
    </row>
    <row r="775" spans="1:11" ht="13.5" customHeight="1" x14ac:dyDescent="0.15">
      <c r="A775" s="141"/>
      <c r="B775" s="148">
        <v>772</v>
      </c>
      <c r="C775" s="164"/>
      <c r="D775" s="152"/>
      <c r="E775" s="152" t="s">
        <v>367</v>
      </c>
      <c r="F775" s="152" t="s">
        <v>367</v>
      </c>
      <c r="G775" s="152"/>
      <c r="H775" s="152"/>
      <c r="I775" s="152"/>
      <c r="J775" s="152">
        <v>1899</v>
      </c>
      <c r="K775" s="152">
        <v>12</v>
      </c>
    </row>
    <row r="776" spans="1:11" ht="13.5" customHeight="1" x14ac:dyDescent="0.15">
      <c r="A776" s="141"/>
      <c r="B776" s="148">
        <v>773</v>
      </c>
      <c r="C776" s="163"/>
      <c r="D776" s="151"/>
      <c r="E776" s="151" t="s">
        <v>367</v>
      </c>
      <c r="F776" s="151" t="s">
        <v>367</v>
      </c>
      <c r="G776" s="151"/>
      <c r="H776" s="151"/>
      <c r="I776" s="151"/>
      <c r="J776" s="151">
        <v>1899</v>
      </c>
      <c r="K776" s="151">
        <v>12</v>
      </c>
    </row>
    <row r="777" spans="1:11" ht="13.5" customHeight="1" x14ac:dyDescent="0.15">
      <c r="A777" s="141"/>
      <c r="B777" s="148">
        <v>774</v>
      </c>
      <c r="C777" s="164"/>
      <c r="D777" s="152"/>
      <c r="E777" s="152" t="s">
        <v>367</v>
      </c>
      <c r="F777" s="152" t="s">
        <v>367</v>
      </c>
      <c r="G777" s="152"/>
      <c r="H777" s="152"/>
      <c r="I777" s="152"/>
      <c r="J777" s="152">
        <v>1899</v>
      </c>
      <c r="K777" s="152">
        <v>12</v>
      </c>
    </row>
    <row r="778" spans="1:11" ht="13.5" customHeight="1" x14ac:dyDescent="0.15">
      <c r="A778" s="141"/>
      <c r="B778" s="148">
        <v>775</v>
      </c>
      <c r="C778" s="163"/>
      <c r="D778" s="151"/>
      <c r="E778" s="151" t="s">
        <v>367</v>
      </c>
      <c r="F778" s="151" t="s">
        <v>367</v>
      </c>
      <c r="G778" s="151"/>
      <c r="H778" s="151"/>
      <c r="I778" s="151"/>
      <c r="J778" s="151">
        <v>1899</v>
      </c>
      <c r="K778" s="151">
        <v>12</v>
      </c>
    </row>
    <row r="779" spans="1:11" ht="13.5" customHeight="1" x14ac:dyDescent="0.15">
      <c r="A779" s="141"/>
      <c r="B779" s="148">
        <v>776</v>
      </c>
      <c r="C779" s="164"/>
      <c r="D779" s="152"/>
      <c r="E779" s="152" t="s">
        <v>367</v>
      </c>
      <c r="F779" s="152" t="s">
        <v>367</v>
      </c>
      <c r="G779" s="152"/>
      <c r="H779" s="152"/>
      <c r="I779" s="152"/>
      <c r="J779" s="152">
        <v>1899</v>
      </c>
      <c r="K779" s="152">
        <v>12</v>
      </c>
    </row>
    <row r="780" spans="1:11" ht="13.5" customHeight="1" x14ac:dyDescent="0.15">
      <c r="A780" s="141"/>
      <c r="B780" s="148">
        <v>777</v>
      </c>
      <c r="C780" s="163"/>
      <c r="D780" s="151"/>
      <c r="E780" s="151" t="s">
        <v>367</v>
      </c>
      <c r="F780" s="151" t="s">
        <v>367</v>
      </c>
      <c r="G780" s="151"/>
      <c r="H780" s="151"/>
      <c r="I780" s="151"/>
      <c r="J780" s="151">
        <v>1899</v>
      </c>
      <c r="K780" s="151">
        <v>12</v>
      </c>
    </row>
    <row r="781" spans="1:11" ht="13.5" customHeight="1" x14ac:dyDescent="0.15">
      <c r="A781" s="141"/>
      <c r="B781" s="148">
        <v>778</v>
      </c>
      <c r="C781" s="164"/>
      <c r="D781" s="152"/>
      <c r="E781" s="152" t="s">
        <v>367</v>
      </c>
      <c r="F781" s="152" t="s">
        <v>367</v>
      </c>
      <c r="G781" s="152"/>
      <c r="H781" s="152"/>
      <c r="I781" s="152"/>
      <c r="J781" s="152">
        <v>1899</v>
      </c>
      <c r="K781" s="152">
        <v>12</v>
      </c>
    </row>
    <row r="782" spans="1:11" ht="13.5" customHeight="1" x14ac:dyDescent="0.15">
      <c r="A782" s="141"/>
      <c r="B782" s="148">
        <v>779</v>
      </c>
      <c r="C782" s="163"/>
      <c r="D782" s="151"/>
      <c r="E782" s="151" t="s">
        <v>367</v>
      </c>
      <c r="F782" s="151" t="s">
        <v>367</v>
      </c>
      <c r="G782" s="151"/>
      <c r="H782" s="151"/>
      <c r="I782" s="151"/>
      <c r="J782" s="151">
        <v>1899</v>
      </c>
      <c r="K782" s="151">
        <v>12</v>
      </c>
    </row>
    <row r="783" spans="1:11" ht="13.5" customHeight="1" x14ac:dyDescent="0.15">
      <c r="A783" s="141"/>
      <c r="B783" s="148">
        <v>780</v>
      </c>
      <c r="C783" s="164"/>
      <c r="D783" s="152"/>
      <c r="E783" s="152" t="s">
        <v>367</v>
      </c>
      <c r="F783" s="152" t="s">
        <v>367</v>
      </c>
      <c r="G783" s="152"/>
      <c r="H783" s="152"/>
      <c r="I783" s="152"/>
      <c r="J783" s="152">
        <v>1899</v>
      </c>
      <c r="K783" s="152">
        <v>12</v>
      </c>
    </row>
    <row r="784" spans="1:11" ht="13.5" customHeight="1" x14ac:dyDescent="0.15">
      <c r="A784" s="141"/>
      <c r="B784" s="148">
        <v>781</v>
      </c>
      <c r="C784" s="163"/>
      <c r="D784" s="151"/>
      <c r="E784" s="151" t="s">
        <v>367</v>
      </c>
      <c r="F784" s="151" t="s">
        <v>367</v>
      </c>
      <c r="G784" s="151"/>
      <c r="H784" s="151"/>
      <c r="I784" s="151"/>
      <c r="J784" s="151">
        <v>1899</v>
      </c>
      <c r="K784" s="151">
        <v>12</v>
      </c>
    </row>
    <row r="785" spans="1:11" ht="13.5" customHeight="1" x14ac:dyDescent="0.15">
      <c r="A785" s="141"/>
      <c r="B785" s="148">
        <v>782</v>
      </c>
      <c r="C785" s="164"/>
      <c r="D785" s="152"/>
      <c r="E785" s="152" t="s">
        <v>367</v>
      </c>
      <c r="F785" s="152" t="s">
        <v>367</v>
      </c>
      <c r="G785" s="152"/>
      <c r="H785" s="152"/>
      <c r="I785" s="152"/>
      <c r="J785" s="152">
        <v>1899</v>
      </c>
      <c r="K785" s="152">
        <v>12</v>
      </c>
    </row>
    <row r="786" spans="1:11" ht="13.5" customHeight="1" x14ac:dyDescent="0.15">
      <c r="A786" s="141"/>
      <c r="B786" s="148">
        <v>783</v>
      </c>
      <c r="C786" s="163"/>
      <c r="D786" s="151"/>
      <c r="E786" s="151" t="s">
        <v>367</v>
      </c>
      <c r="F786" s="151" t="s">
        <v>367</v>
      </c>
      <c r="G786" s="151"/>
      <c r="H786" s="151"/>
      <c r="I786" s="151"/>
      <c r="J786" s="151">
        <v>1899</v>
      </c>
      <c r="K786" s="151">
        <v>12</v>
      </c>
    </row>
    <row r="787" spans="1:11" ht="13.5" customHeight="1" x14ac:dyDescent="0.15">
      <c r="A787" s="141"/>
      <c r="B787" s="148">
        <v>784</v>
      </c>
      <c r="C787" s="164"/>
      <c r="D787" s="152"/>
      <c r="E787" s="152" t="s">
        <v>367</v>
      </c>
      <c r="F787" s="152" t="s">
        <v>367</v>
      </c>
      <c r="G787" s="152"/>
      <c r="H787" s="152"/>
      <c r="I787" s="152"/>
      <c r="J787" s="152">
        <v>1899</v>
      </c>
      <c r="K787" s="152">
        <v>12</v>
      </c>
    </row>
    <row r="788" spans="1:11" ht="13.5" customHeight="1" x14ac:dyDescent="0.15">
      <c r="A788" s="141"/>
      <c r="B788" s="148">
        <v>785</v>
      </c>
      <c r="C788" s="163"/>
      <c r="D788" s="151"/>
      <c r="E788" s="151" t="s">
        <v>367</v>
      </c>
      <c r="F788" s="151" t="s">
        <v>367</v>
      </c>
      <c r="G788" s="151"/>
      <c r="H788" s="151"/>
      <c r="I788" s="151"/>
      <c r="J788" s="151">
        <v>1899</v>
      </c>
      <c r="K788" s="151">
        <v>12</v>
      </c>
    </row>
    <row r="789" spans="1:11" ht="13.5" customHeight="1" x14ac:dyDescent="0.15">
      <c r="A789" s="141"/>
      <c r="B789" s="148">
        <v>786</v>
      </c>
      <c r="C789" s="164"/>
      <c r="D789" s="152"/>
      <c r="E789" s="152" t="s">
        <v>367</v>
      </c>
      <c r="F789" s="152" t="s">
        <v>367</v>
      </c>
      <c r="G789" s="152"/>
      <c r="H789" s="152"/>
      <c r="I789" s="152"/>
      <c r="J789" s="152">
        <v>1899</v>
      </c>
      <c r="K789" s="152">
        <v>12</v>
      </c>
    </row>
    <row r="790" spans="1:11" ht="13.5" customHeight="1" x14ac:dyDescent="0.15">
      <c r="A790" s="141"/>
      <c r="B790" s="148">
        <v>787</v>
      </c>
      <c r="C790" s="163"/>
      <c r="D790" s="151"/>
      <c r="E790" s="151" t="s">
        <v>367</v>
      </c>
      <c r="F790" s="151" t="s">
        <v>367</v>
      </c>
      <c r="G790" s="151"/>
      <c r="H790" s="151"/>
      <c r="I790" s="151"/>
      <c r="J790" s="151">
        <v>1899</v>
      </c>
      <c r="K790" s="151">
        <v>12</v>
      </c>
    </row>
    <row r="791" spans="1:11" ht="13.5" customHeight="1" x14ac:dyDescent="0.15">
      <c r="A791" s="141"/>
      <c r="B791" s="148">
        <v>788</v>
      </c>
      <c r="C791" s="164"/>
      <c r="D791" s="152"/>
      <c r="E791" s="152" t="s">
        <v>367</v>
      </c>
      <c r="F791" s="152" t="s">
        <v>367</v>
      </c>
      <c r="G791" s="152"/>
      <c r="H791" s="152"/>
      <c r="I791" s="152"/>
      <c r="J791" s="152">
        <v>1899</v>
      </c>
      <c r="K791" s="152">
        <v>12</v>
      </c>
    </row>
    <row r="792" spans="1:11" ht="13.5" customHeight="1" x14ac:dyDescent="0.15">
      <c r="A792" s="141"/>
      <c r="B792" s="148">
        <v>789</v>
      </c>
      <c r="C792" s="163"/>
      <c r="D792" s="151"/>
      <c r="E792" s="151" t="s">
        <v>367</v>
      </c>
      <c r="F792" s="151" t="s">
        <v>367</v>
      </c>
      <c r="G792" s="151"/>
      <c r="H792" s="151"/>
      <c r="I792" s="151"/>
      <c r="J792" s="151">
        <v>1899</v>
      </c>
      <c r="K792" s="151">
        <v>12</v>
      </c>
    </row>
    <row r="793" spans="1:11" ht="13.5" customHeight="1" x14ac:dyDescent="0.15">
      <c r="A793" s="141"/>
      <c r="B793" s="148">
        <v>790</v>
      </c>
      <c r="C793" s="164"/>
      <c r="D793" s="152"/>
      <c r="E793" s="152" t="s">
        <v>367</v>
      </c>
      <c r="F793" s="152" t="s">
        <v>367</v>
      </c>
      <c r="G793" s="152"/>
      <c r="H793" s="152"/>
      <c r="I793" s="152"/>
      <c r="J793" s="152">
        <v>1899</v>
      </c>
      <c r="K793" s="152">
        <v>12</v>
      </c>
    </row>
    <row r="794" spans="1:11" ht="13.5" customHeight="1" x14ac:dyDescent="0.15">
      <c r="A794" s="141"/>
      <c r="B794" s="148">
        <v>791</v>
      </c>
      <c r="C794" s="163"/>
      <c r="D794" s="151"/>
      <c r="E794" s="151" t="s">
        <v>367</v>
      </c>
      <c r="F794" s="151" t="s">
        <v>367</v>
      </c>
      <c r="G794" s="151"/>
      <c r="H794" s="151"/>
      <c r="I794" s="151"/>
      <c r="J794" s="151">
        <v>1899</v>
      </c>
      <c r="K794" s="151">
        <v>12</v>
      </c>
    </row>
    <row r="795" spans="1:11" ht="13.5" customHeight="1" x14ac:dyDescent="0.15">
      <c r="A795" s="141"/>
      <c r="B795" s="148">
        <v>792</v>
      </c>
      <c r="C795" s="164"/>
      <c r="D795" s="152"/>
      <c r="E795" s="152" t="s">
        <v>367</v>
      </c>
      <c r="F795" s="152" t="s">
        <v>367</v>
      </c>
      <c r="G795" s="152"/>
      <c r="H795" s="152"/>
      <c r="I795" s="152"/>
      <c r="J795" s="152">
        <v>1899</v>
      </c>
      <c r="K795" s="152">
        <v>12</v>
      </c>
    </row>
    <row r="796" spans="1:11" ht="13.5" customHeight="1" x14ac:dyDescent="0.15">
      <c r="A796" s="141"/>
      <c r="B796" s="148">
        <v>793</v>
      </c>
      <c r="C796" s="163"/>
      <c r="D796" s="151"/>
      <c r="E796" s="151" t="s">
        <v>367</v>
      </c>
      <c r="F796" s="151" t="s">
        <v>367</v>
      </c>
      <c r="G796" s="151"/>
      <c r="H796" s="151"/>
      <c r="I796" s="151"/>
      <c r="J796" s="151">
        <v>1899</v>
      </c>
      <c r="K796" s="151">
        <v>12</v>
      </c>
    </row>
    <row r="797" spans="1:11" ht="13.5" customHeight="1" x14ac:dyDescent="0.15">
      <c r="A797" s="141"/>
      <c r="B797" s="148">
        <v>794</v>
      </c>
      <c r="C797" s="164"/>
      <c r="D797" s="152"/>
      <c r="E797" s="152" t="s">
        <v>367</v>
      </c>
      <c r="F797" s="152" t="s">
        <v>367</v>
      </c>
      <c r="G797" s="152"/>
      <c r="H797" s="152"/>
      <c r="I797" s="152"/>
      <c r="J797" s="152">
        <v>1899</v>
      </c>
      <c r="K797" s="152">
        <v>12</v>
      </c>
    </row>
    <row r="798" spans="1:11" ht="13.5" customHeight="1" x14ac:dyDescent="0.15">
      <c r="A798" s="141"/>
      <c r="B798" s="148">
        <v>795</v>
      </c>
      <c r="C798" s="163"/>
      <c r="D798" s="151"/>
      <c r="E798" s="151" t="s">
        <v>367</v>
      </c>
      <c r="F798" s="151" t="s">
        <v>367</v>
      </c>
      <c r="G798" s="151"/>
      <c r="H798" s="151"/>
      <c r="I798" s="151"/>
      <c r="J798" s="151">
        <v>1899</v>
      </c>
      <c r="K798" s="151">
        <v>12</v>
      </c>
    </row>
    <row r="799" spans="1:11" ht="13.5" customHeight="1" x14ac:dyDescent="0.15">
      <c r="A799" s="141"/>
      <c r="B799" s="148">
        <v>796</v>
      </c>
      <c r="C799" s="164"/>
      <c r="D799" s="152"/>
      <c r="E799" s="152" t="s">
        <v>367</v>
      </c>
      <c r="F799" s="152" t="s">
        <v>367</v>
      </c>
      <c r="G799" s="152"/>
      <c r="H799" s="152"/>
      <c r="I799" s="152"/>
      <c r="J799" s="152">
        <v>1899</v>
      </c>
      <c r="K799" s="152">
        <v>12</v>
      </c>
    </row>
    <row r="800" spans="1:11" ht="13.5" customHeight="1" x14ac:dyDescent="0.15">
      <c r="A800" s="141"/>
      <c r="B800" s="148">
        <v>797</v>
      </c>
      <c r="C800" s="163"/>
      <c r="D800" s="151"/>
      <c r="E800" s="151" t="s">
        <v>367</v>
      </c>
      <c r="F800" s="151" t="s">
        <v>367</v>
      </c>
      <c r="G800" s="151"/>
      <c r="H800" s="151"/>
      <c r="I800" s="151"/>
      <c r="J800" s="151">
        <v>1899</v>
      </c>
      <c r="K800" s="151">
        <v>12</v>
      </c>
    </row>
    <row r="801" spans="1:11" ht="13.5" customHeight="1" x14ac:dyDescent="0.15">
      <c r="A801" s="141"/>
      <c r="B801" s="148">
        <v>798</v>
      </c>
      <c r="C801" s="164"/>
      <c r="D801" s="152"/>
      <c r="E801" s="152" t="s">
        <v>367</v>
      </c>
      <c r="F801" s="152" t="s">
        <v>367</v>
      </c>
      <c r="G801" s="152"/>
      <c r="H801" s="152"/>
      <c r="I801" s="152"/>
      <c r="J801" s="152">
        <v>1899</v>
      </c>
      <c r="K801" s="152">
        <v>12</v>
      </c>
    </row>
    <row r="802" spans="1:11" ht="13.5" customHeight="1" x14ac:dyDescent="0.15">
      <c r="A802" s="141"/>
      <c r="B802" s="148">
        <v>799</v>
      </c>
      <c r="C802" s="163"/>
      <c r="D802" s="151"/>
      <c r="E802" s="151" t="s">
        <v>367</v>
      </c>
      <c r="F802" s="151" t="s">
        <v>367</v>
      </c>
      <c r="G802" s="151"/>
      <c r="H802" s="151"/>
      <c r="I802" s="151"/>
      <c r="J802" s="151">
        <v>1899</v>
      </c>
      <c r="K802" s="151">
        <v>12</v>
      </c>
    </row>
    <row r="803" spans="1:11" ht="13.5" customHeight="1" x14ac:dyDescent="0.15">
      <c r="A803" s="141"/>
      <c r="B803" s="148">
        <v>800</v>
      </c>
      <c r="C803" s="164"/>
      <c r="D803" s="152"/>
      <c r="E803" s="152" t="s">
        <v>367</v>
      </c>
      <c r="F803" s="152" t="s">
        <v>367</v>
      </c>
      <c r="G803" s="152"/>
      <c r="H803" s="152"/>
      <c r="I803" s="152"/>
      <c r="J803" s="152">
        <v>1899</v>
      </c>
      <c r="K803" s="152">
        <v>12</v>
      </c>
    </row>
    <row r="804" spans="1:11" ht="13.5" customHeight="1" x14ac:dyDescent="0.15">
      <c r="A804" s="141"/>
      <c r="B804" s="148">
        <v>801</v>
      </c>
      <c r="C804" s="163"/>
      <c r="D804" s="151"/>
      <c r="E804" s="151" t="s">
        <v>367</v>
      </c>
      <c r="F804" s="151" t="s">
        <v>367</v>
      </c>
      <c r="G804" s="151"/>
      <c r="H804" s="151"/>
      <c r="I804" s="151"/>
      <c r="J804" s="151">
        <v>1899</v>
      </c>
      <c r="K804" s="151">
        <v>12</v>
      </c>
    </row>
    <row r="805" spans="1:11" ht="13.5" customHeight="1" x14ac:dyDescent="0.15">
      <c r="A805" s="141"/>
      <c r="B805" s="148">
        <v>802</v>
      </c>
      <c r="C805" s="164"/>
      <c r="D805" s="152"/>
      <c r="E805" s="152" t="s">
        <v>367</v>
      </c>
      <c r="F805" s="152" t="s">
        <v>367</v>
      </c>
      <c r="G805" s="152"/>
      <c r="H805" s="152"/>
      <c r="I805" s="152"/>
      <c r="J805" s="152">
        <v>1899</v>
      </c>
      <c r="K805" s="152">
        <v>12</v>
      </c>
    </row>
    <row r="806" spans="1:11" ht="13.5" customHeight="1" x14ac:dyDescent="0.15">
      <c r="A806" s="141"/>
      <c r="B806" s="148">
        <v>803</v>
      </c>
      <c r="C806" s="163"/>
      <c r="D806" s="151"/>
      <c r="E806" s="151" t="s">
        <v>367</v>
      </c>
      <c r="F806" s="151" t="s">
        <v>367</v>
      </c>
      <c r="G806" s="151"/>
      <c r="H806" s="151"/>
      <c r="I806" s="151"/>
      <c r="J806" s="151">
        <v>1899</v>
      </c>
      <c r="K806" s="151">
        <v>12</v>
      </c>
    </row>
    <row r="807" spans="1:11" ht="13.5" customHeight="1" x14ac:dyDescent="0.15">
      <c r="A807" s="141"/>
      <c r="B807" s="148">
        <v>804</v>
      </c>
      <c r="C807" s="164"/>
      <c r="D807" s="152"/>
      <c r="E807" s="152" t="s">
        <v>367</v>
      </c>
      <c r="F807" s="152" t="s">
        <v>367</v>
      </c>
      <c r="G807" s="152"/>
      <c r="H807" s="152"/>
      <c r="I807" s="152"/>
      <c r="J807" s="152">
        <v>1899</v>
      </c>
      <c r="K807" s="152">
        <v>12</v>
      </c>
    </row>
    <row r="808" spans="1:11" ht="13.5" customHeight="1" x14ac:dyDescent="0.15">
      <c r="A808" s="141"/>
      <c r="B808" s="148">
        <v>805</v>
      </c>
      <c r="C808" s="163"/>
      <c r="D808" s="151"/>
      <c r="E808" s="151" t="s">
        <v>367</v>
      </c>
      <c r="F808" s="151" t="s">
        <v>367</v>
      </c>
      <c r="G808" s="151"/>
      <c r="H808" s="151"/>
      <c r="I808" s="151"/>
      <c r="J808" s="151">
        <v>1899</v>
      </c>
      <c r="K808" s="151">
        <v>12</v>
      </c>
    </row>
    <row r="809" spans="1:11" ht="13.5" customHeight="1" x14ac:dyDescent="0.15">
      <c r="A809" s="141"/>
      <c r="B809" s="148">
        <v>806</v>
      </c>
      <c r="C809" s="164"/>
      <c r="D809" s="152"/>
      <c r="E809" s="152" t="s">
        <v>367</v>
      </c>
      <c r="F809" s="152" t="s">
        <v>367</v>
      </c>
      <c r="G809" s="152"/>
      <c r="H809" s="152"/>
      <c r="I809" s="152"/>
      <c r="J809" s="152">
        <v>1899</v>
      </c>
      <c r="K809" s="152">
        <v>12</v>
      </c>
    </row>
    <row r="810" spans="1:11" ht="13.5" customHeight="1" x14ac:dyDescent="0.15">
      <c r="A810" s="141"/>
      <c r="B810" s="148">
        <v>807</v>
      </c>
      <c r="C810" s="163"/>
      <c r="D810" s="151"/>
      <c r="E810" s="151" t="s">
        <v>367</v>
      </c>
      <c r="F810" s="151" t="s">
        <v>367</v>
      </c>
      <c r="G810" s="151"/>
      <c r="H810" s="151"/>
      <c r="I810" s="151"/>
      <c r="J810" s="151">
        <v>1899</v>
      </c>
      <c r="K810" s="151">
        <v>12</v>
      </c>
    </row>
    <row r="811" spans="1:11" ht="13.5" customHeight="1" x14ac:dyDescent="0.15">
      <c r="A811" s="141"/>
      <c r="B811" s="148">
        <v>808</v>
      </c>
      <c r="C811" s="164"/>
      <c r="D811" s="152"/>
      <c r="E811" s="152" t="s">
        <v>367</v>
      </c>
      <c r="F811" s="152" t="s">
        <v>367</v>
      </c>
      <c r="G811" s="152"/>
      <c r="H811" s="152"/>
      <c r="I811" s="152"/>
      <c r="J811" s="152">
        <v>1899</v>
      </c>
      <c r="K811" s="152">
        <v>12</v>
      </c>
    </row>
    <row r="812" spans="1:11" ht="13.5" customHeight="1" x14ac:dyDescent="0.15">
      <c r="A812" s="141"/>
      <c r="B812" s="148">
        <v>809</v>
      </c>
      <c r="C812" s="163"/>
      <c r="D812" s="151"/>
      <c r="E812" s="151" t="s">
        <v>367</v>
      </c>
      <c r="F812" s="151" t="s">
        <v>367</v>
      </c>
      <c r="G812" s="151"/>
      <c r="H812" s="151"/>
      <c r="I812" s="151"/>
      <c r="J812" s="151">
        <v>1899</v>
      </c>
      <c r="K812" s="151">
        <v>12</v>
      </c>
    </row>
    <row r="813" spans="1:11" ht="13.5" customHeight="1" x14ac:dyDescent="0.15">
      <c r="A813" s="141"/>
      <c r="B813" s="148">
        <v>810</v>
      </c>
      <c r="C813" s="164"/>
      <c r="D813" s="152"/>
      <c r="E813" s="152" t="s">
        <v>367</v>
      </c>
      <c r="F813" s="152" t="s">
        <v>367</v>
      </c>
      <c r="G813" s="152"/>
      <c r="H813" s="152"/>
      <c r="I813" s="152"/>
      <c r="J813" s="152">
        <v>1899</v>
      </c>
      <c r="K813" s="152">
        <v>12</v>
      </c>
    </row>
    <row r="814" spans="1:11" ht="13.5" customHeight="1" x14ac:dyDescent="0.15">
      <c r="A814" s="141"/>
      <c r="B814" s="148">
        <v>811</v>
      </c>
      <c r="C814" s="163"/>
      <c r="D814" s="151"/>
      <c r="E814" s="151" t="s">
        <v>367</v>
      </c>
      <c r="F814" s="151" t="s">
        <v>367</v>
      </c>
      <c r="G814" s="151"/>
      <c r="H814" s="151"/>
      <c r="I814" s="151"/>
      <c r="J814" s="151">
        <v>1899</v>
      </c>
      <c r="K814" s="151">
        <v>12</v>
      </c>
    </row>
    <row r="815" spans="1:11" ht="13.5" customHeight="1" x14ac:dyDescent="0.15">
      <c r="A815" s="141"/>
      <c r="B815" s="148">
        <v>812</v>
      </c>
      <c r="C815" s="164"/>
      <c r="D815" s="152"/>
      <c r="E815" s="152" t="s">
        <v>367</v>
      </c>
      <c r="F815" s="152" t="s">
        <v>367</v>
      </c>
      <c r="G815" s="152"/>
      <c r="H815" s="152"/>
      <c r="I815" s="152"/>
      <c r="J815" s="152">
        <v>1899</v>
      </c>
      <c r="K815" s="152">
        <v>12</v>
      </c>
    </row>
    <row r="816" spans="1:11" ht="13.5" customHeight="1" x14ac:dyDescent="0.15">
      <c r="A816" s="141"/>
      <c r="B816" s="148">
        <v>813</v>
      </c>
      <c r="C816" s="163"/>
      <c r="D816" s="151"/>
      <c r="E816" s="151" t="s">
        <v>367</v>
      </c>
      <c r="F816" s="151" t="s">
        <v>367</v>
      </c>
      <c r="G816" s="151"/>
      <c r="H816" s="151"/>
      <c r="I816" s="151"/>
      <c r="J816" s="151">
        <v>1899</v>
      </c>
      <c r="K816" s="151">
        <v>12</v>
      </c>
    </row>
    <row r="817" spans="1:11" ht="13.5" customHeight="1" x14ac:dyDescent="0.15">
      <c r="A817" s="141"/>
      <c r="B817" s="148">
        <v>814</v>
      </c>
      <c r="C817" s="164"/>
      <c r="D817" s="152"/>
      <c r="E817" s="152" t="s">
        <v>367</v>
      </c>
      <c r="F817" s="152" t="s">
        <v>367</v>
      </c>
      <c r="G817" s="152"/>
      <c r="H817" s="152"/>
      <c r="I817" s="152"/>
      <c r="J817" s="152">
        <v>1899</v>
      </c>
      <c r="K817" s="152">
        <v>12</v>
      </c>
    </row>
    <row r="818" spans="1:11" ht="13.5" customHeight="1" x14ac:dyDescent="0.15">
      <c r="A818" s="141"/>
      <c r="B818" s="148">
        <v>815</v>
      </c>
      <c r="C818" s="163"/>
      <c r="D818" s="151"/>
      <c r="E818" s="151" t="s">
        <v>367</v>
      </c>
      <c r="F818" s="151" t="s">
        <v>367</v>
      </c>
      <c r="G818" s="151"/>
      <c r="H818" s="151"/>
      <c r="I818" s="151"/>
      <c r="J818" s="151">
        <v>1899</v>
      </c>
      <c r="K818" s="151">
        <v>12</v>
      </c>
    </row>
    <row r="819" spans="1:11" ht="13.5" customHeight="1" x14ac:dyDescent="0.15">
      <c r="A819" s="141"/>
      <c r="B819" s="148">
        <v>816</v>
      </c>
      <c r="C819" s="164"/>
      <c r="D819" s="152"/>
      <c r="E819" s="152" t="s">
        <v>367</v>
      </c>
      <c r="F819" s="152" t="s">
        <v>367</v>
      </c>
      <c r="G819" s="152"/>
      <c r="H819" s="152"/>
      <c r="I819" s="152"/>
      <c r="J819" s="152">
        <v>1899</v>
      </c>
      <c r="K819" s="152">
        <v>12</v>
      </c>
    </row>
    <row r="820" spans="1:11" ht="13.5" customHeight="1" x14ac:dyDescent="0.15">
      <c r="A820" s="141"/>
      <c r="B820" s="148">
        <v>817</v>
      </c>
      <c r="C820" s="163"/>
      <c r="D820" s="151"/>
      <c r="E820" s="151" t="s">
        <v>367</v>
      </c>
      <c r="F820" s="151" t="s">
        <v>367</v>
      </c>
      <c r="G820" s="151"/>
      <c r="H820" s="151"/>
      <c r="I820" s="151"/>
      <c r="J820" s="151">
        <v>1899</v>
      </c>
      <c r="K820" s="151">
        <v>12</v>
      </c>
    </row>
    <row r="821" spans="1:11" ht="13.5" customHeight="1" x14ac:dyDescent="0.15">
      <c r="A821" s="141"/>
      <c r="B821" s="148">
        <v>818</v>
      </c>
      <c r="C821" s="164"/>
      <c r="D821" s="152"/>
      <c r="E821" s="152" t="s">
        <v>367</v>
      </c>
      <c r="F821" s="152" t="s">
        <v>367</v>
      </c>
      <c r="G821" s="152"/>
      <c r="H821" s="152"/>
      <c r="I821" s="152"/>
      <c r="J821" s="152">
        <v>1899</v>
      </c>
      <c r="K821" s="152">
        <v>12</v>
      </c>
    </row>
    <row r="822" spans="1:11" ht="13.5" customHeight="1" x14ac:dyDescent="0.15">
      <c r="A822" s="141"/>
      <c r="B822" s="148">
        <v>819</v>
      </c>
      <c r="C822" s="163"/>
      <c r="D822" s="151"/>
      <c r="E822" s="151" t="s">
        <v>367</v>
      </c>
      <c r="F822" s="151" t="s">
        <v>367</v>
      </c>
      <c r="G822" s="151"/>
      <c r="H822" s="151"/>
      <c r="I822" s="151"/>
      <c r="J822" s="151">
        <v>1899</v>
      </c>
      <c r="K822" s="151">
        <v>12</v>
      </c>
    </row>
    <row r="823" spans="1:11" ht="13.5" customHeight="1" x14ac:dyDescent="0.15">
      <c r="A823" s="141"/>
      <c r="B823" s="148">
        <v>820</v>
      </c>
      <c r="C823" s="164"/>
      <c r="D823" s="152"/>
      <c r="E823" s="152" t="s">
        <v>367</v>
      </c>
      <c r="F823" s="152" t="s">
        <v>367</v>
      </c>
      <c r="G823" s="152"/>
      <c r="H823" s="152"/>
      <c r="I823" s="152"/>
      <c r="J823" s="152">
        <v>1899</v>
      </c>
      <c r="K823" s="152">
        <v>12</v>
      </c>
    </row>
    <row r="824" spans="1:11" ht="13.5" customHeight="1" x14ac:dyDescent="0.15">
      <c r="A824" s="141"/>
      <c r="B824" s="148">
        <v>821</v>
      </c>
      <c r="C824" s="163"/>
      <c r="D824" s="151"/>
      <c r="E824" s="151" t="s">
        <v>367</v>
      </c>
      <c r="F824" s="151" t="s">
        <v>367</v>
      </c>
      <c r="G824" s="151"/>
      <c r="H824" s="151"/>
      <c r="I824" s="151"/>
      <c r="J824" s="151">
        <v>1899</v>
      </c>
      <c r="K824" s="151">
        <v>12</v>
      </c>
    </row>
    <row r="825" spans="1:11" ht="13.5" customHeight="1" x14ac:dyDescent="0.15">
      <c r="A825" s="141"/>
      <c r="B825" s="148">
        <v>822</v>
      </c>
      <c r="C825" s="164"/>
      <c r="D825" s="152"/>
      <c r="E825" s="152" t="s">
        <v>367</v>
      </c>
      <c r="F825" s="152" t="s">
        <v>367</v>
      </c>
      <c r="G825" s="152"/>
      <c r="H825" s="152"/>
      <c r="I825" s="152"/>
      <c r="J825" s="152">
        <v>1899</v>
      </c>
      <c r="K825" s="152">
        <v>12</v>
      </c>
    </row>
    <row r="826" spans="1:11" ht="13.5" customHeight="1" x14ac:dyDescent="0.15">
      <c r="A826" s="141"/>
      <c r="B826" s="148">
        <v>823</v>
      </c>
      <c r="C826" s="163"/>
      <c r="D826" s="151"/>
      <c r="E826" s="151" t="s">
        <v>367</v>
      </c>
      <c r="F826" s="151" t="s">
        <v>367</v>
      </c>
      <c r="G826" s="151"/>
      <c r="H826" s="151"/>
      <c r="I826" s="151"/>
      <c r="J826" s="151">
        <v>1899</v>
      </c>
      <c r="K826" s="151">
        <v>12</v>
      </c>
    </row>
    <row r="827" spans="1:11" ht="13.5" customHeight="1" x14ac:dyDescent="0.15">
      <c r="A827" s="141"/>
      <c r="B827" s="148">
        <v>824</v>
      </c>
      <c r="C827" s="164"/>
      <c r="D827" s="152"/>
      <c r="E827" s="152" t="s">
        <v>367</v>
      </c>
      <c r="F827" s="152" t="s">
        <v>367</v>
      </c>
      <c r="G827" s="152"/>
      <c r="H827" s="152"/>
      <c r="I827" s="152"/>
      <c r="J827" s="152">
        <v>1899</v>
      </c>
      <c r="K827" s="152">
        <v>12</v>
      </c>
    </row>
    <row r="828" spans="1:11" ht="13.5" customHeight="1" x14ac:dyDescent="0.15">
      <c r="A828" s="141"/>
      <c r="B828" s="148">
        <v>825</v>
      </c>
      <c r="C828" s="163"/>
      <c r="D828" s="151"/>
      <c r="E828" s="151" t="s">
        <v>367</v>
      </c>
      <c r="F828" s="151" t="s">
        <v>367</v>
      </c>
      <c r="G828" s="151"/>
      <c r="H828" s="151"/>
      <c r="I828" s="151"/>
      <c r="J828" s="151">
        <v>1899</v>
      </c>
      <c r="K828" s="151">
        <v>12</v>
      </c>
    </row>
    <row r="829" spans="1:11" ht="13.5" customHeight="1" x14ac:dyDescent="0.15">
      <c r="A829" s="141"/>
      <c r="B829" s="148">
        <v>826</v>
      </c>
      <c r="C829" s="164"/>
      <c r="D829" s="152"/>
      <c r="E829" s="152" t="s">
        <v>367</v>
      </c>
      <c r="F829" s="152" t="s">
        <v>367</v>
      </c>
      <c r="G829" s="152"/>
      <c r="H829" s="152"/>
      <c r="I829" s="152"/>
      <c r="J829" s="152">
        <v>1899</v>
      </c>
      <c r="K829" s="152">
        <v>12</v>
      </c>
    </row>
    <row r="830" spans="1:11" ht="13.5" customHeight="1" x14ac:dyDescent="0.15">
      <c r="A830" s="141"/>
      <c r="B830" s="148">
        <v>827</v>
      </c>
      <c r="C830" s="163"/>
      <c r="D830" s="151"/>
      <c r="E830" s="151" t="s">
        <v>367</v>
      </c>
      <c r="F830" s="151" t="s">
        <v>367</v>
      </c>
      <c r="G830" s="151"/>
      <c r="H830" s="151"/>
      <c r="I830" s="151"/>
      <c r="J830" s="151">
        <v>1899</v>
      </c>
      <c r="K830" s="151">
        <v>12</v>
      </c>
    </row>
    <row r="831" spans="1:11" ht="13.5" customHeight="1" x14ac:dyDescent="0.15">
      <c r="A831" s="141"/>
      <c r="B831" s="148">
        <v>828</v>
      </c>
      <c r="C831" s="164"/>
      <c r="D831" s="152"/>
      <c r="E831" s="152" t="s">
        <v>367</v>
      </c>
      <c r="F831" s="152" t="s">
        <v>367</v>
      </c>
      <c r="G831" s="152"/>
      <c r="H831" s="152"/>
      <c r="I831" s="152"/>
      <c r="J831" s="152">
        <v>1899</v>
      </c>
      <c r="K831" s="152">
        <v>12</v>
      </c>
    </row>
    <row r="832" spans="1:11" ht="13.5" customHeight="1" x14ac:dyDescent="0.15">
      <c r="A832" s="141"/>
      <c r="B832" s="148">
        <v>829</v>
      </c>
      <c r="C832" s="163"/>
      <c r="D832" s="151"/>
      <c r="E832" s="151" t="s">
        <v>367</v>
      </c>
      <c r="F832" s="151" t="s">
        <v>367</v>
      </c>
      <c r="G832" s="151"/>
      <c r="H832" s="151"/>
      <c r="I832" s="151"/>
      <c r="J832" s="151">
        <v>1899</v>
      </c>
      <c r="K832" s="151">
        <v>12</v>
      </c>
    </row>
    <row r="833" spans="1:11" ht="13.5" customHeight="1" x14ac:dyDescent="0.15">
      <c r="A833" s="141"/>
      <c r="B833" s="148">
        <v>830</v>
      </c>
      <c r="C833" s="164"/>
      <c r="D833" s="152"/>
      <c r="E833" s="152" t="s">
        <v>367</v>
      </c>
      <c r="F833" s="152" t="s">
        <v>367</v>
      </c>
      <c r="G833" s="152"/>
      <c r="H833" s="152"/>
      <c r="I833" s="152"/>
      <c r="J833" s="152">
        <v>1899</v>
      </c>
      <c r="K833" s="152">
        <v>12</v>
      </c>
    </row>
    <row r="834" spans="1:11" ht="13.5" customHeight="1" x14ac:dyDescent="0.15">
      <c r="A834" s="141"/>
      <c r="B834" s="148">
        <v>831</v>
      </c>
      <c r="C834" s="163"/>
      <c r="D834" s="151"/>
      <c r="E834" s="151" t="s">
        <v>367</v>
      </c>
      <c r="F834" s="151" t="s">
        <v>367</v>
      </c>
      <c r="G834" s="151"/>
      <c r="H834" s="151"/>
      <c r="I834" s="151"/>
      <c r="J834" s="151">
        <v>1899</v>
      </c>
      <c r="K834" s="151">
        <v>12</v>
      </c>
    </row>
    <row r="835" spans="1:11" ht="13.5" customHeight="1" x14ac:dyDescent="0.15">
      <c r="A835" s="141"/>
      <c r="B835" s="148">
        <v>832</v>
      </c>
      <c r="C835" s="164"/>
      <c r="D835" s="152"/>
      <c r="E835" s="152" t="s">
        <v>367</v>
      </c>
      <c r="F835" s="152" t="s">
        <v>367</v>
      </c>
      <c r="G835" s="152"/>
      <c r="H835" s="152"/>
      <c r="I835" s="152"/>
      <c r="J835" s="152">
        <v>1899</v>
      </c>
      <c r="K835" s="152">
        <v>12</v>
      </c>
    </row>
    <row r="836" spans="1:11" ht="13.5" customHeight="1" x14ac:dyDescent="0.15">
      <c r="A836" s="141"/>
      <c r="B836" s="148">
        <v>833</v>
      </c>
      <c r="C836" s="163"/>
      <c r="D836" s="151"/>
      <c r="E836" s="151" t="s">
        <v>367</v>
      </c>
      <c r="F836" s="151" t="s">
        <v>367</v>
      </c>
      <c r="G836" s="151"/>
      <c r="H836" s="151"/>
      <c r="I836" s="151"/>
      <c r="J836" s="151">
        <v>1899</v>
      </c>
      <c r="K836" s="151">
        <v>12</v>
      </c>
    </row>
    <row r="837" spans="1:11" ht="13.5" customHeight="1" x14ac:dyDescent="0.15">
      <c r="A837" s="141"/>
      <c r="B837" s="148">
        <v>834</v>
      </c>
      <c r="C837" s="164"/>
      <c r="D837" s="152"/>
      <c r="E837" s="152" t="s">
        <v>367</v>
      </c>
      <c r="F837" s="152" t="s">
        <v>367</v>
      </c>
      <c r="G837" s="152"/>
      <c r="H837" s="152"/>
      <c r="I837" s="152"/>
      <c r="J837" s="152">
        <v>1899</v>
      </c>
      <c r="K837" s="152">
        <v>12</v>
      </c>
    </row>
    <row r="838" spans="1:11" ht="13.5" customHeight="1" x14ac:dyDescent="0.15">
      <c r="A838" s="141"/>
      <c r="B838" s="148">
        <v>835</v>
      </c>
      <c r="C838" s="163"/>
      <c r="D838" s="151"/>
      <c r="E838" s="151" t="s">
        <v>367</v>
      </c>
      <c r="F838" s="151" t="s">
        <v>367</v>
      </c>
      <c r="G838" s="151"/>
      <c r="H838" s="151"/>
      <c r="I838" s="151"/>
      <c r="J838" s="151">
        <v>1899</v>
      </c>
      <c r="K838" s="151">
        <v>12</v>
      </c>
    </row>
    <row r="839" spans="1:11" ht="13.5" customHeight="1" x14ac:dyDescent="0.15">
      <c r="A839" s="141"/>
      <c r="B839" s="148">
        <v>836</v>
      </c>
      <c r="C839" s="164"/>
      <c r="D839" s="152"/>
      <c r="E839" s="152" t="s">
        <v>367</v>
      </c>
      <c r="F839" s="152" t="s">
        <v>367</v>
      </c>
      <c r="G839" s="152"/>
      <c r="H839" s="152"/>
      <c r="I839" s="152"/>
      <c r="J839" s="152">
        <v>1899</v>
      </c>
      <c r="K839" s="152">
        <v>12</v>
      </c>
    </row>
    <row r="840" spans="1:11" ht="13.5" customHeight="1" x14ac:dyDescent="0.15">
      <c r="A840" s="141"/>
      <c r="B840" s="148">
        <v>837</v>
      </c>
      <c r="C840" s="163"/>
      <c r="D840" s="151"/>
      <c r="E840" s="151" t="s">
        <v>367</v>
      </c>
      <c r="F840" s="151" t="s">
        <v>367</v>
      </c>
      <c r="G840" s="151"/>
      <c r="H840" s="151"/>
      <c r="I840" s="151"/>
      <c r="J840" s="151">
        <v>1899</v>
      </c>
      <c r="K840" s="151">
        <v>12</v>
      </c>
    </row>
    <row r="841" spans="1:11" ht="13.5" customHeight="1" x14ac:dyDescent="0.15">
      <c r="A841" s="141"/>
      <c r="B841" s="148">
        <v>838</v>
      </c>
      <c r="C841" s="164"/>
      <c r="D841" s="152"/>
      <c r="E841" s="152" t="s">
        <v>367</v>
      </c>
      <c r="F841" s="152" t="s">
        <v>367</v>
      </c>
      <c r="G841" s="152"/>
      <c r="H841" s="152"/>
      <c r="I841" s="152"/>
      <c r="J841" s="152">
        <v>1899</v>
      </c>
      <c r="K841" s="152">
        <v>12</v>
      </c>
    </row>
    <row r="842" spans="1:11" ht="13.5" customHeight="1" x14ac:dyDescent="0.15">
      <c r="A842" s="141"/>
      <c r="B842" s="148">
        <v>839</v>
      </c>
      <c r="C842" s="163"/>
      <c r="D842" s="151"/>
      <c r="E842" s="151" t="s">
        <v>367</v>
      </c>
      <c r="F842" s="151" t="s">
        <v>367</v>
      </c>
      <c r="G842" s="151"/>
      <c r="H842" s="151"/>
      <c r="I842" s="151"/>
      <c r="J842" s="151">
        <v>1899</v>
      </c>
      <c r="K842" s="151">
        <v>12</v>
      </c>
    </row>
    <row r="843" spans="1:11" ht="13.5" customHeight="1" x14ac:dyDescent="0.15">
      <c r="A843" s="141"/>
      <c r="B843" s="148">
        <v>840</v>
      </c>
      <c r="C843" s="164"/>
      <c r="D843" s="152"/>
      <c r="E843" s="152" t="s">
        <v>367</v>
      </c>
      <c r="F843" s="152" t="s">
        <v>367</v>
      </c>
      <c r="G843" s="152"/>
      <c r="H843" s="152"/>
      <c r="I843" s="152"/>
      <c r="J843" s="152">
        <v>1899</v>
      </c>
      <c r="K843" s="152">
        <v>12</v>
      </c>
    </row>
    <row r="844" spans="1:11" ht="13.5" customHeight="1" x14ac:dyDescent="0.15">
      <c r="A844" s="141"/>
      <c r="B844" s="148">
        <v>841</v>
      </c>
      <c r="C844" s="163"/>
      <c r="D844" s="151"/>
      <c r="E844" s="151" t="s">
        <v>367</v>
      </c>
      <c r="F844" s="151" t="s">
        <v>367</v>
      </c>
      <c r="G844" s="151"/>
      <c r="H844" s="151"/>
      <c r="I844" s="151"/>
      <c r="J844" s="151">
        <v>1899</v>
      </c>
      <c r="K844" s="151">
        <v>12</v>
      </c>
    </row>
    <row r="845" spans="1:11" ht="13.5" customHeight="1" x14ac:dyDescent="0.15">
      <c r="A845" s="141"/>
      <c r="B845" s="148">
        <v>842</v>
      </c>
      <c r="C845" s="164"/>
      <c r="D845" s="152"/>
      <c r="E845" s="152" t="s">
        <v>367</v>
      </c>
      <c r="F845" s="152" t="s">
        <v>367</v>
      </c>
      <c r="G845" s="152"/>
      <c r="H845" s="152"/>
      <c r="I845" s="152"/>
      <c r="J845" s="152">
        <v>1899</v>
      </c>
      <c r="K845" s="152">
        <v>12</v>
      </c>
    </row>
    <row r="846" spans="1:11" ht="13.5" customHeight="1" x14ac:dyDescent="0.15">
      <c r="A846" s="141"/>
      <c r="B846" s="148">
        <v>843</v>
      </c>
      <c r="C846" s="163"/>
      <c r="D846" s="151"/>
      <c r="E846" s="151" t="s">
        <v>367</v>
      </c>
      <c r="F846" s="151" t="s">
        <v>367</v>
      </c>
      <c r="G846" s="151"/>
      <c r="H846" s="151"/>
      <c r="I846" s="151"/>
      <c r="J846" s="151">
        <v>1899</v>
      </c>
      <c r="K846" s="151">
        <v>12</v>
      </c>
    </row>
    <row r="847" spans="1:11" ht="13.5" customHeight="1" x14ac:dyDescent="0.15">
      <c r="A847" s="141"/>
      <c r="B847" s="148">
        <v>844</v>
      </c>
      <c r="C847" s="164"/>
      <c r="D847" s="152"/>
      <c r="E847" s="152" t="s">
        <v>367</v>
      </c>
      <c r="F847" s="152" t="s">
        <v>367</v>
      </c>
      <c r="G847" s="152"/>
      <c r="H847" s="152"/>
      <c r="I847" s="152"/>
      <c r="J847" s="152">
        <v>1899</v>
      </c>
      <c r="K847" s="152">
        <v>12</v>
      </c>
    </row>
    <row r="848" spans="1:11" ht="13.5" customHeight="1" x14ac:dyDescent="0.15">
      <c r="A848" s="141"/>
      <c r="B848" s="148">
        <v>845</v>
      </c>
      <c r="C848" s="163"/>
      <c r="D848" s="151"/>
      <c r="E848" s="151" t="s">
        <v>367</v>
      </c>
      <c r="F848" s="151" t="s">
        <v>367</v>
      </c>
      <c r="G848" s="151"/>
      <c r="H848" s="151"/>
      <c r="I848" s="151"/>
      <c r="J848" s="151">
        <v>1899</v>
      </c>
      <c r="K848" s="151">
        <v>12</v>
      </c>
    </row>
    <row r="849" spans="1:11" ht="13.5" customHeight="1" x14ac:dyDescent="0.15">
      <c r="A849" s="141"/>
      <c r="B849" s="148">
        <v>846</v>
      </c>
      <c r="C849" s="164"/>
      <c r="D849" s="152"/>
      <c r="E849" s="152" t="s">
        <v>367</v>
      </c>
      <c r="F849" s="152" t="s">
        <v>367</v>
      </c>
      <c r="G849" s="152"/>
      <c r="H849" s="152"/>
      <c r="I849" s="152"/>
      <c r="J849" s="152">
        <v>1899</v>
      </c>
      <c r="K849" s="152">
        <v>12</v>
      </c>
    </row>
    <row r="850" spans="1:11" ht="13.5" customHeight="1" x14ac:dyDescent="0.15">
      <c r="A850" s="141"/>
      <c r="B850" s="148">
        <v>847</v>
      </c>
      <c r="C850" s="163"/>
      <c r="D850" s="151"/>
      <c r="E850" s="151" t="s">
        <v>367</v>
      </c>
      <c r="F850" s="151" t="s">
        <v>367</v>
      </c>
      <c r="G850" s="151"/>
      <c r="H850" s="151"/>
      <c r="I850" s="151"/>
      <c r="J850" s="151">
        <v>1899</v>
      </c>
      <c r="K850" s="151">
        <v>12</v>
      </c>
    </row>
    <row r="851" spans="1:11" ht="13.5" customHeight="1" x14ac:dyDescent="0.15">
      <c r="A851" s="141"/>
      <c r="B851" s="148">
        <v>848</v>
      </c>
      <c r="C851" s="164"/>
      <c r="D851" s="152"/>
      <c r="E851" s="152" t="s">
        <v>367</v>
      </c>
      <c r="F851" s="152" t="s">
        <v>367</v>
      </c>
      <c r="G851" s="152"/>
      <c r="H851" s="152"/>
      <c r="I851" s="152"/>
      <c r="J851" s="152">
        <v>1899</v>
      </c>
      <c r="K851" s="152">
        <v>12</v>
      </c>
    </row>
    <row r="852" spans="1:11" ht="13.5" customHeight="1" x14ac:dyDescent="0.15">
      <c r="A852" s="141"/>
      <c r="B852" s="148">
        <v>849</v>
      </c>
      <c r="C852" s="163"/>
      <c r="D852" s="151"/>
      <c r="E852" s="151" t="s">
        <v>367</v>
      </c>
      <c r="F852" s="151" t="s">
        <v>367</v>
      </c>
      <c r="G852" s="151"/>
      <c r="H852" s="151"/>
      <c r="I852" s="151"/>
      <c r="J852" s="151">
        <v>1899</v>
      </c>
      <c r="K852" s="151">
        <v>12</v>
      </c>
    </row>
    <row r="853" spans="1:11" ht="13.5" customHeight="1" x14ac:dyDescent="0.15">
      <c r="A853" s="141"/>
      <c r="B853" s="148">
        <v>850</v>
      </c>
      <c r="C853" s="164"/>
      <c r="D853" s="152"/>
      <c r="E853" s="152" t="s">
        <v>367</v>
      </c>
      <c r="F853" s="152" t="s">
        <v>367</v>
      </c>
      <c r="G853" s="152"/>
      <c r="H853" s="152"/>
      <c r="I853" s="152"/>
      <c r="J853" s="152">
        <v>1899</v>
      </c>
      <c r="K853" s="152">
        <v>12</v>
      </c>
    </row>
    <row r="854" spans="1:11" ht="13.5" customHeight="1" x14ac:dyDescent="0.15">
      <c r="A854" s="141"/>
      <c r="B854" s="148">
        <v>851</v>
      </c>
      <c r="C854" s="163"/>
      <c r="D854" s="151"/>
      <c r="E854" s="151" t="s">
        <v>367</v>
      </c>
      <c r="F854" s="151" t="s">
        <v>367</v>
      </c>
      <c r="G854" s="151"/>
      <c r="H854" s="151"/>
      <c r="I854" s="151"/>
      <c r="J854" s="151">
        <v>1899</v>
      </c>
      <c r="K854" s="151">
        <v>12</v>
      </c>
    </row>
    <row r="855" spans="1:11" ht="13.5" customHeight="1" x14ac:dyDescent="0.15">
      <c r="A855" s="141"/>
      <c r="B855" s="148">
        <v>852</v>
      </c>
      <c r="C855" s="164"/>
      <c r="D855" s="152"/>
      <c r="E855" s="152" t="s">
        <v>367</v>
      </c>
      <c r="F855" s="152" t="s">
        <v>367</v>
      </c>
      <c r="G855" s="152"/>
      <c r="H855" s="152"/>
      <c r="I855" s="152"/>
      <c r="J855" s="152">
        <v>1899</v>
      </c>
      <c r="K855" s="152">
        <v>12</v>
      </c>
    </row>
    <row r="856" spans="1:11" ht="13.5" customHeight="1" x14ac:dyDescent="0.15">
      <c r="A856" s="141"/>
      <c r="B856" s="148">
        <v>853</v>
      </c>
      <c r="C856" s="163"/>
      <c r="D856" s="151"/>
      <c r="E856" s="151" t="s">
        <v>367</v>
      </c>
      <c r="F856" s="151" t="s">
        <v>367</v>
      </c>
      <c r="G856" s="151"/>
      <c r="H856" s="151"/>
      <c r="I856" s="151"/>
      <c r="J856" s="151">
        <v>1899</v>
      </c>
      <c r="K856" s="151">
        <v>12</v>
      </c>
    </row>
    <row r="857" spans="1:11" ht="13.5" customHeight="1" x14ac:dyDescent="0.15">
      <c r="A857" s="141"/>
      <c r="B857" s="148">
        <v>854</v>
      </c>
      <c r="C857" s="164"/>
      <c r="D857" s="152"/>
      <c r="E857" s="152" t="s">
        <v>367</v>
      </c>
      <c r="F857" s="152" t="s">
        <v>367</v>
      </c>
      <c r="G857" s="152"/>
      <c r="H857" s="152"/>
      <c r="I857" s="152"/>
      <c r="J857" s="152">
        <v>1899</v>
      </c>
      <c r="K857" s="152">
        <v>12</v>
      </c>
    </row>
    <row r="858" spans="1:11" ht="13.5" customHeight="1" x14ac:dyDescent="0.15">
      <c r="A858" s="141"/>
      <c r="B858" s="148">
        <v>855</v>
      </c>
      <c r="C858" s="163"/>
      <c r="D858" s="151"/>
      <c r="E858" s="151" t="s">
        <v>367</v>
      </c>
      <c r="F858" s="151" t="s">
        <v>367</v>
      </c>
      <c r="G858" s="151"/>
      <c r="H858" s="151"/>
      <c r="I858" s="151"/>
      <c r="J858" s="151">
        <v>1899</v>
      </c>
      <c r="K858" s="151">
        <v>12</v>
      </c>
    </row>
    <row r="859" spans="1:11" ht="13.5" customHeight="1" x14ac:dyDescent="0.15">
      <c r="A859" s="141"/>
      <c r="B859" s="148">
        <v>856</v>
      </c>
      <c r="C859" s="164"/>
      <c r="D859" s="152"/>
      <c r="E859" s="152" t="s">
        <v>367</v>
      </c>
      <c r="F859" s="152" t="s">
        <v>367</v>
      </c>
      <c r="G859" s="152"/>
      <c r="H859" s="152"/>
      <c r="I859" s="152"/>
      <c r="J859" s="152">
        <v>1899</v>
      </c>
      <c r="K859" s="152">
        <v>12</v>
      </c>
    </row>
    <row r="860" spans="1:11" ht="13.5" customHeight="1" x14ac:dyDescent="0.15">
      <c r="A860" s="141"/>
      <c r="B860" s="148">
        <v>857</v>
      </c>
      <c r="C860" s="163"/>
      <c r="D860" s="151"/>
      <c r="E860" s="151" t="s">
        <v>367</v>
      </c>
      <c r="F860" s="151" t="s">
        <v>367</v>
      </c>
      <c r="G860" s="151"/>
      <c r="H860" s="151"/>
      <c r="I860" s="151"/>
      <c r="J860" s="151">
        <v>1899</v>
      </c>
      <c r="K860" s="151">
        <v>12</v>
      </c>
    </row>
    <row r="861" spans="1:11" ht="13.5" customHeight="1" x14ac:dyDescent="0.15">
      <c r="A861" s="141"/>
      <c r="B861" s="148">
        <v>858</v>
      </c>
      <c r="C861" s="164"/>
      <c r="D861" s="152"/>
      <c r="E861" s="152" t="s">
        <v>367</v>
      </c>
      <c r="F861" s="152" t="s">
        <v>367</v>
      </c>
      <c r="G861" s="152"/>
      <c r="H861" s="152"/>
      <c r="I861" s="152"/>
      <c r="J861" s="152">
        <v>1899</v>
      </c>
      <c r="K861" s="152">
        <v>12</v>
      </c>
    </row>
    <row r="862" spans="1:11" ht="13.5" customHeight="1" x14ac:dyDescent="0.15">
      <c r="A862" s="141"/>
      <c r="B862" s="148">
        <v>859</v>
      </c>
      <c r="C862" s="163"/>
      <c r="D862" s="151"/>
      <c r="E862" s="151" t="s">
        <v>367</v>
      </c>
      <c r="F862" s="151" t="s">
        <v>367</v>
      </c>
      <c r="G862" s="151"/>
      <c r="H862" s="151"/>
      <c r="I862" s="151"/>
      <c r="J862" s="151">
        <v>1899</v>
      </c>
      <c r="K862" s="151">
        <v>12</v>
      </c>
    </row>
    <row r="863" spans="1:11" ht="13.5" customHeight="1" x14ac:dyDescent="0.15">
      <c r="A863" s="141"/>
      <c r="B863" s="148">
        <v>860</v>
      </c>
      <c r="C863" s="164"/>
      <c r="D863" s="152"/>
      <c r="E863" s="152" t="s">
        <v>367</v>
      </c>
      <c r="F863" s="152" t="s">
        <v>367</v>
      </c>
      <c r="G863" s="152"/>
      <c r="H863" s="152"/>
      <c r="I863" s="152"/>
      <c r="J863" s="152">
        <v>1899</v>
      </c>
      <c r="K863" s="152">
        <v>12</v>
      </c>
    </row>
    <row r="864" spans="1:11" ht="13.5" customHeight="1" x14ac:dyDescent="0.15">
      <c r="A864" s="141"/>
      <c r="B864" s="148">
        <v>861</v>
      </c>
      <c r="C864" s="163"/>
      <c r="D864" s="151"/>
      <c r="E864" s="151" t="s">
        <v>367</v>
      </c>
      <c r="F864" s="151" t="s">
        <v>367</v>
      </c>
      <c r="G864" s="151"/>
      <c r="H864" s="151"/>
      <c r="I864" s="151"/>
      <c r="J864" s="151">
        <v>1899</v>
      </c>
      <c r="K864" s="151">
        <v>12</v>
      </c>
    </row>
    <row r="865" spans="1:11" ht="13.5" customHeight="1" x14ac:dyDescent="0.15">
      <c r="A865" s="141"/>
      <c r="B865" s="148">
        <v>862</v>
      </c>
      <c r="C865" s="164"/>
      <c r="D865" s="152"/>
      <c r="E865" s="152" t="s">
        <v>367</v>
      </c>
      <c r="F865" s="152" t="s">
        <v>367</v>
      </c>
      <c r="G865" s="152"/>
      <c r="H865" s="152"/>
      <c r="I865" s="152"/>
      <c r="J865" s="152">
        <v>1899</v>
      </c>
      <c r="K865" s="152">
        <v>12</v>
      </c>
    </row>
    <row r="866" spans="1:11" ht="13.5" customHeight="1" x14ac:dyDescent="0.15">
      <c r="A866" s="141"/>
      <c r="B866" s="148">
        <v>863</v>
      </c>
      <c r="C866" s="163"/>
      <c r="D866" s="151"/>
      <c r="E866" s="151" t="s">
        <v>367</v>
      </c>
      <c r="F866" s="151" t="s">
        <v>367</v>
      </c>
      <c r="G866" s="151"/>
      <c r="H866" s="151"/>
      <c r="I866" s="151"/>
      <c r="J866" s="151">
        <v>1899</v>
      </c>
      <c r="K866" s="151">
        <v>12</v>
      </c>
    </row>
    <row r="867" spans="1:11" ht="13.5" customHeight="1" x14ac:dyDescent="0.15">
      <c r="A867" s="141"/>
      <c r="B867" s="148">
        <v>864</v>
      </c>
      <c r="C867" s="164"/>
      <c r="D867" s="152"/>
      <c r="E867" s="152" t="s">
        <v>367</v>
      </c>
      <c r="F867" s="152" t="s">
        <v>367</v>
      </c>
      <c r="G867" s="152"/>
      <c r="H867" s="152"/>
      <c r="I867" s="152"/>
      <c r="J867" s="152">
        <v>1899</v>
      </c>
      <c r="K867" s="152">
        <v>12</v>
      </c>
    </row>
    <row r="868" spans="1:11" ht="13.5" customHeight="1" x14ac:dyDescent="0.15">
      <c r="A868" s="141"/>
      <c r="B868" s="148">
        <v>865</v>
      </c>
      <c r="C868" s="163"/>
      <c r="D868" s="151"/>
      <c r="E868" s="151" t="s">
        <v>367</v>
      </c>
      <c r="F868" s="151" t="s">
        <v>367</v>
      </c>
      <c r="G868" s="151"/>
      <c r="H868" s="151"/>
      <c r="I868" s="151"/>
      <c r="J868" s="151">
        <v>1899</v>
      </c>
      <c r="K868" s="151">
        <v>12</v>
      </c>
    </row>
    <row r="869" spans="1:11" ht="13.5" customHeight="1" x14ac:dyDescent="0.15">
      <c r="A869" s="141"/>
      <c r="B869" s="148">
        <v>866</v>
      </c>
      <c r="C869" s="164"/>
      <c r="D869" s="152"/>
      <c r="E869" s="152" t="s">
        <v>367</v>
      </c>
      <c r="F869" s="152" t="s">
        <v>367</v>
      </c>
      <c r="G869" s="152"/>
      <c r="H869" s="152"/>
      <c r="I869" s="152"/>
      <c r="J869" s="152">
        <v>1899</v>
      </c>
      <c r="K869" s="152">
        <v>12</v>
      </c>
    </row>
    <row r="870" spans="1:11" ht="13.5" customHeight="1" x14ac:dyDescent="0.15">
      <c r="A870" s="141"/>
      <c r="B870" s="148">
        <v>867</v>
      </c>
      <c r="C870" s="163"/>
      <c r="D870" s="151"/>
      <c r="E870" s="151" t="s">
        <v>367</v>
      </c>
      <c r="F870" s="151" t="s">
        <v>367</v>
      </c>
      <c r="G870" s="151"/>
      <c r="H870" s="151"/>
      <c r="I870" s="151"/>
      <c r="J870" s="151">
        <v>1899</v>
      </c>
      <c r="K870" s="151">
        <v>12</v>
      </c>
    </row>
    <row r="871" spans="1:11" ht="13.5" customHeight="1" x14ac:dyDescent="0.15">
      <c r="A871" s="141"/>
      <c r="B871" s="148">
        <v>868</v>
      </c>
      <c r="C871" s="164"/>
      <c r="D871" s="152"/>
      <c r="E871" s="152" t="s">
        <v>367</v>
      </c>
      <c r="F871" s="152" t="s">
        <v>367</v>
      </c>
      <c r="G871" s="152"/>
      <c r="H871" s="152"/>
      <c r="I871" s="152"/>
      <c r="J871" s="152">
        <v>1899</v>
      </c>
      <c r="K871" s="152">
        <v>12</v>
      </c>
    </row>
    <row r="872" spans="1:11" ht="13.5" customHeight="1" x14ac:dyDescent="0.15">
      <c r="A872" s="141"/>
      <c r="B872" s="148">
        <v>869</v>
      </c>
      <c r="C872" s="163"/>
      <c r="D872" s="151"/>
      <c r="E872" s="151" t="s">
        <v>367</v>
      </c>
      <c r="F872" s="151" t="s">
        <v>367</v>
      </c>
      <c r="G872" s="151"/>
      <c r="H872" s="151"/>
      <c r="I872" s="151"/>
      <c r="J872" s="151">
        <v>1899</v>
      </c>
      <c r="K872" s="151">
        <v>12</v>
      </c>
    </row>
    <row r="873" spans="1:11" ht="13.5" customHeight="1" x14ac:dyDescent="0.15">
      <c r="A873" s="141"/>
      <c r="B873" s="148">
        <v>870</v>
      </c>
      <c r="C873" s="164"/>
      <c r="D873" s="152"/>
      <c r="E873" s="152" t="s">
        <v>367</v>
      </c>
      <c r="F873" s="152" t="s">
        <v>367</v>
      </c>
      <c r="G873" s="152"/>
      <c r="H873" s="152"/>
      <c r="I873" s="152"/>
      <c r="J873" s="152">
        <v>1899</v>
      </c>
      <c r="K873" s="152">
        <v>12</v>
      </c>
    </row>
    <row r="874" spans="1:11" ht="13.5" customHeight="1" x14ac:dyDescent="0.15">
      <c r="A874" s="141"/>
      <c r="B874" s="148">
        <v>871</v>
      </c>
      <c r="C874" s="163"/>
      <c r="D874" s="151"/>
      <c r="E874" s="151" t="s">
        <v>367</v>
      </c>
      <c r="F874" s="151" t="s">
        <v>367</v>
      </c>
      <c r="G874" s="151"/>
      <c r="H874" s="151"/>
      <c r="I874" s="151"/>
      <c r="J874" s="151">
        <v>1899</v>
      </c>
      <c r="K874" s="151">
        <v>12</v>
      </c>
    </row>
    <row r="875" spans="1:11" ht="13.5" customHeight="1" x14ac:dyDescent="0.15">
      <c r="A875" s="141"/>
      <c r="B875" s="148">
        <v>872</v>
      </c>
      <c r="C875" s="164"/>
      <c r="D875" s="152"/>
      <c r="E875" s="152" t="s">
        <v>367</v>
      </c>
      <c r="F875" s="152" t="s">
        <v>367</v>
      </c>
      <c r="G875" s="152"/>
      <c r="H875" s="152"/>
      <c r="I875" s="152"/>
      <c r="J875" s="152">
        <v>1899</v>
      </c>
      <c r="K875" s="152">
        <v>12</v>
      </c>
    </row>
    <row r="876" spans="1:11" ht="13.5" customHeight="1" x14ac:dyDescent="0.15">
      <c r="A876" s="141"/>
      <c r="B876" s="148">
        <v>873</v>
      </c>
      <c r="C876" s="163"/>
      <c r="D876" s="151"/>
      <c r="E876" s="151" t="s">
        <v>367</v>
      </c>
      <c r="F876" s="151" t="s">
        <v>367</v>
      </c>
      <c r="G876" s="151"/>
      <c r="H876" s="151"/>
      <c r="I876" s="151"/>
      <c r="J876" s="151">
        <v>1899</v>
      </c>
      <c r="K876" s="151">
        <v>12</v>
      </c>
    </row>
    <row r="877" spans="1:11" ht="13.5" customHeight="1" x14ac:dyDescent="0.15">
      <c r="A877" s="141"/>
      <c r="B877" s="148">
        <v>874</v>
      </c>
      <c r="C877" s="164"/>
      <c r="D877" s="152"/>
      <c r="E877" s="152" t="s">
        <v>367</v>
      </c>
      <c r="F877" s="152" t="s">
        <v>367</v>
      </c>
      <c r="G877" s="152"/>
      <c r="H877" s="152"/>
      <c r="I877" s="152"/>
      <c r="J877" s="152">
        <v>1899</v>
      </c>
      <c r="K877" s="152">
        <v>12</v>
      </c>
    </row>
    <row r="878" spans="1:11" ht="13.5" customHeight="1" x14ac:dyDescent="0.15">
      <c r="A878" s="141"/>
      <c r="B878" s="148">
        <v>875</v>
      </c>
      <c r="C878" s="163"/>
      <c r="D878" s="151"/>
      <c r="E878" s="151" t="s">
        <v>367</v>
      </c>
      <c r="F878" s="151" t="s">
        <v>367</v>
      </c>
      <c r="G878" s="151"/>
      <c r="H878" s="151"/>
      <c r="I878" s="151"/>
      <c r="J878" s="151">
        <v>1899</v>
      </c>
      <c r="K878" s="151">
        <v>12</v>
      </c>
    </row>
    <row r="879" spans="1:11" ht="13.5" customHeight="1" x14ac:dyDescent="0.15">
      <c r="A879" s="141"/>
      <c r="B879" s="148">
        <v>876</v>
      </c>
      <c r="C879" s="164"/>
      <c r="D879" s="152"/>
      <c r="E879" s="152" t="s">
        <v>367</v>
      </c>
      <c r="F879" s="152" t="s">
        <v>367</v>
      </c>
      <c r="G879" s="152"/>
      <c r="H879" s="152"/>
      <c r="I879" s="152"/>
      <c r="J879" s="152">
        <v>1899</v>
      </c>
      <c r="K879" s="152">
        <v>12</v>
      </c>
    </row>
    <row r="880" spans="1:11" ht="13.5" customHeight="1" x14ac:dyDescent="0.15">
      <c r="A880" s="141"/>
      <c r="B880" s="148">
        <v>877</v>
      </c>
      <c r="C880" s="163"/>
      <c r="D880" s="151"/>
      <c r="E880" s="151" t="s">
        <v>367</v>
      </c>
      <c r="F880" s="151" t="s">
        <v>367</v>
      </c>
      <c r="G880" s="151"/>
      <c r="H880" s="151"/>
      <c r="I880" s="151"/>
      <c r="J880" s="151">
        <v>1899</v>
      </c>
      <c r="K880" s="151">
        <v>12</v>
      </c>
    </row>
    <row r="881" spans="1:11" ht="13.5" customHeight="1" x14ac:dyDescent="0.15">
      <c r="A881" s="141"/>
      <c r="B881" s="148">
        <v>878</v>
      </c>
      <c r="C881" s="164"/>
      <c r="D881" s="152"/>
      <c r="E881" s="152" t="s">
        <v>367</v>
      </c>
      <c r="F881" s="152" t="s">
        <v>367</v>
      </c>
      <c r="G881" s="152"/>
      <c r="H881" s="152"/>
      <c r="I881" s="152"/>
      <c r="J881" s="152">
        <v>1899</v>
      </c>
      <c r="K881" s="152">
        <v>12</v>
      </c>
    </row>
    <row r="882" spans="1:11" ht="13.5" customHeight="1" x14ac:dyDescent="0.15">
      <c r="A882" s="141"/>
      <c r="B882" s="148">
        <v>879</v>
      </c>
      <c r="C882" s="163"/>
      <c r="D882" s="151"/>
      <c r="E882" s="151" t="s">
        <v>367</v>
      </c>
      <c r="F882" s="151" t="s">
        <v>367</v>
      </c>
      <c r="G882" s="151"/>
      <c r="H882" s="151"/>
      <c r="I882" s="151"/>
      <c r="J882" s="151">
        <v>1899</v>
      </c>
      <c r="K882" s="151">
        <v>12</v>
      </c>
    </row>
    <row r="883" spans="1:11" ht="13.5" customHeight="1" x14ac:dyDescent="0.15">
      <c r="A883" s="141"/>
      <c r="B883" s="148">
        <v>880</v>
      </c>
      <c r="C883" s="164"/>
      <c r="D883" s="152"/>
      <c r="E883" s="152" t="s">
        <v>367</v>
      </c>
      <c r="F883" s="152" t="s">
        <v>367</v>
      </c>
      <c r="G883" s="152"/>
      <c r="H883" s="152"/>
      <c r="I883" s="152"/>
      <c r="J883" s="152">
        <v>1899</v>
      </c>
      <c r="K883" s="152">
        <v>12</v>
      </c>
    </row>
    <row r="884" spans="1:11" ht="13.5" customHeight="1" x14ac:dyDescent="0.15">
      <c r="A884" s="141"/>
      <c r="B884" s="148">
        <v>881</v>
      </c>
      <c r="C884" s="163"/>
      <c r="D884" s="151"/>
      <c r="E884" s="151" t="s">
        <v>367</v>
      </c>
      <c r="F884" s="151" t="s">
        <v>367</v>
      </c>
      <c r="G884" s="151"/>
      <c r="H884" s="151"/>
      <c r="I884" s="151"/>
      <c r="J884" s="151">
        <v>1899</v>
      </c>
      <c r="K884" s="151">
        <v>12</v>
      </c>
    </row>
    <row r="885" spans="1:11" ht="13.5" customHeight="1" x14ac:dyDescent="0.15">
      <c r="A885" s="141"/>
      <c r="B885" s="148">
        <v>882</v>
      </c>
      <c r="C885" s="164"/>
      <c r="D885" s="152"/>
      <c r="E885" s="152" t="s">
        <v>367</v>
      </c>
      <c r="F885" s="152" t="s">
        <v>367</v>
      </c>
      <c r="G885" s="152"/>
      <c r="H885" s="152"/>
      <c r="I885" s="152"/>
      <c r="J885" s="152">
        <v>1899</v>
      </c>
      <c r="K885" s="152">
        <v>12</v>
      </c>
    </row>
    <row r="886" spans="1:11" ht="13.5" customHeight="1" x14ac:dyDescent="0.15">
      <c r="A886" s="141"/>
      <c r="B886" s="148">
        <v>883</v>
      </c>
      <c r="C886" s="163"/>
      <c r="D886" s="151"/>
      <c r="E886" s="151" t="s">
        <v>367</v>
      </c>
      <c r="F886" s="151" t="s">
        <v>367</v>
      </c>
      <c r="G886" s="151"/>
      <c r="H886" s="151"/>
      <c r="I886" s="151"/>
      <c r="J886" s="151">
        <v>1899</v>
      </c>
      <c r="K886" s="151">
        <v>12</v>
      </c>
    </row>
    <row r="887" spans="1:11" ht="13.5" customHeight="1" x14ac:dyDescent="0.15">
      <c r="A887" s="141"/>
      <c r="B887" s="148">
        <v>884</v>
      </c>
      <c r="C887" s="164"/>
      <c r="D887" s="152"/>
      <c r="E887" s="152" t="s">
        <v>367</v>
      </c>
      <c r="F887" s="152" t="s">
        <v>367</v>
      </c>
      <c r="G887" s="152"/>
      <c r="H887" s="152"/>
      <c r="I887" s="152"/>
      <c r="J887" s="152">
        <v>1899</v>
      </c>
      <c r="K887" s="152">
        <v>12</v>
      </c>
    </row>
    <row r="888" spans="1:11" ht="13.5" customHeight="1" x14ac:dyDescent="0.15">
      <c r="A888" s="141"/>
      <c r="B888" s="148">
        <v>885</v>
      </c>
      <c r="C888" s="163"/>
      <c r="D888" s="151"/>
      <c r="E888" s="151" t="s">
        <v>367</v>
      </c>
      <c r="F888" s="151" t="s">
        <v>367</v>
      </c>
      <c r="G888" s="151"/>
      <c r="H888" s="151"/>
      <c r="I888" s="151"/>
      <c r="J888" s="151">
        <v>1899</v>
      </c>
      <c r="K888" s="151">
        <v>12</v>
      </c>
    </row>
    <row r="889" spans="1:11" ht="13.5" customHeight="1" x14ac:dyDescent="0.15">
      <c r="A889" s="141"/>
      <c r="B889" s="148">
        <v>886</v>
      </c>
      <c r="C889" s="164"/>
      <c r="D889" s="152"/>
      <c r="E889" s="152" t="s">
        <v>367</v>
      </c>
      <c r="F889" s="152" t="s">
        <v>367</v>
      </c>
      <c r="G889" s="152"/>
      <c r="H889" s="152"/>
      <c r="I889" s="152"/>
      <c r="J889" s="152">
        <v>1899</v>
      </c>
      <c r="K889" s="152">
        <v>12</v>
      </c>
    </row>
    <row r="890" spans="1:11" ht="13.5" customHeight="1" x14ac:dyDescent="0.15">
      <c r="A890" s="141"/>
      <c r="B890" s="148">
        <v>887</v>
      </c>
      <c r="C890" s="163"/>
      <c r="D890" s="151"/>
      <c r="E890" s="151" t="s">
        <v>367</v>
      </c>
      <c r="F890" s="151" t="s">
        <v>367</v>
      </c>
      <c r="G890" s="151"/>
      <c r="H890" s="151"/>
      <c r="I890" s="151"/>
      <c r="J890" s="151">
        <v>1899</v>
      </c>
      <c r="K890" s="151">
        <v>12</v>
      </c>
    </row>
    <row r="891" spans="1:11" ht="13.5" customHeight="1" x14ac:dyDescent="0.15">
      <c r="A891" s="141"/>
      <c r="B891" s="148">
        <v>888</v>
      </c>
      <c r="C891" s="164"/>
      <c r="D891" s="152"/>
      <c r="E891" s="152" t="s">
        <v>367</v>
      </c>
      <c r="F891" s="152" t="s">
        <v>367</v>
      </c>
      <c r="G891" s="152"/>
      <c r="H891" s="152"/>
      <c r="I891" s="152"/>
      <c r="J891" s="152">
        <v>1899</v>
      </c>
      <c r="K891" s="152">
        <v>12</v>
      </c>
    </row>
    <row r="892" spans="1:11" ht="13.5" customHeight="1" x14ac:dyDescent="0.15">
      <c r="A892" s="141"/>
      <c r="B892" s="165">
        <v>889</v>
      </c>
      <c r="C892" s="166"/>
      <c r="D892" s="153"/>
      <c r="E892" s="153" t="s">
        <v>367</v>
      </c>
      <c r="F892" s="153" t="s">
        <v>367</v>
      </c>
      <c r="G892" s="153"/>
      <c r="H892" s="153"/>
      <c r="I892" s="153"/>
      <c r="J892" s="153">
        <v>1899</v>
      </c>
      <c r="K892" s="153">
        <v>12</v>
      </c>
    </row>
    <row r="893" spans="1:11" ht="13.5" customHeight="1" x14ac:dyDescent="0.15">
      <c r="A893" s="141"/>
      <c r="B893" s="165">
        <v>890</v>
      </c>
      <c r="C893" s="166"/>
      <c r="D893" s="153"/>
      <c r="E893" s="153" t="s">
        <v>367</v>
      </c>
      <c r="F893" s="153" t="s">
        <v>367</v>
      </c>
      <c r="G893" s="153"/>
      <c r="H893" s="153"/>
      <c r="I893" s="153"/>
      <c r="J893" s="153">
        <v>1899</v>
      </c>
      <c r="K893" s="153">
        <v>12</v>
      </c>
    </row>
    <row r="894" spans="1:11" ht="13.5" customHeight="1" x14ac:dyDescent="0.15">
      <c r="A894" s="141"/>
      <c r="B894" s="165">
        <v>891</v>
      </c>
      <c r="C894" s="166"/>
      <c r="D894" s="153"/>
      <c r="E894" s="153" t="s">
        <v>367</v>
      </c>
      <c r="F894" s="153" t="s">
        <v>367</v>
      </c>
      <c r="G894" s="153"/>
      <c r="H894" s="153"/>
      <c r="I894" s="153"/>
      <c r="J894" s="153">
        <v>1899</v>
      </c>
      <c r="K894" s="153">
        <v>12</v>
      </c>
    </row>
    <row r="895" spans="1:11" ht="13.5" customHeight="1" x14ac:dyDescent="0.15">
      <c r="A895" s="141"/>
      <c r="B895" s="165">
        <v>892</v>
      </c>
      <c r="C895" s="166"/>
      <c r="D895" s="153"/>
      <c r="E895" s="153" t="s">
        <v>367</v>
      </c>
      <c r="F895" s="153" t="s">
        <v>367</v>
      </c>
      <c r="G895" s="153"/>
      <c r="H895" s="153"/>
      <c r="I895" s="153"/>
      <c r="J895" s="153">
        <v>1899</v>
      </c>
      <c r="K895" s="153">
        <v>12</v>
      </c>
    </row>
    <row r="896" spans="1:11" ht="13.5" customHeight="1" x14ac:dyDescent="0.15">
      <c r="A896" s="141"/>
      <c r="B896" s="165">
        <v>893</v>
      </c>
      <c r="C896" s="166"/>
      <c r="D896" s="153"/>
      <c r="E896" s="153" t="s">
        <v>367</v>
      </c>
      <c r="F896" s="153" t="s">
        <v>367</v>
      </c>
      <c r="G896" s="153"/>
      <c r="H896" s="153"/>
      <c r="I896" s="153"/>
      <c r="J896" s="153">
        <v>1899</v>
      </c>
      <c r="K896" s="153">
        <v>12</v>
      </c>
    </row>
    <row r="897" spans="1:11" ht="13.5" customHeight="1" x14ac:dyDescent="0.15">
      <c r="A897" s="141"/>
      <c r="B897" s="165">
        <v>894</v>
      </c>
      <c r="C897" s="166"/>
      <c r="D897" s="153"/>
      <c r="E897" s="153" t="s">
        <v>367</v>
      </c>
      <c r="F897" s="153" t="s">
        <v>367</v>
      </c>
      <c r="G897" s="153"/>
      <c r="H897" s="153"/>
      <c r="I897" s="153"/>
      <c r="J897" s="153">
        <v>1899</v>
      </c>
      <c r="K897" s="153">
        <v>12</v>
      </c>
    </row>
    <row r="898" spans="1:11" ht="13.5" customHeight="1" x14ac:dyDescent="0.15">
      <c r="A898" s="141"/>
      <c r="B898" s="165">
        <v>895</v>
      </c>
      <c r="C898" s="166"/>
      <c r="D898" s="153"/>
      <c r="E898" s="153" t="s">
        <v>367</v>
      </c>
      <c r="F898" s="153" t="s">
        <v>367</v>
      </c>
      <c r="G898" s="153"/>
      <c r="H898" s="153"/>
      <c r="I898" s="153"/>
      <c r="J898" s="153">
        <v>1899</v>
      </c>
      <c r="K898" s="153">
        <v>12</v>
      </c>
    </row>
    <row r="899" spans="1:11" ht="13.5" customHeight="1" x14ac:dyDescent="0.15">
      <c r="A899" s="141"/>
      <c r="B899" s="165">
        <v>896</v>
      </c>
      <c r="C899" s="166"/>
      <c r="D899" s="153"/>
      <c r="E899" s="153" t="s">
        <v>367</v>
      </c>
      <c r="F899" s="153" t="s">
        <v>367</v>
      </c>
      <c r="G899" s="153"/>
      <c r="H899" s="153"/>
      <c r="I899" s="153"/>
      <c r="J899" s="153">
        <v>1899</v>
      </c>
      <c r="K899" s="153">
        <v>12</v>
      </c>
    </row>
    <row r="900" spans="1:11" ht="13.5" customHeight="1" x14ac:dyDescent="0.15">
      <c r="A900" s="141"/>
      <c r="B900" s="165">
        <v>897</v>
      </c>
      <c r="C900" s="166"/>
      <c r="D900" s="153"/>
      <c r="E900" s="153" t="s">
        <v>367</v>
      </c>
      <c r="F900" s="153" t="s">
        <v>367</v>
      </c>
      <c r="G900" s="153"/>
      <c r="H900" s="153"/>
      <c r="I900" s="153"/>
      <c r="J900" s="153">
        <v>1899</v>
      </c>
      <c r="K900" s="153">
        <v>12</v>
      </c>
    </row>
    <row r="901" spans="1:11" ht="13.5" customHeight="1" x14ac:dyDescent="0.15">
      <c r="A901" s="141"/>
      <c r="B901" s="165">
        <v>898</v>
      </c>
      <c r="C901" s="166"/>
      <c r="D901" s="153"/>
      <c r="E901" s="153" t="s">
        <v>367</v>
      </c>
      <c r="F901" s="153" t="s">
        <v>367</v>
      </c>
      <c r="G901" s="153"/>
      <c r="H901" s="153"/>
      <c r="I901" s="153"/>
      <c r="J901" s="153">
        <v>1899</v>
      </c>
      <c r="K901" s="153">
        <v>12</v>
      </c>
    </row>
    <row r="902" spans="1:11" ht="13.5" customHeight="1" x14ac:dyDescent="0.15">
      <c r="A902" s="141"/>
      <c r="B902" s="165">
        <v>899</v>
      </c>
      <c r="C902" s="166"/>
      <c r="D902" s="153"/>
      <c r="E902" s="153" t="s">
        <v>367</v>
      </c>
      <c r="F902" s="153" t="s">
        <v>367</v>
      </c>
      <c r="G902" s="153"/>
      <c r="H902" s="153"/>
      <c r="I902" s="153"/>
      <c r="J902" s="153">
        <v>1899</v>
      </c>
      <c r="K902" s="153">
        <v>12</v>
      </c>
    </row>
    <row r="903" spans="1:11" ht="13.5" customHeight="1" x14ac:dyDescent="0.15">
      <c r="A903" s="141"/>
      <c r="B903" s="165">
        <v>900</v>
      </c>
      <c r="C903" s="166"/>
      <c r="D903" s="153"/>
      <c r="E903" s="153" t="s">
        <v>367</v>
      </c>
      <c r="F903" s="153" t="s">
        <v>367</v>
      </c>
      <c r="G903" s="153"/>
      <c r="H903" s="153"/>
      <c r="I903" s="153"/>
      <c r="J903" s="153">
        <v>1899</v>
      </c>
      <c r="K903" s="153">
        <v>12</v>
      </c>
    </row>
    <row r="904" spans="1:11" ht="13.5" customHeight="1" x14ac:dyDescent="0.15">
      <c r="A904" s="141"/>
      <c r="B904" s="165">
        <v>901</v>
      </c>
      <c r="C904" s="166"/>
      <c r="D904" s="153"/>
      <c r="E904" s="153" t="s">
        <v>367</v>
      </c>
      <c r="F904" s="153" t="s">
        <v>367</v>
      </c>
      <c r="G904" s="153"/>
      <c r="H904" s="153"/>
      <c r="I904" s="153"/>
      <c r="J904" s="153">
        <v>1899</v>
      </c>
      <c r="K904" s="153">
        <v>12</v>
      </c>
    </row>
    <row r="905" spans="1:11" ht="13.5" customHeight="1" x14ac:dyDescent="0.15">
      <c r="A905" s="141"/>
      <c r="B905" s="165">
        <v>902</v>
      </c>
      <c r="C905" s="166"/>
      <c r="D905" s="153"/>
      <c r="E905" s="153" t="s">
        <v>367</v>
      </c>
      <c r="F905" s="153" t="s">
        <v>367</v>
      </c>
      <c r="G905" s="153"/>
      <c r="H905" s="153"/>
      <c r="I905" s="153"/>
      <c r="J905" s="153">
        <v>1899</v>
      </c>
      <c r="K905" s="153">
        <v>12</v>
      </c>
    </row>
    <row r="906" spans="1:11" ht="13.5" customHeight="1" x14ac:dyDescent="0.15">
      <c r="A906" s="141"/>
      <c r="B906" s="165">
        <v>903</v>
      </c>
      <c r="C906" s="166"/>
      <c r="D906" s="153"/>
      <c r="E906" s="153" t="s">
        <v>367</v>
      </c>
      <c r="F906" s="153" t="s">
        <v>367</v>
      </c>
      <c r="G906" s="153"/>
      <c r="H906" s="153"/>
      <c r="I906" s="153"/>
      <c r="J906" s="153">
        <v>1899</v>
      </c>
      <c r="K906" s="153">
        <v>12</v>
      </c>
    </row>
    <row r="907" spans="1:11" ht="13.5" customHeight="1" x14ac:dyDescent="0.15">
      <c r="A907" s="141"/>
      <c r="B907" s="165">
        <v>904</v>
      </c>
      <c r="C907" s="166"/>
      <c r="D907" s="153"/>
      <c r="E907" s="153" t="s">
        <v>367</v>
      </c>
      <c r="F907" s="153" t="s">
        <v>367</v>
      </c>
      <c r="G907" s="153"/>
      <c r="H907" s="153"/>
      <c r="I907" s="153"/>
      <c r="J907" s="153">
        <v>1899</v>
      </c>
      <c r="K907" s="153">
        <v>12</v>
      </c>
    </row>
    <row r="908" spans="1:11" ht="13.5" customHeight="1" x14ac:dyDescent="0.15">
      <c r="A908" s="141"/>
      <c r="B908" s="165">
        <v>905</v>
      </c>
      <c r="C908" s="166"/>
      <c r="D908" s="153"/>
      <c r="E908" s="153" t="s">
        <v>367</v>
      </c>
      <c r="F908" s="153" t="s">
        <v>367</v>
      </c>
      <c r="G908" s="153"/>
      <c r="H908" s="153"/>
      <c r="I908" s="153"/>
      <c r="J908" s="153">
        <v>1899</v>
      </c>
      <c r="K908" s="153">
        <v>12</v>
      </c>
    </row>
    <row r="909" spans="1:11" ht="13.5" customHeight="1" x14ac:dyDescent="0.15">
      <c r="A909" s="141"/>
      <c r="B909" s="165">
        <v>906</v>
      </c>
      <c r="C909" s="166"/>
      <c r="D909" s="153"/>
      <c r="E909" s="153" t="s">
        <v>367</v>
      </c>
      <c r="F909" s="153" t="s">
        <v>367</v>
      </c>
      <c r="G909" s="153"/>
      <c r="H909" s="153"/>
      <c r="I909" s="153"/>
      <c r="J909" s="153">
        <v>1899</v>
      </c>
      <c r="K909" s="153">
        <v>12</v>
      </c>
    </row>
    <row r="910" spans="1:11" ht="13.5" customHeight="1" x14ac:dyDescent="0.15">
      <c r="A910" s="141"/>
      <c r="B910" s="165">
        <v>907</v>
      </c>
      <c r="C910" s="166"/>
      <c r="D910" s="153"/>
      <c r="E910" s="153" t="s">
        <v>367</v>
      </c>
      <c r="F910" s="153" t="s">
        <v>367</v>
      </c>
      <c r="G910" s="153"/>
      <c r="H910" s="153"/>
      <c r="I910" s="153"/>
      <c r="J910" s="153">
        <v>1899</v>
      </c>
      <c r="K910" s="153">
        <v>12</v>
      </c>
    </row>
    <row r="911" spans="1:11" ht="13.5" customHeight="1" x14ac:dyDescent="0.15">
      <c r="A911" s="141"/>
      <c r="B911" s="165">
        <v>908</v>
      </c>
      <c r="C911" s="166"/>
      <c r="D911" s="153"/>
      <c r="E911" s="153" t="s">
        <v>367</v>
      </c>
      <c r="F911" s="153" t="s">
        <v>367</v>
      </c>
      <c r="G911" s="153"/>
      <c r="H911" s="153"/>
      <c r="I911" s="153"/>
      <c r="J911" s="153">
        <v>1899</v>
      </c>
      <c r="K911" s="153">
        <v>12</v>
      </c>
    </row>
    <row r="912" spans="1:11" ht="13.5" customHeight="1" x14ac:dyDescent="0.15">
      <c r="A912" s="141"/>
      <c r="B912" s="165">
        <v>909</v>
      </c>
      <c r="C912" s="166"/>
      <c r="D912" s="153"/>
      <c r="E912" s="153" t="s">
        <v>367</v>
      </c>
      <c r="F912" s="153" t="s">
        <v>367</v>
      </c>
      <c r="G912" s="153"/>
      <c r="H912" s="153"/>
      <c r="I912" s="153"/>
      <c r="J912" s="153">
        <v>1899</v>
      </c>
      <c r="K912" s="153">
        <v>12</v>
      </c>
    </row>
    <row r="913" spans="1:11" ht="13.5" customHeight="1" x14ac:dyDescent="0.15">
      <c r="A913" s="141"/>
      <c r="B913" s="165">
        <v>910</v>
      </c>
      <c r="C913" s="166"/>
      <c r="D913" s="153"/>
      <c r="E913" s="153" t="s">
        <v>367</v>
      </c>
      <c r="F913" s="153" t="s">
        <v>367</v>
      </c>
      <c r="G913" s="153"/>
      <c r="H913" s="153"/>
      <c r="I913" s="153"/>
      <c r="J913" s="153">
        <v>1899</v>
      </c>
      <c r="K913" s="153">
        <v>12</v>
      </c>
    </row>
    <row r="914" spans="1:11" ht="13.5" customHeight="1" x14ac:dyDescent="0.15">
      <c r="A914" s="141"/>
      <c r="B914" s="165">
        <v>911</v>
      </c>
      <c r="C914" s="166"/>
      <c r="D914" s="153"/>
      <c r="E914" s="153" t="s">
        <v>367</v>
      </c>
      <c r="F914" s="153" t="s">
        <v>367</v>
      </c>
      <c r="G914" s="153"/>
      <c r="H914" s="153"/>
      <c r="I914" s="153"/>
      <c r="J914" s="153">
        <v>1899</v>
      </c>
      <c r="K914" s="153">
        <v>12</v>
      </c>
    </row>
    <row r="915" spans="1:11" ht="13.5" customHeight="1" x14ac:dyDescent="0.15">
      <c r="A915" s="141"/>
      <c r="B915" s="165">
        <v>912</v>
      </c>
      <c r="C915" s="166"/>
      <c r="D915" s="153"/>
      <c r="E915" s="153" t="s">
        <v>367</v>
      </c>
      <c r="F915" s="153" t="s">
        <v>367</v>
      </c>
      <c r="G915" s="153"/>
      <c r="H915" s="153"/>
      <c r="I915" s="153"/>
      <c r="J915" s="153">
        <v>1899</v>
      </c>
      <c r="K915" s="153">
        <v>12</v>
      </c>
    </row>
    <row r="916" spans="1:11" ht="13.5" customHeight="1" x14ac:dyDescent="0.15">
      <c r="A916" s="141"/>
      <c r="B916" s="165">
        <v>913</v>
      </c>
      <c r="C916" s="166"/>
      <c r="D916" s="153"/>
      <c r="E916" s="153" t="s">
        <v>367</v>
      </c>
      <c r="F916" s="153" t="s">
        <v>367</v>
      </c>
      <c r="G916" s="153"/>
      <c r="H916" s="153"/>
      <c r="I916" s="153"/>
      <c r="J916" s="153">
        <v>1899</v>
      </c>
      <c r="K916" s="153">
        <v>12</v>
      </c>
    </row>
    <row r="917" spans="1:11" ht="13.5" customHeight="1" x14ac:dyDescent="0.15">
      <c r="A917" s="141"/>
      <c r="B917" s="165">
        <v>914</v>
      </c>
      <c r="C917" s="166"/>
      <c r="D917" s="153"/>
      <c r="E917" s="153" t="s">
        <v>367</v>
      </c>
      <c r="F917" s="153" t="s">
        <v>367</v>
      </c>
      <c r="G917" s="153"/>
      <c r="H917" s="153"/>
      <c r="I917" s="153"/>
      <c r="J917" s="153">
        <v>1899</v>
      </c>
      <c r="K917" s="153">
        <v>12</v>
      </c>
    </row>
    <row r="918" spans="1:11" ht="13.5" customHeight="1" x14ac:dyDescent="0.15">
      <c r="A918" s="141"/>
      <c r="B918" s="165">
        <v>915</v>
      </c>
      <c r="C918" s="166"/>
      <c r="D918" s="153"/>
      <c r="E918" s="153" t="s">
        <v>367</v>
      </c>
      <c r="F918" s="153" t="s">
        <v>367</v>
      </c>
      <c r="G918" s="153"/>
      <c r="H918" s="153"/>
      <c r="I918" s="153"/>
      <c r="J918" s="153">
        <v>1899</v>
      </c>
      <c r="K918" s="153">
        <v>12</v>
      </c>
    </row>
    <row r="919" spans="1:11" ht="13.5" customHeight="1" x14ac:dyDescent="0.15">
      <c r="A919" s="141"/>
      <c r="B919" s="165">
        <v>916</v>
      </c>
      <c r="C919" s="166"/>
      <c r="D919" s="153"/>
      <c r="E919" s="153" t="s">
        <v>367</v>
      </c>
      <c r="F919" s="153" t="s">
        <v>367</v>
      </c>
      <c r="G919" s="153"/>
      <c r="H919" s="153"/>
      <c r="I919" s="153"/>
      <c r="J919" s="153">
        <v>1899</v>
      </c>
      <c r="K919" s="153">
        <v>12</v>
      </c>
    </row>
    <row r="920" spans="1:11" ht="13.5" customHeight="1" x14ac:dyDescent="0.15">
      <c r="A920" s="141"/>
      <c r="B920" s="165">
        <v>917</v>
      </c>
      <c r="C920" s="166"/>
      <c r="D920" s="153"/>
      <c r="E920" s="153" t="s">
        <v>367</v>
      </c>
      <c r="F920" s="153" t="s">
        <v>367</v>
      </c>
      <c r="G920" s="153"/>
      <c r="H920" s="153"/>
      <c r="I920" s="153"/>
      <c r="J920" s="153">
        <v>1899</v>
      </c>
      <c r="K920" s="153">
        <v>12</v>
      </c>
    </row>
    <row r="921" spans="1:11" ht="13.5" customHeight="1" x14ac:dyDescent="0.15">
      <c r="A921" s="141"/>
      <c r="B921" s="165">
        <v>918</v>
      </c>
      <c r="C921" s="166"/>
      <c r="D921" s="153"/>
      <c r="E921" s="153" t="s">
        <v>367</v>
      </c>
      <c r="F921" s="153" t="s">
        <v>367</v>
      </c>
      <c r="G921" s="153"/>
      <c r="H921" s="153"/>
      <c r="I921" s="153"/>
      <c r="J921" s="153">
        <v>1899</v>
      </c>
      <c r="K921" s="153">
        <v>12</v>
      </c>
    </row>
    <row r="922" spans="1:11" ht="13.5" customHeight="1" x14ac:dyDescent="0.15">
      <c r="A922" s="141"/>
      <c r="B922" s="165">
        <v>919</v>
      </c>
      <c r="C922" s="166"/>
      <c r="D922" s="153"/>
      <c r="E922" s="153" t="s">
        <v>367</v>
      </c>
      <c r="F922" s="153" t="s">
        <v>367</v>
      </c>
      <c r="G922" s="153"/>
      <c r="H922" s="153"/>
      <c r="I922" s="153"/>
      <c r="J922" s="153">
        <v>1899</v>
      </c>
      <c r="K922" s="153">
        <v>12</v>
      </c>
    </row>
    <row r="923" spans="1:11" ht="13.5" customHeight="1" x14ac:dyDescent="0.15">
      <c r="A923" s="141"/>
      <c r="B923" s="165">
        <v>920</v>
      </c>
      <c r="C923" s="166"/>
      <c r="D923" s="153"/>
      <c r="E923" s="153" t="s">
        <v>367</v>
      </c>
      <c r="F923" s="153" t="s">
        <v>367</v>
      </c>
      <c r="G923" s="153"/>
      <c r="H923" s="153"/>
      <c r="I923" s="153"/>
      <c r="J923" s="153">
        <v>1899</v>
      </c>
      <c r="K923" s="153">
        <v>12</v>
      </c>
    </row>
    <row r="924" spans="1:11" ht="13.5" customHeight="1" x14ac:dyDescent="0.15">
      <c r="A924" s="141"/>
      <c r="B924" s="165">
        <v>921</v>
      </c>
      <c r="C924" s="166"/>
      <c r="D924" s="153"/>
      <c r="E924" s="153" t="s">
        <v>367</v>
      </c>
      <c r="F924" s="153" t="s">
        <v>367</v>
      </c>
      <c r="G924" s="153"/>
      <c r="H924" s="153"/>
      <c r="I924" s="153"/>
      <c r="J924" s="153">
        <v>1899</v>
      </c>
      <c r="K924" s="153">
        <v>12</v>
      </c>
    </row>
    <row r="925" spans="1:11" ht="13.5" customHeight="1" x14ac:dyDescent="0.15">
      <c r="A925" s="141"/>
      <c r="B925" s="165">
        <v>922</v>
      </c>
      <c r="C925" s="166"/>
      <c r="D925" s="153"/>
      <c r="E925" s="153" t="s">
        <v>367</v>
      </c>
      <c r="F925" s="153" t="s">
        <v>367</v>
      </c>
      <c r="G925" s="153"/>
      <c r="H925" s="153"/>
      <c r="I925" s="153"/>
      <c r="J925" s="153">
        <v>1899</v>
      </c>
      <c r="K925" s="153">
        <v>12</v>
      </c>
    </row>
    <row r="926" spans="1:11" ht="13.5" customHeight="1" x14ac:dyDescent="0.15">
      <c r="A926" s="141"/>
      <c r="B926" s="165">
        <v>923</v>
      </c>
      <c r="C926" s="166"/>
      <c r="D926" s="153"/>
      <c r="E926" s="153" t="s">
        <v>367</v>
      </c>
      <c r="F926" s="153" t="s">
        <v>367</v>
      </c>
      <c r="G926" s="153"/>
      <c r="H926" s="153"/>
      <c r="I926" s="153"/>
      <c r="J926" s="153">
        <v>1899</v>
      </c>
      <c r="K926" s="153">
        <v>12</v>
      </c>
    </row>
    <row r="927" spans="1:11" ht="13.5" customHeight="1" x14ac:dyDescent="0.15">
      <c r="A927" s="141"/>
      <c r="B927" s="165">
        <v>924</v>
      </c>
      <c r="C927" s="166"/>
      <c r="D927" s="153"/>
      <c r="E927" s="153" t="s">
        <v>367</v>
      </c>
      <c r="F927" s="153" t="s">
        <v>367</v>
      </c>
      <c r="G927" s="153"/>
      <c r="H927" s="153"/>
      <c r="I927" s="153"/>
      <c r="J927" s="153">
        <v>1899</v>
      </c>
      <c r="K927" s="153">
        <v>12</v>
      </c>
    </row>
    <row r="928" spans="1:11" ht="13.5" customHeight="1" x14ac:dyDescent="0.15">
      <c r="A928" s="141"/>
      <c r="B928" s="165">
        <v>925</v>
      </c>
      <c r="C928" s="166"/>
      <c r="D928" s="153"/>
      <c r="E928" s="153" t="s">
        <v>367</v>
      </c>
      <c r="F928" s="153" t="s">
        <v>367</v>
      </c>
      <c r="G928" s="153"/>
      <c r="H928" s="153"/>
      <c r="I928" s="153"/>
      <c r="J928" s="153">
        <v>1899</v>
      </c>
      <c r="K928" s="153">
        <v>12</v>
      </c>
    </row>
    <row r="929" spans="1:11" ht="13.5" customHeight="1" x14ac:dyDescent="0.15">
      <c r="A929" s="141"/>
      <c r="B929" s="165">
        <v>926</v>
      </c>
      <c r="C929" s="166"/>
      <c r="D929" s="153"/>
      <c r="E929" s="153" t="s">
        <v>367</v>
      </c>
      <c r="F929" s="153" t="s">
        <v>367</v>
      </c>
      <c r="G929" s="153"/>
      <c r="H929" s="153"/>
      <c r="I929" s="153"/>
      <c r="J929" s="153">
        <v>1899</v>
      </c>
      <c r="K929" s="153">
        <v>12</v>
      </c>
    </row>
    <row r="930" spans="1:11" ht="13.5" customHeight="1" x14ac:dyDescent="0.15">
      <c r="A930" s="141"/>
      <c r="B930" s="165">
        <v>927</v>
      </c>
      <c r="C930" s="166"/>
      <c r="D930" s="153"/>
      <c r="E930" s="153" t="s">
        <v>367</v>
      </c>
      <c r="F930" s="153" t="s">
        <v>367</v>
      </c>
      <c r="G930" s="153"/>
      <c r="H930" s="153"/>
      <c r="I930" s="153"/>
      <c r="J930" s="153">
        <v>1899</v>
      </c>
      <c r="K930" s="153">
        <v>12</v>
      </c>
    </row>
    <row r="931" spans="1:11" ht="13.5" customHeight="1" x14ac:dyDescent="0.15">
      <c r="A931" s="141"/>
      <c r="B931" s="165">
        <v>928</v>
      </c>
      <c r="C931" s="166"/>
      <c r="D931" s="153"/>
      <c r="E931" s="153" t="s">
        <v>367</v>
      </c>
      <c r="F931" s="153" t="s">
        <v>367</v>
      </c>
      <c r="G931" s="153"/>
      <c r="H931" s="153"/>
      <c r="I931" s="153"/>
      <c r="J931" s="153">
        <v>1899</v>
      </c>
      <c r="K931" s="153">
        <v>12</v>
      </c>
    </row>
    <row r="932" spans="1:11" ht="13.5" customHeight="1" x14ac:dyDescent="0.15">
      <c r="A932" s="141"/>
      <c r="B932" s="165">
        <v>929</v>
      </c>
      <c r="C932" s="166"/>
      <c r="D932" s="153"/>
      <c r="E932" s="153" t="s">
        <v>367</v>
      </c>
      <c r="F932" s="153" t="s">
        <v>367</v>
      </c>
      <c r="G932" s="153"/>
      <c r="H932" s="153"/>
      <c r="I932" s="153"/>
      <c r="J932" s="153">
        <v>1899</v>
      </c>
      <c r="K932" s="153">
        <v>12</v>
      </c>
    </row>
    <row r="933" spans="1:11" ht="13.5" customHeight="1" x14ac:dyDescent="0.15">
      <c r="A933" s="141"/>
      <c r="B933" s="165">
        <v>930</v>
      </c>
      <c r="C933" s="166"/>
      <c r="D933" s="153"/>
      <c r="E933" s="153" t="s">
        <v>367</v>
      </c>
      <c r="F933" s="153" t="s">
        <v>367</v>
      </c>
      <c r="G933" s="153"/>
      <c r="H933" s="153"/>
      <c r="I933" s="153"/>
      <c r="J933" s="153">
        <v>1899</v>
      </c>
      <c r="K933" s="153">
        <v>12</v>
      </c>
    </row>
    <row r="934" spans="1:11" ht="13.5" customHeight="1" x14ac:dyDescent="0.15">
      <c r="A934" s="141"/>
      <c r="B934" s="165">
        <v>931</v>
      </c>
      <c r="C934" s="166"/>
      <c r="D934" s="153"/>
      <c r="E934" s="153" t="s">
        <v>367</v>
      </c>
      <c r="F934" s="153" t="s">
        <v>367</v>
      </c>
      <c r="G934" s="153"/>
      <c r="H934" s="153"/>
      <c r="I934" s="153"/>
      <c r="J934" s="153">
        <v>1899</v>
      </c>
      <c r="K934" s="153">
        <v>12</v>
      </c>
    </row>
    <row r="935" spans="1:11" ht="13.5" customHeight="1" x14ac:dyDescent="0.15">
      <c r="A935" s="141"/>
      <c r="B935" s="165">
        <v>932</v>
      </c>
      <c r="C935" s="166"/>
      <c r="D935" s="153"/>
      <c r="E935" s="153" t="s">
        <v>367</v>
      </c>
      <c r="F935" s="153" t="s">
        <v>367</v>
      </c>
      <c r="G935" s="153"/>
      <c r="H935" s="153"/>
      <c r="I935" s="153"/>
      <c r="J935" s="153">
        <v>1899</v>
      </c>
      <c r="K935" s="153">
        <v>12</v>
      </c>
    </row>
    <row r="936" spans="1:11" ht="13.5" customHeight="1" x14ac:dyDescent="0.15">
      <c r="A936" s="141"/>
      <c r="B936" s="165">
        <v>933</v>
      </c>
      <c r="C936" s="166"/>
      <c r="D936" s="153"/>
      <c r="E936" s="153" t="s">
        <v>367</v>
      </c>
      <c r="F936" s="153" t="s">
        <v>367</v>
      </c>
      <c r="G936" s="153"/>
      <c r="H936" s="153"/>
      <c r="I936" s="153"/>
      <c r="J936" s="153">
        <v>1899</v>
      </c>
      <c r="K936" s="153">
        <v>12</v>
      </c>
    </row>
    <row r="937" spans="1:11" ht="13.5" customHeight="1" x14ac:dyDescent="0.15">
      <c r="A937" s="141"/>
      <c r="B937" s="165">
        <v>934</v>
      </c>
      <c r="C937" s="166"/>
      <c r="D937" s="153"/>
      <c r="E937" s="153" t="s">
        <v>367</v>
      </c>
      <c r="F937" s="153" t="s">
        <v>367</v>
      </c>
      <c r="G937" s="153"/>
      <c r="H937" s="153"/>
      <c r="I937" s="153"/>
      <c r="J937" s="153">
        <v>1899</v>
      </c>
      <c r="K937" s="153">
        <v>12</v>
      </c>
    </row>
    <row r="938" spans="1:11" ht="13.5" customHeight="1" x14ac:dyDescent="0.15">
      <c r="A938" s="141"/>
      <c r="B938" s="165">
        <v>935</v>
      </c>
      <c r="C938" s="166"/>
      <c r="D938" s="153"/>
      <c r="E938" s="153" t="s">
        <v>367</v>
      </c>
      <c r="F938" s="153" t="s">
        <v>367</v>
      </c>
      <c r="G938" s="153"/>
      <c r="H938" s="153"/>
      <c r="I938" s="153"/>
      <c r="J938" s="153">
        <v>1899</v>
      </c>
      <c r="K938" s="153">
        <v>12</v>
      </c>
    </row>
    <row r="939" spans="1:11" ht="13.5" customHeight="1" x14ac:dyDescent="0.15">
      <c r="A939" s="141"/>
      <c r="B939" s="165">
        <v>936</v>
      </c>
      <c r="C939" s="166"/>
      <c r="D939" s="153"/>
      <c r="E939" s="153" t="s">
        <v>367</v>
      </c>
      <c r="F939" s="153" t="s">
        <v>367</v>
      </c>
      <c r="G939" s="153"/>
      <c r="H939" s="153"/>
      <c r="I939" s="153"/>
      <c r="J939" s="153">
        <v>1899</v>
      </c>
      <c r="K939" s="153">
        <v>12</v>
      </c>
    </row>
    <row r="940" spans="1:11" ht="13.5" customHeight="1" x14ac:dyDescent="0.15">
      <c r="A940" s="141"/>
      <c r="B940" s="165">
        <v>937</v>
      </c>
      <c r="C940" s="166"/>
      <c r="D940" s="153"/>
      <c r="E940" s="153" t="s">
        <v>367</v>
      </c>
      <c r="F940" s="153" t="s">
        <v>367</v>
      </c>
      <c r="G940" s="153"/>
      <c r="H940" s="153"/>
      <c r="I940" s="153"/>
      <c r="J940" s="153">
        <v>1899</v>
      </c>
      <c r="K940" s="153">
        <v>12</v>
      </c>
    </row>
    <row r="941" spans="1:11" ht="13.5" customHeight="1" x14ac:dyDescent="0.15">
      <c r="A941" s="141"/>
      <c r="B941" s="165">
        <v>938</v>
      </c>
      <c r="C941" s="166"/>
      <c r="D941" s="153"/>
      <c r="E941" s="153" t="s">
        <v>367</v>
      </c>
      <c r="F941" s="153" t="s">
        <v>367</v>
      </c>
      <c r="G941" s="153"/>
      <c r="H941" s="153"/>
      <c r="I941" s="153"/>
      <c r="J941" s="153">
        <v>1899</v>
      </c>
      <c r="K941" s="153">
        <v>12</v>
      </c>
    </row>
    <row r="942" spans="1:11" ht="13.5" customHeight="1" x14ac:dyDescent="0.15">
      <c r="A942" s="141"/>
      <c r="B942" s="165">
        <v>939</v>
      </c>
      <c r="C942" s="166"/>
      <c r="D942" s="153"/>
      <c r="E942" s="153" t="s">
        <v>367</v>
      </c>
      <c r="F942" s="153" t="s">
        <v>367</v>
      </c>
      <c r="G942" s="153"/>
      <c r="H942" s="153"/>
      <c r="I942" s="153"/>
      <c r="J942" s="153">
        <v>1899</v>
      </c>
      <c r="K942" s="153">
        <v>12</v>
      </c>
    </row>
    <row r="943" spans="1:11" ht="13.5" customHeight="1" x14ac:dyDescent="0.15">
      <c r="A943" s="141"/>
      <c r="B943" s="165">
        <v>940</v>
      </c>
      <c r="C943" s="166"/>
      <c r="D943" s="153"/>
      <c r="E943" s="153" t="s">
        <v>367</v>
      </c>
      <c r="F943" s="153" t="s">
        <v>367</v>
      </c>
      <c r="G943" s="153"/>
      <c r="H943" s="153"/>
      <c r="I943" s="153"/>
      <c r="J943" s="153">
        <v>1899</v>
      </c>
      <c r="K943" s="153">
        <v>12</v>
      </c>
    </row>
    <row r="944" spans="1:11" ht="13.5" customHeight="1" x14ac:dyDescent="0.15">
      <c r="A944" s="141"/>
      <c r="B944" s="165">
        <v>941</v>
      </c>
      <c r="C944" s="166"/>
      <c r="D944" s="153"/>
      <c r="E944" s="153" t="s">
        <v>367</v>
      </c>
      <c r="F944" s="153" t="s">
        <v>367</v>
      </c>
      <c r="G944" s="153"/>
      <c r="H944" s="153"/>
      <c r="I944" s="153"/>
      <c r="J944" s="153">
        <v>1899</v>
      </c>
      <c r="K944" s="153">
        <v>12</v>
      </c>
    </row>
    <row r="945" spans="1:11" ht="13.5" customHeight="1" x14ac:dyDescent="0.15">
      <c r="A945" s="141"/>
      <c r="B945" s="165">
        <v>942</v>
      </c>
      <c r="C945" s="166"/>
      <c r="D945" s="153"/>
      <c r="E945" s="153" t="s">
        <v>367</v>
      </c>
      <c r="F945" s="153" t="s">
        <v>367</v>
      </c>
      <c r="G945" s="153"/>
      <c r="H945" s="153"/>
      <c r="I945" s="153"/>
      <c r="J945" s="153">
        <v>1899</v>
      </c>
      <c r="K945" s="153">
        <v>12</v>
      </c>
    </row>
    <row r="946" spans="1:11" ht="13.5" customHeight="1" x14ac:dyDescent="0.15">
      <c r="A946" s="141"/>
      <c r="B946" s="165">
        <v>943</v>
      </c>
      <c r="C946" s="166"/>
      <c r="D946" s="153"/>
      <c r="E946" s="153" t="s">
        <v>367</v>
      </c>
      <c r="F946" s="153" t="s">
        <v>367</v>
      </c>
      <c r="G946" s="153"/>
      <c r="H946" s="153"/>
      <c r="I946" s="153"/>
      <c r="J946" s="153">
        <v>1899</v>
      </c>
      <c r="K946" s="153">
        <v>12</v>
      </c>
    </row>
    <row r="947" spans="1:11" ht="13.5" customHeight="1" x14ac:dyDescent="0.15">
      <c r="A947" s="141"/>
      <c r="B947" s="165">
        <v>944</v>
      </c>
      <c r="C947" s="166"/>
      <c r="D947" s="153"/>
      <c r="E947" s="153" t="s">
        <v>367</v>
      </c>
      <c r="F947" s="153" t="s">
        <v>367</v>
      </c>
      <c r="G947" s="153"/>
      <c r="H947" s="153"/>
      <c r="I947" s="153"/>
      <c r="J947" s="153">
        <v>1899</v>
      </c>
      <c r="K947" s="153">
        <v>12</v>
      </c>
    </row>
    <row r="948" spans="1:11" ht="13.5" customHeight="1" x14ac:dyDescent="0.15">
      <c r="A948" s="141"/>
      <c r="B948" s="165">
        <v>945</v>
      </c>
      <c r="C948" s="166"/>
      <c r="D948" s="153"/>
      <c r="E948" s="153" t="s">
        <v>367</v>
      </c>
      <c r="F948" s="153" t="s">
        <v>367</v>
      </c>
      <c r="G948" s="153"/>
      <c r="H948" s="153"/>
      <c r="I948" s="153"/>
      <c r="J948" s="153">
        <v>1899</v>
      </c>
      <c r="K948" s="153">
        <v>12</v>
      </c>
    </row>
    <row r="949" spans="1:11" ht="13.5" customHeight="1" x14ac:dyDescent="0.15">
      <c r="A949" s="141"/>
      <c r="B949" s="165">
        <v>946</v>
      </c>
      <c r="C949" s="166"/>
      <c r="D949" s="153"/>
      <c r="E949" s="153" t="s">
        <v>367</v>
      </c>
      <c r="F949" s="153" t="s">
        <v>367</v>
      </c>
      <c r="G949" s="153"/>
      <c r="H949" s="153"/>
      <c r="I949" s="153"/>
      <c r="J949" s="153">
        <v>1899</v>
      </c>
      <c r="K949" s="153">
        <v>12</v>
      </c>
    </row>
    <row r="950" spans="1:11" ht="13.5" customHeight="1" x14ac:dyDescent="0.15">
      <c r="A950" s="141"/>
      <c r="B950" s="165">
        <v>947</v>
      </c>
      <c r="C950" s="166"/>
      <c r="D950" s="153"/>
      <c r="E950" s="153" t="s">
        <v>367</v>
      </c>
      <c r="F950" s="153" t="s">
        <v>367</v>
      </c>
      <c r="G950" s="153"/>
      <c r="H950" s="153"/>
      <c r="I950" s="153"/>
      <c r="J950" s="153">
        <v>1899</v>
      </c>
      <c r="K950" s="153">
        <v>12</v>
      </c>
    </row>
    <row r="951" spans="1:11" ht="13.5" customHeight="1" x14ac:dyDescent="0.15">
      <c r="A951" s="141"/>
      <c r="B951" s="165">
        <v>948</v>
      </c>
      <c r="C951" s="166"/>
      <c r="D951" s="153"/>
      <c r="E951" s="153" t="s">
        <v>367</v>
      </c>
      <c r="F951" s="153" t="s">
        <v>367</v>
      </c>
      <c r="G951" s="153"/>
      <c r="H951" s="153"/>
      <c r="I951" s="153"/>
      <c r="J951" s="153">
        <v>1899</v>
      </c>
      <c r="K951" s="153">
        <v>12</v>
      </c>
    </row>
    <row r="952" spans="1:11" ht="13.5" customHeight="1" x14ac:dyDescent="0.15">
      <c r="A952" s="141"/>
      <c r="B952" s="165">
        <v>949</v>
      </c>
      <c r="C952" s="166"/>
      <c r="D952" s="153"/>
      <c r="E952" s="153" t="s">
        <v>367</v>
      </c>
      <c r="F952" s="153" t="s">
        <v>367</v>
      </c>
      <c r="G952" s="153"/>
      <c r="H952" s="153"/>
      <c r="I952" s="153"/>
      <c r="J952" s="153">
        <v>1899</v>
      </c>
      <c r="K952" s="153">
        <v>12</v>
      </c>
    </row>
    <row r="953" spans="1:11" ht="13.5" customHeight="1" x14ac:dyDescent="0.15">
      <c r="A953" s="141"/>
      <c r="B953" s="165">
        <v>950</v>
      </c>
      <c r="C953" s="166"/>
      <c r="D953" s="153"/>
      <c r="E953" s="153" t="s">
        <v>367</v>
      </c>
      <c r="F953" s="153" t="s">
        <v>367</v>
      </c>
      <c r="G953" s="153"/>
      <c r="H953" s="153"/>
      <c r="I953" s="153"/>
      <c r="J953" s="153">
        <v>1899</v>
      </c>
      <c r="K953" s="153">
        <v>12</v>
      </c>
    </row>
    <row r="954" spans="1:11" ht="13.5" customHeight="1" x14ac:dyDescent="0.15">
      <c r="A954" s="141"/>
      <c r="B954" s="165">
        <v>951</v>
      </c>
      <c r="C954" s="166"/>
      <c r="D954" s="153"/>
      <c r="E954" s="153" t="s">
        <v>367</v>
      </c>
      <c r="F954" s="153" t="s">
        <v>367</v>
      </c>
      <c r="G954" s="153"/>
      <c r="H954" s="153"/>
      <c r="I954" s="153"/>
      <c r="J954" s="153">
        <v>1899</v>
      </c>
      <c r="K954" s="153">
        <v>12</v>
      </c>
    </row>
    <row r="955" spans="1:11" ht="13.5" customHeight="1" x14ac:dyDescent="0.15">
      <c r="A955" s="141"/>
      <c r="B955" s="165">
        <v>952</v>
      </c>
      <c r="C955" s="166"/>
      <c r="D955" s="153"/>
      <c r="E955" s="153" t="s">
        <v>367</v>
      </c>
      <c r="F955" s="153" t="s">
        <v>367</v>
      </c>
      <c r="G955" s="153"/>
      <c r="H955" s="153"/>
      <c r="I955" s="153"/>
      <c r="J955" s="153">
        <v>1899</v>
      </c>
      <c r="K955" s="153">
        <v>12</v>
      </c>
    </row>
    <row r="956" spans="1:11" ht="13.5" customHeight="1" x14ac:dyDescent="0.15">
      <c r="A956" s="141"/>
      <c r="B956" s="165">
        <v>953</v>
      </c>
      <c r="C956" s="166"/>
      <c r="D956" s="153"/>
      <c r="E956" s="153" t="s">
        <v>367</v>
      </c>
      <c r="F956" s="153" t="s">
        <v>367</v>
      </c>
      <c r="G956" s="153"/>
      <c r="H956" s="153"/>
      <c r="I956" s="153"/>
      <c r="J956" s="153">
        <v>1899</v>
      </c>
      <c r="K956" s="153">
        <v>12</v>
      </c>
    </row>
    <row r="957" spans="1:11" ht="13.5" customHeight="1" x14ac:dyDescent="0.15">
      <c r="A957" s="141"/>
      <c r="B957" s="165">
        <v>954</v>
      </c>
      <c r="C957" s="166"/>
      <c r="D957" s="153"/>
      <c r="E957" s="153" t="s">
        <v>367</v>
      </c>
      <c r="F957" s="153" t="s">
        <v>367</v>
      </c>
      <c r="G957" s="153"/>
      <c r="H957" s="153"/>
      <c r="I957" s="153"/>
      <c r="J957" s="153">
        <v>1899</v>
      </c>
      <c r="K957" s="153">
        <v>12</v>
      </c>
    </row>
    <row r="958" spans="1:11" ht="13.5" customHeight="1" x14ac:dyDescent="0.15">
      <c r="A958" s="141"/>
      <c r="B958" s="165">
        <v>955</v>
      </c>
      <c r="C958" s="166"/>
      <c r="D958" s="153"/>
      <c r="E958" s="153" t="s">
        <v>367</v>
      </c>
      <c r="F958" s="153" t="s">
        <v>367</v>
      </c>
      <c r="G958" s="153"/>
      <c r="H958" s="153"/>
      <c r="I958" s="153"/>
      <c r="J958" s="153">
        <v>1899</v>
      </c>
      <c r="K958" s="153">
        <v>12</v>
      </c>
    </row>
    <row r="959" spans="1:11" ht="13.5" customHeight="1" x14ac:dyDescent="0.15">
      <c r="A959" s="141"/>
      <c r="B959" s="165">
        <v>956</v>
      </c>
      <c r="C959" s="166"/>
      <c r="D959" s="153"/>
      <c r="E959" s="153" t="s">
        <v>367</v>
      </c>
      <c r="F959" s="153" t="s">
        <v>367</v>
      </c>
      <c r="G959" s="153"/>
      <c r="H959" s="153"/>
      <c r="I959" s="153"/>
      <c r="J959" s="153">
        <v>1899</v>
      </c>
      <c r="K959" s="153">
        <v>12</v>
      </c>
    </row>
    <row r="960" spans="1:11" ht="13.5" customHeight="1" x14ac:dyDescent="0.15">
      <c r="A960" s="141"/>
      <c r="B960" s="165">
        <v>957</v>
      </c>
      <c r="C960" s="166"/>
      <c r="D960" s="153"/>
      <c r="E960" s="153" t="s">
        <v>367</v>
      </c>
      <c r="F960" s="153" t="s">
        <v>367</v>
      </c>
      <c r="G960" s="153"/>
      <c r="H960" s="153"/>
      <c r="I960" s="153"/>
      <c r="J960" s="153">
        <v>1899</v>
      </c>
      <c r="K960" s="153">
        <v>12</v>
      </c>
    </row>
    <row r="961" spans="1:11" ht="13.5" customHeight="1" x14ac:dyDescent="0.15">
      <c r="A961" s="141"/>
      <c r="B961" s="165">
        <v>958</v>
      </c>
      <c r="C961" s="166"/>
      <c r="D961" s="153"/>
      <c r="E961" s="153" t="s">
        <v>367</v>
      </c>
      <c r="F961" s="153" t="s">
        <v>367</v>
      </c>
      <c r="G961" s="153"/>
      <c r="H961" s="153"/>
      <c r="I961" s="153"/>
      <c r="J961" s="153">
        <v>1899</v>
      </c>
      <c r="K961" s="153">
        <v>12</v>
      </c>
    </row>
    <row r="962" spans="1:11" ht="13.5" customHeight="1" x14ac:dyDescent="0.15">
      <c r="A962" s="141"/>
      <c r="B962" s="165">
        <v>959</v>
      </c>
      <c r="C962" s="166"/>
      <c r="D962" s="153"/>
      <c r="E962" s="153" t="s">
        <v>367</v>
      </c>
      <c r="F962" s="153" t="s">
        <v>367</v>
      </c>
      <c r="G962" s="153"/>
      <c r="H962" s="153"/>
      <c r="I962" s="153"/>
      <c r="J962" s="153">
        <v>1899</v>
      </c>
      <c r="K962" s="153">
        <v>12</v>
      </c>
    </row>
    <row r="963" spans="1:11" ht="13.5" customHeight="1" x14ac:dyDescent="0.15">
      <c r="A963" s="141"/>
      <c r="B963" s="165">
        <v>960</v>
      </c>
      <c r="C963" s="166"/>
      <c r="D963" s="153"/>
      <c r="E963" s="153" t="s">
        <v>367</v>
      </c>
      <c r="F963" s="153" t="s">
        <v>367</v>
      </c>
      <c r="G963" s="153"/>
      <c r="H963" s="153"/>
      <c r="I963" s="153"/>
      <c r="J963" s="153">
        <v>1899</v>
      </c>
      <c r="K963" s="153">
        <v>12</v>
      </c>
    </row>
    <row r="964" spans="1:11" ht="13.5" customHeight="1" x14ac:dyDescent="0.15">
      <c r="A964" s="141"/>
      <c r="B964" s="165">
        <v>961</v>
      </c>
      <c r="C964" s="166"/>
      <c r="D964" s="153"/>
      <c r="E964" s="153" t="s">
        <v>367</v>
      </c>
      <c r="F964" s="153" t="s">
        <v>367</v>
      </c>
      <c r="G964" s="153"/>
      <c r="H964" s="153"/>
      <c r="I964" s="153"/>
      <c r="J964" s="153">
        <v>1899</v>
      </c>
      <c r="K964" s="153">
        <v>12</v>
      </c>
    </row>
    <row r="965" spans="1:11" ht="13.5" customHeight="1" x14ac:dyDescent="0.15">
      <c r="A965" s="141"/>
      <c r="B965" s="165">
        <v>962</v>
      </c>
      <c r="C965" s="166"/>
      <c r="D965" s="153"/>
      <c r="E965" s="153" t="s">
        <v>367</v>
      </c>
      <c r="F965" s="153" t="s">
        <v>367</v>
      </c>
      <c r="G965" s="153"/>
      <c r="H965" s="153"/>
      <c r="I965" s="153"/>
      <c r="J965" s="153">
        <v>1899</v>
      </c>
      <c r="K965" s="153">
        <v>12</v>
      </c>
    </row>
    <row r="966" spans="1:11" ht="13.5" customHeight="1" x14ac:dyDescent="0.15">
      <c r="A966" s="141"/>
      <c r="B966" s="165">
        <v>963</v>
      </c>
      <c r="C966" s="166"/>
      <c r="D966" s="153"/>
      <c r="E966" s="153" t="s">
        <v>367</v>
      </c>
      <c r="F966" s="153" t="s">
        <v>367</v>
      </c>
      <c r="G966" s="153"/>
      <c r="H966" s="153"/>
      <c r="I966" s="153"/>
      <c r="J966" s="153">
        <v>1899</v>
      </c>
      <c r="K966" s="153">
        <v>12</v>
      </c>
    </row>
    <row r="967" spans="1:11" ht="13.5" customHeight="1" x14ac:dyDescent="0.15">
      <c r="A967" s="141"/>
      <c r="B967" s="165">
        <v>964</v>
      </c>
      <c r="C967" s="166"/>
      <c r="D967" s="153"/>
      <c r="E967" s="153" t="s">
        <v>367</v>
      </c>
      <c r="F967" s="153" t="s">
        <v>367</v>
      </c>
      <c r="G967" s="153"/>
      <c r="H967" s="153"/>
      <c r="I967" s="153"/>
      <c r="J967" s="153">
        <v>1899</v>
      </c>
      <c r="K967" s="153">
        <v>12</v>
      </c>
    </row>
    <row r="968" spans="1:11" ht="13.5" customHeight="1" x14ac:dyDescent="0.15">
      <c r="A968" s="141"/>
      <c r="B968" s="165">
        <v>965</v>
      </c>
      <c r="C968" s="166"/>
      <c r="D968" s="153"/>
      <c r="E968" s="153" t="s">
        <v>367</v>
      </c>
      <c r="F968" s="153" t="s">
        <v>367</v>
      </c>
      <c r="G968" s="153"/>
      <c r="H968" s="153"/>
      <c r="I968" s="153"/>
      <c r="J968" s="153">
        <v>1899</v>
      </c>
      <c r="K968" s="153">
        <v>12</v>
      </c>
    </row>
    <row r="969" spans="1:11" ht="13.5" customHeight="1" x14ac:dyDescent="0.15">
      <c r="A969" s="141"/>
      <c r="B969" s="165">
        <v>966</v>
      </c>
      <c r="C969" s="166"/>
      <c r="D969" s="153"/>
      <c r="E969" s="153" t="s">
        <v>367</v>
      </c>
      <c r="F969" s="153" t="s">
        <v>367</v>
      </c>
      <c r="G969" s="153"/>
      <c r="H969" s="153"/>
      <c r="I969" s="153"/>
      <c r="J969" s="153">
        <v>1899</v>
      </c>
      <c r="K969" s="153">
        <v>12</v>
      </c>
    </row>
    <row r="970" spans="1:11" ht="13.5" customHeight="1" x14ac:dyDescent="0.15">
      <c r="A970" s="141"/>
      <c r="B970" s="165">
        <v>967</v>
      </c>
      <c r="C970" s="166"/>
      <c r="D970" s="153"/>
      <c r="E970" s="153" t="s">
        <v>367</v>
      </c>
      <c r="F970" s="153" t="s">
        <v>367</v>
      </c>
      <c r="G970" s="153"/>
      <c r="H970" s="153"/>
      <c r="I970" s="153"/>
      <c r="J970" s="153">
        <v>1899</v>
      </c>
      <c r="K970" s="153">
        <v>12</v>
      </c>
    </row>
    <row r="971" spans="1:11" ht="13.5" customHeight="1" x14ac:dyDescent="0.15">
      <c r="A971" s="141"/>
      <c r="B971" s="165">
        <v>968</v>
      </c>
      <c r="C971" s="166"/>
      <c r="D971" s="153"/>
      <c r="E971" s="153" t="s">
        <v>367</v>
      </c>
      <c r="F971" s="153" t="s">
        <v>367</v>
      </c>
      <c r="G971" s="153"/>
      <c r="H971" s="153"/>
      <c r="I971" s="153"/>
      <c r="J971" s="153">
        <v>1899</v>
      </c>
      <c r="K971" s="153">
        <v>12</v>
      </c>
    </row>
    <row r="972" spans="1:11" ht="13.5" customHeight="1" x14ac:dyDescent="0.15">
      <c r="A972" s="141"/>
      <c r="B972" s="165">
        <v>969</v>
      </c>
      <c r="C972" s="166"/>
      <c r="D972" s="153"/>
      <c r="E972" s="153" t="s">
        <v>367</v>
      </c>
      <c r="F972" s="153" t="s">
        <v>367</v>
      </c>
      <c r="G972" s="153"/>
      <c r="H972" s="153"/>
      <c r="I972" s="153"/>
      <c r="J972" s="153">
        <v>1899</v>
      </c>
      <c r="K972" s="153">
        <v>12</v>
      </c>
    </row>
    <row r="973" spans="1:11" ht="13.5" customHeight="1" x14ac:dyDescent="0.15">
      <c r="A973" s="141"/>
      <c r="B973" s="165">
        <v>970</v>
      </c>
      <c r="C973" s="166"/>
      <c r="D973" s="153"/>
      <c r="E973" s="153" t="s">
        <v>367</v>
      </c>
      <c r="F973" s="153" t="s">
        <v>367</v>
      </c>
      <c r="G973" s="153"/>
      <c r="H973" s="153"/>
      <c r="I973" s="153"/>
      <c r="J973" s="153">
        <v>1899</v>
      </c>
      <c r="K973" s="153">
        <v>12</v>
      </c>
    </row>
    <row r="974" spans="1:11" ht="13.5" customHeight="1" x14ac:dyDescent="0.15">
      <c r="A974" s="141"/>
      <c r="B974" s="165">
        <v>971</v>
      </c>
      <c r="C974" s="166"/>
      <c r="D974" s="153"/>
      <c r="E974" s="153" t="s">
        <v>367</v>
      </c>
      <c r="F974" s="153" t="s">
        <v>367</v>
      </c>
      <c r="G974" s="153"/>
      <c r="H974" s="153"/>
      <c r="I974" s="153"/>
      <c r="J974" s="153">
        <v>1899</v>
      </c>
      <c r="K974" s="153">
        <v>12</v>
      </c>
    </row>
    <row r="975" spans="1:11" ht="13.5" customHeight="1" x14ac:dyDescent="0.15">
      <c r="A975" s="141"/>
      <c r="B975" s="165">
        <v>972</v>
      </c>
      <c r="C975" s="166"/>
      <c r="D975" s="153"/>
      <c r="E975" s="153" t="s">
        <v>367</v>
      </c>
      <c r="F975" s="153" t="s">
        <v>367</v>
      </c>
      <c r="G975" s="153"/>
      <c r="H975" s="153"/>
      <c r="I975" s="153"/>
      <c r="J975" s="153">
        <v>1899</v>
      </c>
      <c r="K975" s="153">
        <v>12</v>
      </c>
    </row>
    <row r="976" spans="1:11" ht="13.5" customHeight="1" x14ac:dyDescent="0.15">
      <c r="A976" s="141"/>
      <c r="B976" s="165">
        <v>973</v>
      </c>
      <c r="C976" s="166"/>
      <c r="D976" s="153"/>
      <c r="E976" s="153" t="s">
        <v>367</v>
      </c>
      <c r="F976" s="153" t="s">
        <v>367</v>
      </c>
      <c r="G976" s="153"/>
      <c r="H976" s="153"/>
      <c r="I976" s="153"/>
      <c r="J976" s="153">
        <v>1899</v>
      </c>
      <c r="K976" s="153">
        <v>12</v>
      </c>
    </row>
    <row r="977" spans="1:11" ht="13.5" customHeight="1" x14ac:dyDescent="0.15">
      <c r="A977" s="141"/>
      <c r="B977" s="165">
        <v>974</v>
      </c>
      <c r="C977" s="166"/>
      <c r="D977" s="153"/>
      <c r="E977" s="153" t="s">
        <v>367</v>
      </c>
      <c r="F977" s="153" t="s">
        <v>367</v>
      </c>
      <c r="G977" s="153"/>
      <c r="H977" s="153"/>
      <c r="I977" s="153"/>
      <c r="J977" s="153">
        <v>1899</v>
      </c>
      <c r="K977" s="153">
        <v>12</v>
      </c>
    </row>
    <row r="978" spans="1:11" ht="13.5" customHeight="1" x14ac:dyDescent="0.15">
      <c r="A978" s="141"/>
      <c r="B978" s="165">
        <v>975</v>
      </c>
      <c r="C978" s="166"/>
      <c r="D978" s="153"/>
      <c r="E978" s="153" t="s">
        <v>367</v>
      </c>
      <c r="F978" s="153" t="s">
        <v>367</v>
      </c>
      <c r="G978" s="153"/>
      <c r="H978" s="153"/>
      <c r="I978" s="153"/>
      <c r="J978" s="153">
        <v>1899</v>
      </c>
      <c r="K978" s="153">
        <v>12</v>
      </c>
    </row>
    <row r="979" spans="1:11" ht="13.5" customHeight="1" x14ac:dyDescent="0.15">
      <c r="A979" s="141"/>
      <c r="B979" s="165">
        <v>976</v>
      </c>
      <c r="C979" s="166"/>
      <c r="D979" s="153"/>
      <c r="E979" s="153" t="s">
        <v>367</v>
      </c>
      <c r="F979" s="153" t="s">
        <v>367</v>
      </c>
      <c r="G979" s="153"/>
      <c r="H979" s="153"/>
      <c r="I979" s="153"/>
      <c r="J979" s="153">
        <v>1899</v>
      </c>
      <c r="K979" s="153">
        <v>12</v>
      </c>
    </row>
    <row r="980" spans="1:11" ht="13.5" customHeight="1" x14ac:dyDescent="0.15">
      <c r="A980" s="141"/>
      <c r="B980" s="165">
        <v>977</v>
      </c>
      <c r="C980" s="166"/>
      <c r="D980" s="153"/>
      <c r="E980" s="153" t="s">
        <v>367</v>
      </c>
      <c r="F980" s="153" t="s">
        <v>367</v>
      </c>
      <c r="G980" s="153"/>
      <c r="H980" s="153"/>
      <c r="I980" s="153"/>
      <c r="J980" s="153">
        <v>1899</v>
      </c>
      <c r="K980" s="153">
        <v>12</v>
      </c>
    </row>
    <row r="981" spans="1:11" ht="13.5" customHeight="1" x14ac:dyDescent="0.15">
      <c r="A981" s="141"/>
      <c r="B981" s="165">
        <v>978</v>
      </c>
      <c r="C981" s="166"/>
      <c r="D981" s="153"/>
      <c r="E981" s="153" t="s">
        <v>367</v>
      </c>
      <c r="F981" s="153" t="s">
        <v>367</v>
      </c>
      <c r="G981" s="153"/>
      <c r="H981" s="153"/>
      <c r="I981" s="153"/>
      <c r="J981" s="153">
        <v>1899</v>
      </c>
      <c r="K981" s="153">
        <v>12</v>
      </c>
    </row>
    <row r="982" spans="1:11" ht="13.5" customHeight="1" x14ac:dyDescent="0.15">
      <c r="A982" s="141"/>
      <c r="B982" s="165">
        <v>979</v>
      </c>
      <c r="C982" s="166"/>
      <c r="D982" s="153"/>
      <c r="E982" s="153" t="s">
        <v>367</v>
      </c>
      <c r="F982" s="153" t="s">
        <v>367</v>
      </c>
      <c r="G982" s="153"/>
      <c r="H982" s="153"/>
      <c r="I982" s="153"/>
      <c r="J982" s="153">
        <v>1899</v>
      </c>
      <c r="K982" s="153">
        <v>12</v>
      </c>
    </row>
    <row r="983" spans="1:11" ht="13.5" customHeight="1" x14ac:dyDescent="0.15">
      <c r="A983" s="141"/>
      <c r="B983" s="165">
        <v>980</v>
      </c>
      <c r="C983" s="166"/>
      <c r="D983" s="153"/>
      <c r="E983" s="153" t="s">
        <v>367</v>
      </c>
      <c r="F983" s="153" t="s">
        <v>367</v>
      </c>
      <c r="G983" s="153"/>
      <c r="H983" s="153"/>
      <c r="I983" s="153"/>
      <c r="J983" s="153">
        <v>1899</v>
      </c>
      <c r="K983" s="153">
        <v>12</v>
      </c>
    </row>
    <row r="984" spans="1:11" ht="13.5" customHeight="1" x14ac:dyDescent="0.15">
      <c r="A984" s="141"/>
      <c r="B984" s="165">
        <v>981</v>
      </c>
      <c r="C984" s="166"/>
      <c r="D984" s="153"/>
      <c r="E984" s="153" t="s">
        <v>367</v>
      </c>
      <c r="F984" s="153" t="s">
        <v>367</v>
      </c>
      <c r="G984" s="153"/>
      <c r="H984" s="153"/>
      <c r="I984" s="153"/>
      <c r="J984" s="153">
        <v>1899</v>
      </c>
      <c r="K984" s="153">
        <v>12</v>
      </c>
    </row>
    <row r="985" spans="1:11" ht="13.5" customHeight="1" x14ac:dyDescent="0.15">
      <c r="A985" s="141"/>
      <c r="B985" s="165">
        <v>982</v>
      </c>
      <c r="C985" s="166"/>
      <c r="D985" s="153"/>
      <c r="E985" s="153" t="s">
        <v>367</v>
      </c>
      <c r="F985" s="153" t="s">
        <v>367</v>
      </c>
      <c r="G985" s="153"/>
      <c r="H985" s="153"/>
      <c r="I985" s="153"/>
      <c r="J985" s="153">
        <v>1899</v>
      </c>
      <c r="K985" s="153">
        <v>12</v>
      </c>
    </row>
    <row r="986" spans="1:11" ht="13.5" customHeight="1" x14ac:dyDescent="0.15">
      <c r="A986" s="141"/>
      <c r="B986" s="165">
        <v>983</v>
      </c>
      <c r="C986" s="166"/>
      <c r="D986" s="153"/>
      <c r="E986" s="153" t="s">
        <v>367</v>
      </c>
      <c r="F986" s="153" t="s">
        <v>367</v>
      </c>
      <c r="G986" s="153"/>
      <c r="H986" s="153"/>
      <c r="I986" s="153"/>
      <c r="J986" s="153">
        <v>1899</v>
      </c>
      <c r="K986" s="153">
        <v>12</v>
      </c>
    </row>
    <row r="987" spans="1:11" ht="13.5" customHeight="1" x14ac:dyDescent="0.15">
      <c r="A987" s="141"/>
      <c r="B987" s="165">
        <v>984</v>
      </c>
      <c r="C987" s="166"/>
      <c r="D987" s="153"/>
      <c r="E987" s="153" t="s">
        <v>367</v>
      </c>
      <c r="F987" s="153" t="s">
        <v>367</v>
      </c>
      <c r="G987" s="153"/>
      <c r="H987" s="153"/>
      <c r="I987" s="153"/>
      <c r="J987" s="153">
        <v>1899</v>
      </c>
      <c r="K987" s="153">
        <v>12</v>
      </c>
    </row>
    <row r="988" spans="1:11" ht="13.5" customHeight="1" x14ac:dyDescent="0.15">
      <c r="A988" s="141"/>
      <c r="B988" s="165">
        <v>985</v>
      </c>
      <c r="C988" s="166"/>
      <c r="D988" s="153"/>
      <c r="E988" s="153" t="s">
        <v>367</v>
      </c>
      <c r="F988" s="153" t="s">
        <v>367</v>
      </c>
      <c r="G988" s="153"/>
      <c r="H988" s="153"/>
      <c r="I988" s="153"/>
      <c r="J988" s="153">
        <v>1899</v>
      </c>
      <c r="K988" s="153">
        <v>12</v>
      </c>
    </row>
    <row r="989" spans="1:11" ht="13.5" customHeight="1" x14ac:dyDescent="0.15">
      <c r="A989" s="141"/>
      <c r="B989" s="165">
        <v>986</v>
      </c>
      <c r="C989" s="166"/>
      <c r="D989" s="153"/>
      <c r="E989" s="153" t="s">
        <v>367</v>
      </c>
      <c r="F989" s="153" t="s">
        <v>367</v>
      </c>
      <c r="G989" s="153"/>
      <c r="H989" s="153"/>
      <c r="I989" s="153"/>
      <c r="J989" s="153">
        <v>1899</v>
      </c>
      <c r="K989" s="153">
        <v>12</v>
      </c>
    </row>
    <row r="990" spans="1:11" ht="13.5" customHeight="1" x14ac:dyDescent="0.15">
      <c r="A990" s="141"/>
      <c r="B990" s="165">
        <v>987</v>
      </c>
      <c r="C990" s="166"/>
      <c r="D990" s="153"/>
      <c r="E990" s="153" t="s">
        <v>367</v>
      </c>
      <c r="F990" s="153" t="s">
        <v>367</v>
      </c>
      <c r="G990" s="153"/>
      <c r="H990" s="153"/>
      <c r="I990" s="153"/>
      <c r="J990" s="153">
        <v>1899</v>
      </c>
      <c r="K990" s="153">
        <v>12</v>
      </c>
    </row>
    <row r="991" spans="1:11" ht="13.5" customHeight="1" x14ac:dyDescent="0.15">
      <c r="A991" s="141"/>
      <c r="B991" s="165">
        <v>988</v>
      </c>
      <c r="C991" s="166"/>
      <c r="D991" s="153"/>
      <c r="E991" s="153" t="s">
        <v>367</v>
      </c>
      <c r="F991" s="153" t="s">
        <v>367</v>
      </c>
      <c r="G991" s="153"/>
      <c r="H991" s="153"/>
      <c r="I991" s="153"/>
      <c r="J991" s="153">
        <v>1899</v>
      </c>
      <c r="K991" s="153">
        <v>12</v>
      </c>
    </row>
    <row r="992" spans="1:11" ht="13.5" customHeight="1" x14ac:dyDescent="0.15">
      <c r="A992" s="141"/>
      <c r="B992" s="165">
        <v>989</v>
      </c>
      <c r="C992" s="166"/>
      <c r="D992" s="153"/>
      <c r="E992" s="153" t="s">
        <v>367</v>
      </c>
      <c r="F992" s="153" t="s">
        <v>367</v>
      </c>
      <c r="G992" s="153"/>
      <c r="H992" s="153"/>
      <c r="I992" s="153"/>
      <c r="J992" s="153">
        <v>1899</v>
      </c>
      <c r="K992" s="153">
        <v>12</v>
      </c>
    </row>
    <row r="993" spans="1:11" ht="13.5" customHeight="1" x14ac:dyDescent="0.15">
      <c r="A993" s="141"/>
      <c r="B993" s="165">
        <v>990</v>
      </c>
      <c r="C993" s="166"/>
      <c r="D993" s="153"/>
      <c r="E993" s="153" t="s">
        <v>367</v>
      </c>
      <c r="F993" s="153" t="s">
        <v>367</v>
      </c>
      <c r="G993" s="153"/>
      <c r="H993" s="153"/>
      <c r="I993" s="153"/>
      <c r="J993" s="153">
        <v>1899</v>
      </c>
      <c r="K993" s="153">
        <v>12</v>
      </c>
    </row>
    <row r="994" spans="1:11" ht="13.5" customHeight="1" x14ac:dyDescent="0.15">
      <c r="A994" s="141"/>
      <c r="B994" s="165">
        <v>991</v>
      </c>
      <c r="C994" s="166"/>
      <c r="D994" s="153"/>
      <c r="E994" s="153" t="s">
        <v>367</v>
      </c>
      <c r="F994" s="153" t="s">
        <v>367</v>
      </c>
      <c r="G994" s="153"/>
      <c r="H994" s="153"/>
      <c r="I994" s="153"/>
      <c r="J994" s="153">
        <v>1899</v>
      </c>
      <c r="K994" s="153">
        <v>12</v>
      </c>
    </row>
    <row r="995" spans="1:11" ht="13.5" customHeight="1" x14ac:dyDescent="0.15">
      <c r="A995" s="141"/>
      <c r="B995" s="165">
        <v>992</v>
      </c>
      <c r="C995" s="166"/>
      <c r="D995" s="153"/>
      <c r="E995" s="153" t="s">
        <v>367</v>
      </c>
      <c r="F995" s="153" t="s">
        <v>367</v>
      </c>
      <c r="G995" s="153"/>
      <c r="H995" s="153"/>
      <c r="I995" s="153"/>
      <c r="J995" s="153">
        <v>1899</v>
      </c>
      <c r="K995" s="153">
        <v>12</v>
      </c>
    </row>
    <row r="996" spans="1:11" ht="13.5" customHeight="1" x14ac:dyDescent="0.15">
      <c r="A996" s="141"/>
      <c r="B996" s="165">
        <v>993</v>
      </c>
      <c r="C996" s="166"/>
      <c r="D996" s="153"/>
      <c r="E996" s="153" t="s">
        <v>367</v>
      </c>
      <c r="F996" s="153" t="s">
        <v>367</v>
      </c>
      <c r="G996" s="153"/>
      <c r="H996" s="153"/>
      <c r="I996" s="153"/>
      <c r="J996" s="153">
        <v>1899</v>
      </c>
      <c r="K996" s="153">
        <v>12</v>
      </c>
    </row>
    <row r="997" spans="1:11" ht="13.5" customHeight="1" x14ac:dyDescent="0.15">
      <c r="A997" s="141"/>
      <c r="B997" s="165">
        <v>994</v>
      </c>
      <c r="C997" s="166"/>
      <c r="D997" s="153"/>
      <c r="E997" s="153" t="s">
        <v>367</v>
      </c>
      <c r="F997" s="153" t="s">
        <v>367</v>
      </c>
      <c r="G997" s="153"/>
      <c r="H997" s="153"/>
      <c r="I997" s="153"/>
      <c r="J997" s="153">
        <v>1899</v>
      </c>
      <c r="K997" s="153">
        <v>12</v>
      </c>
    </row>
    <row r="998" spans="1:11" ht="13.5" customHeight="1" x14ac:dyDescent="0.15">
      <c r="A998" s="141"/>
      <c r="B998" s="165">
        <v>995</v>
      </c>
      <c r="C998" s="166"/>
      <c r="D998" s="153"/>
      <c r="E998" s="153" t="s">
        <v>367</v>
      </c>
      <c r="F998" s="153" t="s">
        <v>367</v>
      </c>
      <c r="G998" s="153"/>
      <c r="H998" s="153"/>
      <c r="I998" s="153"/>
      <c r="J998" s="153">
        <v>1899</v>
      </c>
      <c r="K998" s="153">
        <v>12</v>
      </c>
    </row>
    <row r="999" spans="1:11" ht="13.5" customHeight="1" x14ac:dyDescent="0.15">
      <c r="A999" s="141"/>
      <c r="B999" s="165">
        <v>996</v>
      </c>
      <c r="C999" s="166"/>
      <c r="D999" s="153"/>
      <c r="E999" s="153" t="s">
        <v>367</v>
      </c>
      <c r="F999" s="153" t="s">
        <v>367</v>
      </c>
      <c r="G999" s="153"/>
      <c r="H999" s="153"/>
      <c r="I999" s="153"/>
      <c r="J999" s="153">
        <v>1899</v>
      </c>
      <c r="K999" s="153">
        <v>12</v>
      </c>
    </row>
    <row r="1000" spans="1:11" ht="13.5" customHeight="1" x14ac:dyDescent="0.15">
      <c r="A1000" s="141"/>
      <c r="B1000" s="165">
        <v>997</v>
      </c>
      <c r="C1000" s="166"/>
      <c r="D1000" s="153"/>
      <c r="E1000" s="153" t="s">
        <v>367</v>
      </c>
      <c r="F1000" s="153" t="s">
        <v>367</v>
      </c>
      <c r="G1000" s="153"/>
      <c r="H1000" s="153"/>
      <c r="I1000" s="153"/>
      <c r="J1000" s="153">
        <v>1899</v>
      </c>
      <c r="K1000" s="153">
        <v>12</v>
      </c>
    </row>
    <row r="1001" spans="1:11" ht="13.5" customHeight="1" x14ac:dyDescent="0.15">
      <c r="A1001" s="141"/>
      <c r="B1001" s="165">
        <v>998</v>
      </c>
      <c r="C1001" s="166"/>
      <c r="D1001" s="153"/>
      <c r="E1001" s="153" t="s">
        <v>367</v>
      </c>
      <c r="F1001" s="153" t="s">
        <v>367</v>
      </c>
      <c r="G1001" s="153"/>
      <c r="H1001" s="153"/>
      <c r="I1001" s="153"/>
      <c r="J1001" s="153">
        <v>1899</v>
      </c>
      <c r="K1001" s="153">
        <v>12</v>
      </c>
    </row>
    <row r="1002" spans="1:11" ht="13.5" customHeight="1" x14ac:dyDescent="0.15">
      <c r="A1002" s="141"/>
      <c r="B1002" s="165">
        <v>999</v>
      </c>
      <c r="C1002" s="166"/>
      <c r="D1002" s="153"/>
      <c r="E1002" s="153" t="s">
        <v>367</v>
      </c>
      <c r="F1002" s="153" t="s">
        <v>367</v>
      </c>
      <c r="G1002" s="153"/>
      <c r="H1002" s="153"/>
      <c r="I1002" s="153"/>
      <c r="J1002" s="153">
        <v>1899</v>
      </c>
      <c r="K1002" s="153">
        <v>12</v>
      </c>
    </row>
    <row r="1003" spans="1:11" ht="13.5" customHeight="1" x14ac:dyDescent="0.15">
      <c r="A1003" s="141"/>
      <c r="B1003" s="165">
        <v>1000</v>
      </c>
      <c r="C1003" s="166"/>
      <c r="D1003" s="153"/>
      <c r="E1003" s="153" t="s">
        <v>367</v>
      </c>
      <c r="F1003" s="153" t="s">
        <v>367</v>
      </c>
      <c r="G1003" s="153"/>
      <c r="H1003" s="153"/>
      <c r="I1003" s="153"/>
      <c r="J1003" s="153">
        <v>1899</v>
      </c>
      <c r="K1003" s="153">
        <v>12</v>
      </c>
    </row>
    <row r="1004" spans="1:11" ht="13.5" customHeight="1" x14ac:dyDescent="0.15">
      <c r="A1004" s="141"/>
      <c r="B1004" s="210" t="s">
        <v>387</v>
      </c>
      <c r="C1004" s="211"/>
      <c r="D1004" s="211"/>
      <c r="E1004" s="211"/>
      <c r="F1004" s="211"/>
      <c r="G1004" s="211"/>
      <c r="H1004" s="211"/>
      <c r="I1004" s="211"/>
      <c r="J1004" s="211"/>
      <c r="K1004" s="212"/>
    </row>
    <row r="1005" spans="1:11" ht="13.5" customHeight="1" x14ac:dyDescent="0.15">
      <c r="A1005" s="141"/>
      <c r="B1005" s="142"/>
      <c r="C1005" s="156"/>
      <c r="D1005" s="143"/>
      <c r="E1005" s="143"/>
      <c r="F1005" s="143"/>
      <c r="G1005" s="143"/>
      <c r="H1005" s="143"/>
      <c r="I1005" s="143"/>
      <c r="J1005" s="141"/>
      <c r="K1005" s="141"/>
    </row>
  </sheetData>
  <mergeCells count="1">
    <mergeCell ref="B1004:K1004"/>
  </mergeCells>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00000000-0004-0000-0900-000000000000}"/>
    <hyperlink ref="E2" location="'當前庫存'!D2" display="當前庫存" xr:uid="{00000000-0004-0000-0900-000001000000}"/>
    <hyperlink ref="F2" location="'期初庫存'!F2" display="期初庫存" xr:uid="{00000000-0004-0000-0900-000002000000}"/>
  </hyperlinks>
  <pageMargins left="0.7" right="0.7" top="0.75" bottom="0.75" header="0" footer="0"/>
  <pageSetup paperSize="9" fitToWidth="0" fitToHeight="0"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烤漆色號編碼!$A$2:$A$27</xm:f>
          </x14:formula1>
          <xm:sqref>D30:D47</xm:sqref>
        </x14:dataValidation>
        <x14:dataValidation type="list" allowBlank="1" showErrorMessage="1" xr:uid="{00000000-0002-0000-0900-000001000000}">
          <x14:formula1>
            <xm:f>烤漆色號編碼!$A$2:$A$45</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05"/>
  <sheetViews>
    <sheetView workbookViewId="0"/>
  </sheetViews>
  <sheetFormatPr defaultColWidth="13.97265625" defaultRowHeight="15" customHeight="1" x14ac:dyDescent="0.15"/>
  <cols>
    <col min="1" max="1" width="1.71484375" customWidth="1"/>
    <col min="2" max="2" width="3.4296875" customWidth="1"/>
    <col min="3" max="3" width="9.31640625" customWidth="1"/>
    <col min="4" max="4" width="12.50390625" customWidth="1"/>
    <col min="5" max="5" width="9.4375" customWidth="1"/>
    <col min="6" max="6" width="10.05078125" customWidth="1"/>
    <col min="7" max="8" width="9.19140625" customWidth="1"/>
    <col min="9" max="11" width="10.05078125" customWidth="1"/>
  </cols>
  <sheetData>
    <row r="1" spans="1:11" ht="8.25" customHeight="1" x14ac:dyDescent="0.15">
      <c r="A1" s="141"/>
      <c r="B1" s="142"/>
      <c r="C1" s="156"/>
      <c r="D1" s="143"/>
      <c r="E1" s="143"/>
      <c r="F1" s="143"/>
      <c r="G1" s="143"/>
      <c r="H1" s="143"/>
      <c r="I1" s="143"/>
      <c r="J1" s="141"/>
      <c r="K1" s="141"/>
    </row>
    <row r="2" spans="1:11" ht="13.5" customHeight="1" x14ac:dyDescent="0.15">
      <c r="A2" s="141"/>
      <c r="B2" s="157"/>
      <c r="C2" s="157"/>
      <c r="D2" s="108" t="s">
        <v>357</v>
      </c>
      <c r="E2" s="108" t="s">
        <v>358</v>
      </c>
      <c r="F2" s="108" t="s">
        <v>359</v>
      </c>
      <c r="G2" s="109" t="s">
        <v>360</v>
      </c>
      <c r="H2" s="157"/>
      <c r="I2" s="157"/>
      <c r="J2" s="157"/>
      <c r="K2" s="157"/>
    </row>
    <row r="3" spans="1:11" ht="13.5" customHeight="1" x14ac:dyDescent="0.15">
      <c r="A3" s="141"/>
      <c r="B3" s="148" t="s">
        <v>361</v>
      </c>
      <c r="C3" s="158" t="s">
        <v>382</v>
      </c>
      <c r="D3" s="116" t="s">
        <v>23</v>
      </c>
      <c r="E3" s="116" t="s">
        <v>362</v>
      </c>
      <c r="F3" s="116" t="s">
        <v>17</v>
      </c>
      <c r="G3" s="146" t="s">
        <v>383</v>
      </c>
      <c r="H3" s="146" t="s">
        <v>324</v>
      </c>
      <c r="I3" s="146" t="s">
        <v>384</v>
      </c>
      <c r="J3" s="146" t="s">
        <v>385</v>
      </c>
      <c r="K3" s="148" t="s">
        <v>386</v>
      </c>
    </row>
    <row r="4" spans="1:11" ht="13.5" customHeight="1" x14ac:dyDescent="0.15">
      <c r="A4" s="141"/>
      <c r="B4" s="149">
        <v>1</v>
      </c>
      <c r="C4" s="79">
        <v>45967</v>
      </c>
      <c r="D4" s="55" t="s">
        <v>332</v>
      </c>
      <c r="E4" s="55" t="str">
        <f>IFERROR(VLOOKUP($D4,烤漆色號編碼!$A:$C,3,FALSE),"-")</f>
        <v>白亮光</v>
      </c>
      <c r="F4" s="55" t="str">
        <f>IFERROR(VLOOKUP($D4,烤漆色號編碼!$A:$C,2,FALSE),"-")</f>
        <v>WE2</v>
      </c>
      <c r="G4" s="55">
        <v>20</v>
      </c>
      <c r="H4" s="55"/>
      <c r="I4" s="55">
        <f>IFERROR(VLOOKUP($D4,烤漆色號編碼!$A:$D,4,FALSE)*G4+H4,"-")</f>
        <v>500</v>
      </c>
      <c r="J4" s="55">
        <v>2025</v>
      </c>
      <c r="K4" s="159">
        <v>12</v>
      </c>
    </row>
    <row r="5" spans="1:11" ht="13.5" customHeight="1" x14ac:dyDescent="0.15">
      <c r="A5" s="141"/>
      <c r="B5" s="149">
        <v>2</v>
      </c>
      <c r="C5" s="79">
        <v>45968</v>
      </c>
      <c r="D5" s="55" t="s">
        <v>339</v>
      </c>
      <c r="E5" s="55" t="str">
        <f>IFERROR(VLOOKUP($D5,烤漆色號編碼!$A:$C,3,FALSE),"-")</f>
        <v>新黑砂</v>
      </c>
      <c r="F5" s="55" t="str">
        <f>IFERROR(VLOOKUP($D5,烤漆色號編碼!$A:$C,2,FALSE),"-")</f>
        <v>BKS1</v>
      </c>
      <c r="G5" s="55">
        <v>12</v>
      </c>
      <c r="H5" s="55">
        <v>5</v>
      </c>
      <c r="I5" s="55">
        <f>IFERROR(VLOOKUP($D5,烤漆色號編碼!$A:$D,4,FALSE)*G5+H5,"-")</f>
        <v>305</v>
      </c>
      <c r="J5" s="55">
        <v>2025</v>
      </c>
      <c r="K5" s="160">
        <v>12</v>
      </c>
    </row>
    <row r="6" spans="1:11" ht="13.5" customHeight="1" x14ac:dyDescent="0.15">
      <c r="A6" s="141"/>
      <c r="B6" s="149">
        <v>3</v>
      </c>
      <c r="C6" s="79">
        <v>45978</v>
      </c>
      <c r="D6" s="55" t="s">
        <v>332</v>
      </c>
      <c r="E6" s="55" t="str">
        <f>IFERROR(VLOOKUP($D6,烤漆色號編碼!$A:$C,3,FALSE),"-")</f>
        <v>白亮光</v>
      </c>
      <c r="F6" s="55" t="str">
        <f>IFERROR(VLOOKUP($D6,烤漆色號編碼!$A:$C,2,FALSE),"-")</f>
        <v>WE2</v>
      </c>
      <c r="G6" s="55">
        <v>20</v>
      </c>
      <c r="H6" s="55"/>
      <c r="I6" s="55">
        <f>IFERROR(VLOOKUP($D6,烤漆色號編碼!$A:$D,4,FALSE)*G6+H6,"-")</f>
        <v>500</v>
      </c>
      <c r="J6" s="55">
        <v>2025</v>
      </c>
      <c r="K6" s="159">
        <v>12</v>
      </c>
    </row>
    <row r="7" spans="1:11" ht="13.5" customHeight="1" x14ac:dyDescent="0.15">
      <c r="A7" s="141"/>
      <c r="B7" s="149">
        <v>4</v>
      </c>
      <c r="C7" s="79"/>
      <c r="D7" s="55"/>
      <c r="E7" s="55" t="str">
        <f>IFERROR(VLOOKUP($D7,烤漆色號編碼!$A:$C,3,FALSE),"-")</f>
        <v>-</v>
      </c>
      <c r="F7" s="55" t="str">
        <f>IFERROR(VLOOKUP($D7,烤漆色號編碼!$A:$C,2,FALSE),"-")</f>
        <v>-</v>
      </c>
      <c r="G7" s="55"/>
      <c r="H7" s="55"/>
      <c r="I7" s="55" t="str">
        <f>IFERROR(VLOOKUP($D7,烤漆色號編碼!$A:$D,4,FALSE)*G7+H7,"-")</f>
        <v>-</v>
      </c>
      <c r="J7" s="55">
        <v>2025</v>
      </c>
      <c r="K7" s="160">
        <v>12</v>
      </c>
    </row>
    <row r="8" spans="1:11" ht="13.5" customHeight="1" x14ac:dyDescent="0.15">
      <c r="A8" s="141"/>
      <c r="B8" s="149">
        <v>5</v>
      </c>
      <c r="C8" s="79"/>
      <c r="D8" s="55"/>
      <c r="E8" s="55" t="str">
        <f>IFERROR(VLOOKUP($D8,烤漆色號編碼!$A:$C,3,FALSE),"-")</f>
        <v>-</v>
      </c>
      <c r="F8" s="55" t="str">
        <f>IFERROR(VLOOKUP($D8,烤漆色號編碼!$A:$C,2,FALSE),"-")</f>
        <v>-</v>
      </c>
      <c r="G8" s="55"/>
      <c r="H8" s="55"/>
      <c r="I8" s="55" t="str">
        <f>IFERROR(VLOOKUP($D8,烤漆色號編碼!$A:$D,4,FALSE)*G8+H8,"-")</f>
        <v>-</v>
      </c>
      <c r="J8" s="55">
        <v>2025</v>
      </c>
      <c r="K8" s="159">
        <v>12</v>
      </c>
    </row>
    <row r="9" spans="1:11" ht="13.5" customHeight="1" x14ac:dyDescent="0.15">
      <c r="A9" s="141"/>
      <c r="B9" s="149">
        <v>6</v>
      </c>
      <c r="C9" s="79"/>
      <c r="D9" s="55"/>
      <c r="E9" s="55" t="str">
        <f>IFERROR(VLOOKUP($D9,烤漆色號編碼!$A:$C,3,FALSE),"-")</f>
        <v>-</v>
      </c>
      <c r="F9" s="55" t="str">
        <f>IFERROR(VLOOKUP($D9,烤漆色號編碼!$A:$C,2,FALSE),"-")</f>
        <v>-</v>
      </c>
      <c r="G9" s="55"/>
      <c r="H9" s="55"/>
      <c r="I9" s="55" t="str">
        <f>IFERROR(VLOOKUP($D9,烤漆色號編碼!$A:$D,4,FALSE)*G9+H9,"-")</f>
        <v>-</v>
      </c>
      <c r="J9" s="55">
        <v>2025</v>
      </c>
      <c r="K9" s="160">
        <v>12</v>
      </c>
    </row>
    <row r="10" spans="1:11" ht="13.5" customHeight="1" x14ac:dyDescent="0.15">
      <c r="A10" s="141"/>
      <c r="B10" s="149">
        <v>7</v>
      </c>
      <c r="C10" s="79"/>
      <c r="D10" s="55"/>
      <c r="E10" s="55" t="str">
        <f>IFERROR(VLOOKUP($D10,烤漆色號編碼!$A:$C,3,FALSE),"-")</f>
        <v>-</v>
      </c>
      <c r="F10" s="55" t="str">
        <f>IFERROR(VLOOKUP($D10,烤漆色號編碼!$A:$C,2,FALSE),"-")</f>
        <v>-</v>
      </c>
      <c r="G10" s="55"/>
      <c r="H10" s="55"/>
      <c r="I10" s="55" t="str">
        <f>IFERROR(VLOOKUP($D10,烤漆色號編碼!$A:$D,4,FALSE)*G10+H10,"-")</f>
        <v>-</v>
      </c>
      <c r="J10" s="55">
        <v>2025</v>
      </c>
      <c r="K10" s="159">
        <v>12</v>
      </c>
    </row>
    <row r="11" spans="1:11" ht="13.5" customHeight="1" x14ac:dyDescent="0.15">
      <c r="A11" s="141"/>
      <c r="B11" s="149">
        <v>8</v>
      </c>
      <c r="C11" s="79"/>
      <c r="D11" s="55"/>
      <c r="E11" s="55" t="str">
        <f>IFERROR(VLOOKUP($D11,烤漆色號編碼!$A:$C,3,FALSE),"-")</f>
        <v>-</v>
      </c>
      <c r="F11" s="55" t="str">
        <f>IFERROR(VLOOKUP($D11,烤漆色號編碼!$A:$C,2,FALSE),"-")</f>
        <v>-</v>
      </c>
      <c r="G11" s="55"/>
      <c r="H11" s="55"/>
      <c r="I11" s="55" t="str">
        <f>IFERROR(VLOOKUP($D11,烤漆色號編碼!$A:$D,4,FALSE)*G11+H11,"-")</f>
        <v>-</v>
      </c>
      <c r="J11" s="55">
        <v>2025</v>
      </c>
      <c r="K11" s="160">
        <v>12</v>
      </c>
    </row>
    <row r="12" spans="1:11" ht="13.5" customHeight="1" x14ac:dyDescent="0.15">
      <c r="A12" s="141"/>
      <c r="B12" s="149">
        <v>9</v>
      </c>
      <c r="C12" s="79"/>
      <c r="D12" s="55"/>
      <c r="E12" s="55" t="str">
        <f>IFERROR(VLOOKUP($D12,烤漆色號編碼!$A:$C,3,FALSE),"-")</f>
        <v>-</v>
      </c>
      <c r="F12" s="55" t="str">
        <f>IFERROR(VLOOKUP($D12,烤漆色號編碼!$A:$C,2,FALSE),"-")</f>
        <v>-</v>
      </c>
      <c r="G12" s="55"/>
      <c r="H12" s="55"/>
      <c r="I12" s="55" t="str">
        <f>IFERROR(VLOOKUP($D12,烤漆色號編碼!$A:$D,4,FALSE)*G12+H12,"-")</f>
        <v>-</v>
      </c>
      <c r="J12" s="55">
        <v>2025</v>
      </c>
      <c r="K12" s="159">
        <v>12</v>
      </c>
    </row>
    <row r="13" spans="1:11" ht="13.5" customHeight="1" x14ac:dyDescent="0.15">
      <c r="A13" s="141"/>
      <c r="B13" s="149">
        <v>10</v>
      </c>
      <c r="C13" s="79"/>
      <c r="D13" s="55"/>
      <c r="E13" s="55" t="str">
        <f>IFERROR(VLOOKUP($D13,烤漆色號編碼!$A:$C,3,FALSE),"-")</f>
        <v>-</v>
      </c>
      <c r="F13" s="55" t="str">
        <f>IFERROR(VLOOKUP($D13,烤漆色號編碼!$A:$C,2,FALSE),"-")</f>
        <v>-</v>
      </c>
      <c r="G13" s="55"/>
      <c r="H13" s="55"/>
      <c r="I13" s="55" t="str">
        <f>IFERROR(VLOOKUP($D13,烤漆色號編碼!$A:$D,4,FALSE)*G13+H13,"-")</f>
        <v>-</v>
      </c>
      <c r="J13" s="55">
        <v>2025</v>
      </c>
      <c r="K13" s="160">
        <v>12</v>
      </c>
    </row>
    <row r="14" spans="1:11" ht="13.5" customHeight="1" x14ac:dyDescent="0.15">
      <c r="A14" s="141"/>
      <c r="B14" s="149">
        <v>11</v>
      </c>
      <c r="C14" s="79"/>
      <c r="D14" s="55"/>
      <c r="E14" s="55" t="str">
        <f>IFERROR(VLOOKUP($D14,烤漆色號編碼!$A:$C,3,FALSE),"-")</f>
        <v>-</v>
      </c>
      <c r="F14" s="55" t="str">
        <f>IFERROR(VLOOKUP($D14,烤漆色號編碼!$A:$C,2,FALSE),"-")</f>
        <v>-</v>
      </c>
      <c r="G14" s="55"/>
      <c r="H14" s="55"/>
      <c r="I14" s="55" t="str">
        <f>IFERROR(VLOOKUP($D14,烤漆色號編碼!$A:$D,4,FALSE)*G14+H14,"-")</f>
        <v>-</v>
      </c>
      <c r="J14" s="55">
        <v>2025</v>
      </c>
      <c r="K14" s="159">
        <v>12</v>
      </c>
    </row>
    <row r="15" spans="1:11" ht="13.5" customHeight="1" x14ac:dyDescent="0.15">
      <c r="A15" s="141"/>
      <c r="B15" s="149">
        <v>12</v>
      </c>
      <c r="C15" s="79"/>
      <c r="D15" s="55"/>
      <c r="E15" s="55" t="str">
        <f>IFERROR(VLOOKUP($D15,烤漆色號編碼!$A:$C,3,FALSE),"-")</f>
        <v>-</v>
      </c>
      <c r="F15" s="55" t="str">
        <f>IFERROR(VLOOKUP($D15,烤漆色號編碼!$A:$C,2,FALSE),"-")</f>
        <v>-</v>
      </c>
      <c r="G15" s="55"/>
      <c r="H15" s="55"/>
      <c r="I15" s="55" t="str">
        <f>IFERROR(VLOOKUP($D15,烤漆色號編碼!$A:$D,4,FALSE)*G15+H15,"-")</f>
        <v>-</v>
      </c>
      <c r="J15" s="55">
        <v>2025</v>
      </c>
      <c r="K15" s="160">
        <v>12</v>
      </c>
    </row>
    <row r="16" spans="1:11" ht="13.5" customHeight="1" x14ac:dyDescent="0.15">
      <c r="A16" s="141"/>
      <c r="B16" s="149">
        <v>13</v>
      </c>
      <c r="C16" s="79"/>
      <c r="D16" s="55"/>
      <c r="E16" s="55" t="str">
        <f>IFERROR(VLOOKUP($D16,烤漆色號編碼!$A:$C,3,FALSE),"-")</f>
        <v>-</v>
      </c>
      <c r="F16" s="55" t="str">
        <f>IFERROR(VLOOKUP($D16,烤漆色號編碼!$A:$C,2,FALSE),"-")</f>
        <v>-</v>
      </c>
      <c r="G16" s="55"/>
      <c r="H16" s="55"/>
      <c r="I16" s="55" t="str">
        <f>IFERROR(VLOOKUP($D16,烤漆色號編碼!$A:$D,4,FALSE)*G16+H16,"-")</f>
        <v>-</v>
      </c>
      <c r="J16" s="55">
        <v>2025</v>
      </c>
      <c r="K16" s="159">
        <v>12</v>
      </c>
    </row>
    <row r="17" spans="1:11" ht="13.5" customHeight="1" x14ac:dyDescent="0.15">
      <c r="A17" s="141"/>
      <c r="B17" s="149">
        <v>14</v>
      </c>
      <c r="C17" s="79"/>
      <c r="D17" s="55"/>
      <c r="E17" s="55" t="str">
        <f>IFERROR(VLOOKUP($D17,烤漆色號編碼!$A:$C,3,FALSE),"-")</f>
        <v>-</v>
      </c>
      <c r="F17" s="55" t="str">
        <f>IFERROR(VLOOKUP($D17,烤漆色號編碼!$A:$C,2,FALSE),"-")</f>
        <v>-</v>
      </c>
      <c r="G17" s="55"/>
      <c r="H17" s="55"/>
      <c r="I17" s="55" t="str">
        <f>IFERROR(VLOOKUP($D17,烤漆色號編碼!$A:$D,4,FALSE)*G17+H17,"-")</f>
        <v>-</v>
      </c>
      <c r="J17" s="55">
        <v>2025</v>
      </c>
      <c r="K17" s="160">
        <v>12</v>
      </c>
    </row>
    <row r="18" spans="1:11" ht="13.5" customHeight="1" x14ac:dyDescent="0.15">
      <c r="A18" s="141"/>
      <c r="B18" s="149">
        <v>15</v>
      </c>
      <c r="C18" s="79"/>
      <c r="D18" s="55"/>
      <c r="E18" s="55" t="str">
        <f>IFERROR(VLOOKUP($D18,烤漆色號編碼!$A:$C,3,FALSE),"-")</f>
        <v>-</v>
      </c>
      <c r="F18" s="55" t="str">
        <f>IFERROR(VLOOKUP($D18,烤漆色號編碼!$A:$C,2,FALSE),"-")</f>
        <v>-</v>
      </c>
      <c r="G18" s="55"/>
      <c r="H18" s="55"/>
      <c r="I18" s="55" t="str">
        <f>IFERROR(VLOOKUP($D18,烤漆色號編碼!$A:$D,4,FALSE)*G18+H18,"-")</f>
        <v>-</v>
      </c>
      <c r="J18" s="55">
        <v>2025</v>
      </c>
      <c r="K18" s="159">
        <v>12</v>
      </c>
    </row>
    <row r="19" spans="1:11" ht="13.5" customHeight="1" x14ac:dyDescent="0.15">
      <c r="A19" s="141"/>
      <c r="B19" s="149">
        <v>16</v>
      </c>
      <c r="C19" s="79"/>
      <c r="D19" s="55"/>
      <c r="E19" s="55" t="str">
        <f>IFERROR(VLOOKUP($D19,烤漆色號編碼!$A:$C,3,FALSE),"-")</f>
        <v>-</v>
      </c>
      <c r="F19" s="55" t="str">
        <f>IFERROR(VLOOKUP($D19,烤漆色號編碼!$A:$C,2,FALSE),"-")</f>
        <v>-</v>
      </c>
      <c r="G19" s="55"/>
      <c r="H19" s="55"/>
      <c r="I19" s="55" t="str">
        <f>IFERROR(VLOOKUP($D19,烤漆色號編碼!$A:$D,4,FALSE)*G19+H19,"-")</f>
        <v>-</v>
      </c>
      <c r="J19" s="55">
        <v>2025</v>
      </c>
      <c r="K19" s="160">
        <v>12</v>
      </c>
    </row>
    <row r="20" spans="1:11" ht="13.5" customHeight="1" x14ac:dyDescent="0.15">
      <c r="A20" s="141"/>
      <c r="B20" s="149">
        <v>17</v>
      </c>
      <c r="C20" s="79"/>
      <c r="D20" s="55"/>
      <c r="E20" s="55" t="str">
        <f>IFERROR(VLOOKUP($D20,烤漆色號編碼!$A:$C,3,FALSE),"-")</f>
        <v>-</v>
      </c>
      <c r="F20" s="55" t="str">
        <f>IFERROR(VLOOKUP($D20,烤漆色號編碼!$A:$C,2,FALSE),"-")</f>
        <v>-</v>
      </c>
      <c r="G20" s="55"/>
      <c r="H20" s="55"/>
      <c r="I20" s="55" t="str">
        <f>IFERROR(VLOOKUP($D20,烤漆色號編碼!$A:$D,4,FALSE)*G20+H20,"-")</f>
        <v>-</v>
      </c>
      <c r="J20" s="55">
        <v>2025</v>
      </c>
      <c r="K20" s="159">
        <v>12</v>
      </c>
    </row>
    <row r="21" spans="1:11" ht="13.5" customHeight="1" x14ac:dyDescent="0.15">
      <c r="A21" s="141"/>
      <c r="B21" s="149">
        <v>18</v>
      </c>
      <c r="C21" s="79"/>
      <c r="D21" s="55"/>
      <c r="E21" s="55" t="str">
        <f>IFERROR(VLOOKUP($D21,烤漆色號編碼!$A:$C,3,FALSE),"-")</f>
        <v>-</v>
      </c>
      <c r="F21" s="55" t="str">
        <f>IFERROR(VLOOKUP($D21,烤漆色號編碼!$A:$C,2,FALSE),"-")</f>
        <v>-</v>
      </c>
      <c r="G21" s="55"/>
      <c r="H21" s="55"/>
      <c r="I21" s="55" t="str">
        <f>IFERROR(VLOOKUP($D21,烤漆色號編碼!$A:$D,4,FALSE)*G21+H21,"-")</f>
        <v>-</v>
      </c>
      <c r="J21" s="55">
        <v>2025</v>
      </c>
      <c r="K21" s="160">
        <v>12</v>
      </c>
    </row>
    <row r="22" spans="1:11" ht="13.5" customHeight="1" x14ac:dyDescent="0.15">
      <c r="A22" s="141"/>
      <c r="B22" s="149">
        <v>19</v>
      </c>
      <c r="C22" s="79"/>
      <c r="D22" s="55"/>
      <c r="E22" s="55" t="str">
        <f>IFERROR(VLOOKUP($D22,烤漆色號編碼!$A:$C,3,FALSE),"-")</f>
        <v>-</v>
      </c>
      <c r="F22" s="55" t="str">
        <f>IFERROR(VLOOKUP($D22,烤漆色號編碼!$A:$C,2,FALSE),"-")</f>
        <v>-</v>
      </c>
      <c r="G22" s="55"/>
      <c r="H22" s="55"/>
      <c r="I22" s="55" t="str">
        <f>IFERROR(VLOOKUP($D22,烤漆色號編碼!$A:$D,4,FALSE)*G22+H22,"-")</f>
        <v>-</v>
      </c>
      <c r="J22" s="55">
        <v>2025</v>
      </c>
      <c r="K22" s="159">
        <v>12</v>
      </c>
    </row>
    <row r="23" spans="1:11" ht="13.5" customHeight="1" x14ac:dyDescent="0.15">
      <c r="A23" s="141"/>
      <c r="B23" s="149">
        <v>20</v>
      </c>
      <c r="C23" s="79"/>
      <c r="D23" s="55"/>
      <c r="E23" s="55" t="str">
        <f>IFERROR(VLOOKUP($D23,烤漆色號編碼!$A:$C,3,FALSE),"-")</f>
        <v>-</v>
      </c>
      <c r="F23" s="55" t="str">
        <f>IFERROR(VLOOKUP($D23,烤漆色號編碼!$A:$C,2,FALSE),"-")</f>
        <v>-</v>
      </c>
      <c r="G23" s="55"/>
      <c r="H23" s="55"/>
      <c r="I23" s="55" t="str">
        <f>IFERROR(VLOOKUP($D23,烤漆色號編碼!$A:$D,4,FALSE)*G23+H23,"-")</f>
        <v>-</v>
      </c>
      <c r="J23" s="55">
        <v>2025</v>
      </c>
      <c r="K23" s="160">
        <v>12</v>
      </c>
    </row>
    <row r="24" spans="1:11" ht="13.5" customHeight="1" x14ac:dyDescent="0.15">
      <c r="A24" s="141"/>
      <c r="B24" s="149">
        <v>21</v>
      </c>
      <c r="C24" s="79"/>
      <c r="D24" s="55"/>
      <c r="E24" s="55" t="str">
        <f>IFERROR(VLOOKUP($D24,烤漆色號編碼!$A:$C,3,FALSE),"-")</f>
        <v>-</v>
      </c>
      <c r="F24" s="55" t="str">
        <f>IFERROR(VLOOKUP($D24,烤漆色號編碼!$A:$C,2,FALSE),"-")</f>
        <v>-</v>
      </c>
      <c r="G24" s="55"/>
      <c r="H24" s="55"/>
      <c r="I24" s="55" t="str">
        <f>IFERROR(VLOOKUP($D24,烤漆色號編碼!$A:$D,4,FALSE)*G24+H24,"-")</f>
        <v>-</v>
      </c>
      <c r="J24" s="55">
        <v>2025</v>
      </c>
      <c r="K24" s="159">
        <v>12</v>
      </c>
    </row>
    <row r="25" spans="1:11" ht="13.5" customHeight="1" x14ac:dyDescent="0.15">
      <c r="A25" s="141"/>
      <c r="B25" s="149">
        <v>22</v>
      </c>
      <c r="C25" s="79"/>
      <c r="D25" s="55"/>
      <c r="E25" s="55" t="str">
        <f>IFERROR(VLOOKUP($D25,烤漆色號編碼!$A:$C,3,FALSE),"-")</f>
        <v>-</v>
      </c>
      <c r="F25" s="55" t="str">
        <f>IFERROR(VLOOKUP($D25,烤漆色號編碼!$A:$C,2,FALSE),"-")</f>
        <v>-</v>
      </c>
      <c r="G25" s="55"/>
      <c r="H25" s="55"/>
      <c r="I25" s="55" t="str">
        <f>IFERROR(VLOOKUP($D25,烤漆色號編碼!$A:$D,4,FALSE)*G25+H25,"-")</f>
        <v>-</v>
      </c>
      <c r="J25" s="55">
        <v>2025</v>
      </c>
      <c r="K25" s="160">
        <v>12</v>
      </c>
    </row>
    <row r="26" spans="1:11" ht="13.5" customHeight="1" x14ac:dyDescent="0.15">
      <c r="A26" s="141"/>
      <c r="B26" s="149">
        <v>23</v>
      </c>
      <c r="C26" s="79"/>
      <c r="D26" s="55"/>
      <c r="E26" s="55" t="str">
        <f>IFERROR(VLOOKUP($D26,烤漆色號編碼!$A:$C,3,FALSE),"-")</f>
        <v>-</v>
      </c>
      <c r="F26" s="55" t="str">
        <f>IFERROR(VLOOKUP($D26,烤漆色號編碼!$A:$C,2,FALSE),"-")</f>
        <v>-</v>
      </c>
      <c r="G26" s="55"/>
      <c r="H26" s="55"/>
      <c r="I26" s="55" t="str">
        <f>IFERROR(VLOOKUP($D26,烤漆色號編碼!$A:$D,4,FALSE)*G26+H26,"-")</f>
        <v>-</v>
      </c>
      <c r="J26" s="55">
        <v>2025</v>
      </c>
      <c r="K26" s="159">
        <v>12</v>
      </c>
    </row>
    <row r="27" spans="1:11" ht="13.5" customHeight="1" x14ac:dyDescent="0.15">
      <c r="A27" s="141"/>
      <c r="B27" s="149">
        <v>24</v>
      </c>
      <c r="C27" s="79"/>
      <c r="D27" s="55"/>
      <c r="E27" s="55" t="str">
        <f>IFERROR(VLOOKUP($D27,烤漆色號編碼!$A:$C,3,FALSE),"-")</f>
        <v>-</v>
      </c>
      <c r="F27" s="55" t="str">
        <f>IFERROR(VLOOKUP($D27,烤漆色號編碼!$A:$C,2,FALSE),"-")</f>
        <v>-</v>
      </c>
      <c r="G27" s="55"/>
      <c r="H27" s="55"/>
      <c r="I27" s="55" t="str">
        <f>IFERROR(VLOOKUP($D27,烤漆色號編碼!$A:$D,4,FALSE)*G27+H27,"-")</f>
        <v>-</v>
      </c>
      <c r="J27" s="55">
        <v>2025</v>
      </c>
      <c r="K27" s="160">
        <v>12</v>
      </c>
    </row>
    <row r="28" spans="1:11" ht="13.5" customHeight="1" x14ac:dyDescent="0.15">
      <c r="A28" s="141"/>
      <c r="B28" s="149">
        <v>25</v>
      </c>
      <c r="C28" s="79"/>
      <c r="D28" s="55"/>
      <c r="E28" s="55" t="str">
        <f>IFERROR(VLOOKUP($D28,烤漆色號編碼!$A:$C,3,FALSE),"-")</f>
        <v>-</v>
      </c>
      <c r="F28" s="55" t="str">
        <f>IFERROR(VLOOKUP($D28,烤漆色號編碼!$A:$C,2,FALSE),"-")</f>
        <v>-</v>
      </c>
      <c r="G28" s="55"/>
      <c r="H28" s="55"/>
      <c r="I28" s="55" t="str">
        <f>IFERROR(VLOOKUP($D28,烤漆色號編碼!$A:$D,4,FALSE)*G28+H28,"-")</f>
        <v>-</v>
      </c>
      <c r="J28" s="55">
        <v>2025</v>
      </c>
      <c r="K28" s="159">
        <v>12</v>
      </c>
    </row>
    <row r="29" spans="1:11" ht="13.5" customHeight="1" x14ac:dyDescent="0.15">
      <c r="A29" s="141"/>
      <c r="B29" s="149">
        <v>26</v>
      </c>
      <c r="C29" s="79"/>
      <c r="D29" s="55"/>
      <c r="E29" s="55" t="str">
        <f>IFERROR(VLOOKUP($D29,烤漆色號編碼!$A:$C,3,FALSE),"-")</f>
        <v>-</v>
      </c>
      <c r="F29" s="55" t="str">
        <f>IFERROR(VLOOKUP($D29,烤漆色號編碼!$A:$C,2,FALSE),"-")</f>
        <v>-</v>
      </c>
      <c r="G29" s="55"/>
      <c r="H29" s="55"/>
      <c r="I29" s="55" t="str">
        <f>IFERROR(VLOOKUP($D29,烤漆色號編碼!$A:$D,4,FALSE)*G29+H29,"-")</f>
        <v>-</v>
      </c>
      <c r="J29" s="55">
        <v>2025</v>
      </c>
      <c r="K29" s="160">
        <v>12</v>
      </c>
    </row>
    <row r="30" spans="1:11" ht="13.5" customHeight="1" x14ac:dyDescent="0.15">
      <c r="A30" s="141"/>
      <c r="B30" s="149">
        <v>27</v>
      </c>
      <c r="C30" s="79"/>
      <c r="D30" s="55"/>
      <c r="E30" s="55" t="str">
        <f>IFERROR(VLOOKUP($D30,烤漆色號編碼!$A:$C,3,FALSE),"-")</f>
        <v>-</v>
      </c>
      <c r="F30" s="55" t="str">
        <f>IFERROR(VLOOKUP($D30,烤漆色號編碼!$A:$C,2,FALSE),"-")</f>
        <v>-</v>
      </c>
      <c r="G30" s="55"/>
      <c r="H30" s="55"/>
      <c r="I30" s="55" t="str">
        <f>IFERROR(VLOOKUP($D30,烤漆色號編碼!$A:$D,4,FALSE)*G30+H30,"-")</f>
        <v>-</v>
      </c>
      <c r="J30" s="55">
        <v>2025</v>
      </c>
      <c r="K30" s="159">
        <v>12</v>
      </c>
    </row>
    <row r="31" spans="1:11" ht="13.5" customHeight="1" x14ac:dyDescent="0.15">
      <c r="A31" s="141"/>
      <c r="B31" s="149">
        <v>28</v>
      </c>
      <c r="C31" s="79"/>
      <c r="D31" s="55"/>
      <c r="E31" s="55" t="str">
        <f>IFERROR(VLOOKUP($D31,烤漆色號編碼!$A:$C,3,FALSE),"-")</f>
        <v>-</v>
      </c>
      <c r="F31" s="55" t="str">
        <f>IFERROR(VLOOKUP($D31,烤漆色號編碼!$A:$C,2,FALSE),"-")</f>
        <v>-</v>
      </c>
      <c r="G31" s="55"/>
      <c r="H31" s="55"/>
      <c r="I31" s="55" t="str">
        <f>IFERROR(VLOOKUP($D31,烤漆色號編碼!$A:$D,4,FALSE)*G31+H31,"-")</f>
        <v>-</v>
      </c>
      <c r="J31" s="55">
        <v>2025</v>
      </c>
      <c r="K31" s="160">
        <v>12</v>
      </c>
    </row>
    <row r="32" spans="1:11" ht="13.5" customHeight="1" x14ac:dyDescent="0.15">
      <c r="A32" s="141"/>
      <c r="B32" s="149">
        <v>29</v>
      </c>
      <c r="C32" s="79"/>
      <c r="D32" s="55"/>
      <c r="E32" s="55" t="str">
        <f>IFERROR(VLOOKUP($D32,烤漆色號編碼!$A:$C,3,FALSE),"-")</f>
        <v>-</v>
      </c>
      <c r="F32" s="55" t="str">
        <f>IFERROR(VLOOKUP($D32,烤漆色號編碼!$A:$C,2,FALSE),"-")</f>
        <v>-</v>
      </c>
      <c r="G32" s="55"/>
      <c r="H32" s="55"/>
      <c r="I32" s="55" t="str">
        <f>IFERROR(VLOOKUP($D32,烤漆色號編碼!$A:$D,4,FALSE)*G32+H32,"-")</f>
        <v>-</v>
      </c>
      <c r="J32" s="55">
        <v>2025</v>
      </c>
      <c r="K32" s="159">
        <v>12</v>
      </c>
    </row>
    <row r="33" spans="1:11" ht="13.5" customHeight="1" x14ac:dyDescent="0.15">
      <c r="A33" s="141"/>
      <c r="B33" s="149">
        <v>30</v>
      </c>
      <c r="C33" s="79" t="str">
        <f t="shared" ref="C33:C42" ca="1" si="0">IF(D33&lt;&gt;"",NOW(),"")</f>
        <v/>
      </c>
      <c r="D33" s="55"/>
      <c r="E33" s="55" t="str">
        <f>IFERROR(VLOOKUP($D33,烤漆色號編碼!$A:$C,3,FALSE),"-")</f>
        <v>-</v>
      </c>
      <c r="F33" s="55" t="str">
        <f>IFERROR(VLOOKUP($D33,烤漆色號編碼!$A:$C,2,FALSE),"-")</f>
        <v>-</v>
      </c>
      <c r="G33" s="55"/>
      <c r="H33" s="55"/>
      <c r="I33" s="55" t="str">
        <f>IFERROR(VLOOKUP($D33,烤漆色號編碼!$A:$D,4,FALSE)*G33+H33,"-")</f>
        <v>-</v>
      </c>
      <c r="J33" s="55">
        <v>2025</v>
      </c>
      <c r="K33" s="160">
        <v>12</v>
      </c>
    </row>
    <row r="34" spans="1:11" ht="13.5" customHeight="1" x14ac:dyDescent="0.15">
      <c r="A34" s="141"/>
      <c r="B34" s="149">
        <v>31</v>
      </c>
      <c r="C34" s="79" t="str">
        <f t="shared" ca="1" si="0"/>
        <v/>
      </c>
      <c r="D34" s="55"/>
      <c r="E34" s="55" t="str">
        <f>IFERROR(VLOOKUP($D34,烤漆色號編碼!$A:$C,3,FALSE),"-")</f>
        <v>-</v>
      </c>
      <c r="F34" s="55" t="str">
        <f>IFERROR(VLOOKUP($D34,烤漆色號編碼!$A:$C,2,FALSE),"-")</f>
        <v>-</v>
      </c>
      <c r="G34" s="55"/>
      <c r="H34" s="55"/>
      <c r="I34" s="55" t="str">
        <f>IFERROR(VLOOKUP($D34,烤漆色號編碼!$A:$D,4,FALSE)*G34+H34,"-")</f>
        <v>-</v>
      </c>
      <c r="J34" s="55">
        <v>2025</v>
      </c>
      <c r="K34" s="159">
        <v>12</v>
      </c>
    </row>
    <row r="35" spans="1:11" ht="13.5" customHeight="1" x14ac:dyDescent="0.15">
      <c r="A35" s="141"/>
      <c r="B35" s="149">
        <v>32</v>
      </c>
      <c r="C35" s="79" t="str">
        <f t="shared" ca="1" si="0"/>
        <v/>
      </c>
      <c r="D35" s="55"/>
      <c r="E35" s="55" t="str">
        <f>IFERROR(VLOOKUP($D35,烤漆色號編碼!$A:$C,3,FALSE),"-")</f>
        <v>-</v>
      </c>
      <c r="F35" s="55" t="str">
        <f>IFERROR(VLOOKUP($D35,烤漆色號編碼!$A:$C,2,FALSE),"-")</f>
        <v>-</v>
      </c>
      <c r="G35" s="55"/>
      <c r="H35" s="55"/>
      <c r="I35" s="55" t="str">
        <f>IFERROR(VLOOKUP($D35,烤漆色號編碼!$A:$D,4,FALSE)*G35+H35,"-")</f>
        <v>-</v>
      </c>
      <c r="J35" s="55">
        <v>2025</v>
      </c>
      <c r="K35" s="160">
        <v>12</v>
      </c>
    </row>
    <row r="36" spans="1:11" ht="13.5" customHeight="1" x14ac:dyDescent="0.15">
      <c r="A36" s="141"/>
      <c r="B36" s="149">
        <v>33</v>
      </c>
      <c r="C36" s="79" t="str">
        <f t="shared" ca="1" si="0"/>
        <v/>
      </c>
      <c r="D36" s="55"/>
      <c r="E36" s="55" t="str">
        <f>IFERROR(VLOOKUP($D36,烤漆色號編碼!$A:$C,3,FALSE),"-")</f>
        <v>-</v>
      </c>
      <c r="F36" s="55" t="str">
        <f>IFERROR(VLOOKUP($D36,烤漆色號編碼!$A:$C,2,FALSE),"-")</f>
        <v>-</v>
      </c>
      <c r="G36" s="55"/>
      <c r="H36" s="55"/>
      <c r="I36" s="55" t="str">
        <f>IFERROR(VLOOKUP($D36,烤漆色號編碼!$A:$D,4,FALSE)*G36+H36,"-")</f>
        <v>-</v>
      </c>
      <c r="J36" s="55">
        <v>2025</v>
      </c>
      <c r="K36" s="159">
        <v>12</v>
      </c>
    </row>
    <row r="37" spans="1:11" ht="13.5" customHeight="1" x14ac:dyDescent="0.15">
      <c r="A37" s="141"/>
      <c r="B37" s="149">
        <v>34</v>
      </c>
      <c r="C37" s="79" t="str">
        <f t="shared" ca="1" si="0"/>
        <v/>
      </c>
      <c r="D37" s="55"/>
      <c r="E37" s="55" t="str">
        <f>IFERROR(VLOOKUP($D37,烤漆色號編碼!$A:$C,3,FALSE),"-")</f>
        <v>-</v>
      </c>
      <c r="F37" s="55" t="str">
        <f>IFERROR(VLOOKUP($D37,烤漆色號編碼!$A:$C,2,FALSE),"-")</f>
        <v>-</v>
      </c>
      <c r="G37" s="55"/>
      <c r="H37" s="55"/>
      <c r="I37" s="55" t="str">
        <f>IFERROR(VLOOKUP($D37,烤漆色號編碼!$A:$D,4,FALSE)*G37+H37,"-")</f>
        <v>-</v>
      </c>
      <c r="J37" s="55">
        <v>2025</v>
      </c>
      <c r="K37" s="160">
        <v>12</v>
      </c>
    </row>
    <row r="38" spans="1:11" ht="13.5" customHeight="1" x14ac:dyDescent="0.15">
      <c r="A38" s="141"/>
      <c r="B38" s="149">
        <v>35</v>
      </c>
      <c r="C38" s="79" t="str">
        <f t="shared" ca="1" si="0"/>
        <v/>
      </c>
      <c r="D38" s="55"/>
      <c r="E38" s="55" t="str">
        <f>IFERROR(VLOOKUP($D38,烤漆色號編碼!$A:$C,3,FALSE),"-")</f>
        <v>-</v>
      </c>
      <c r="F38" s="55" t="str">
        <f>IFERROR(VLOOKUP($D38,烤漆色號編碼!$A:$C,2,FALSE),"-")</f>
        <v>-</v>
      </c>
      <c r="G38" s="55"/>
      <c r="H38" s="55"/>
      <c r="I38" s="55" t="str">
        <f>IFERROR(VLOOKUP($D38,烤漆色號編碼!$A:$D,4,FALSE)*G38+H38,"-")</f>
        <v>-</v>
      </c>
      <c r="J38" s="55">
        <v>2025</v>
      </c>
      <c r="K38" s="159">
        <v>12</v>
      </c>
    </row>
    <row r="39" spans="1:11" ht="13.5" customHeight="1" x14ac:dyDescent="0.15">
      <c r="A39" s="141"/>
      <c r="B39" s="149">
        <v>36</v>
      </c>
      <c r="C39" s="79" t="str">
        <f t="shared" ca="1" si="0"/>
        <v/>
      </c>
      <c r="D39" s="55"/>
      <c r="E39" s="55" t="str">
        <f>IFERROR(VLOOKUP($D39,烤漆色號編碼!$A:$C,3,FALSE),"-")</f>
        <v>-</v>
      </c>
      <c r="F39" s="55" t="str">
        <f>IFERROR(VLOOKUP($D39,烤漆色號編碼!$A:$C,2,FALSE),"-")</f>
        <v>-</v>
      </c>
      <c r="G39" s="55"/>
      <c r="H39" s="55"/>
      <c r="I39" s="55" t="str">
        <f>IFERROR(VLOOKUP($D39,烤漆色號編碼!$A:$D,4,FALSE)*G39+H39,"-")</f>
        <v>-</v>
      </c>
      <c r="J39" s="55">
        <v>2025</v>
      </c>
      <c r="K39" s="160">
        <v>12</v>
      </c>
    </row>
    <row r="40" spans="1:11" ht="13.5" customHeight="1" x14ac:dyDescent="0.15">
      <c r="A40" s="141"/>
      <c r="B40" s="149">
        <v>37</v>
      </c>
      <c r="C40" s="79" t="str">
        <f t="shared" ca="1" si="0"/>
        <v/>
      </c>
      <c r="D40" s="55"/>
      <c r="E40" s="55" t="str">
        <f>IFERROR(VLOOKUP($D40,烤漆色號編碼!$A:$C,3,FALSE),"-")</f>
        <v>-</v>
      </c>
      <c r="F40" s="55" t="str">
        <f>IFERROR(VLOOKUP($D40,烤漆色號編碼!$A:$C,2,FALSE),"-")</f>
        <v>-</v>
      </c>
      <c r="G40" s="55"/>
      <c r="H40" s="55"/>
      <c r="I40" s="55" t="str">
        <f>IFERROR(VLOOKUP($D40,烤漆色號編碼!$A:$D,4,FALSE)*G40+H40,"-")</f>
        <v>-</v>
      </c>
      <c r="J40" s="55">
        <v>2025</v>
      </c>
      <c r="K40" s="159">
        <v>12</v>
      </c>
    </row>
    <row r="41" spans="1:11" ht="13.5" customHeight="1" x14ac:dyDescent="0.15">
      <c r="A41" s="141"/>
      <c r="B41" s="149">
        <v>38</v>
      </c>
      <c r="C41" s="79" t="str">
        <f t="shared" ca="1" si="0"/>
        <v/>
      </c>
      <c r="D41" s="55"/>
      <c r="E41" s="55" t="str">
        <f>IFERROR(VLOOKUP($D41,烤漆色號編碼!$A:$C,3,FALSE),"-")</f>
        <v>-</v>
      </c>
      <c r="F41" s="55" t="str">
        <f>IFERROR(VLOOKUP($D41,烤漆色號編碼!$A:$C,2,FALSE),"-")</f>
        <v>-</v>
      </c>
      <c r="G41" s="55"/>
      <c r="H41" s="55"/>
      <c r="I41" s="55" t="str">
        <f>IFERROR(VLOOKUP($D41,烤漆色號編碼!$A:$D,4,FALSE)*G41+H41,"-")</f>
        <v>-</v>
      </c>
      <c r="J41" s="55">
        <v>2025</v>
      </c>
      <c r="K41" s="160">
        <v>12</v>
      </c>
    </row>
    <row r="42" spans="1:11" ht="13.5" customHeight="1" x14ac:dyDescent="0.15">
      <c r="A42" s="141"/>
      <c r="B42" s="149">
        <v>39</v>
      </c>
      <c r="C42" s="79" t="str">
        <f t="shared" ca="1" si="0"/>
        <v/>
      </c>
      <c r="D42" s="55"/>
      <c r="E42" s="55" t="str">
        <f>IFERROR(VLOOKUP($D42,烤漆色號編碼!$A:$C,3,FALSE),"-")</f>
        <v>-</v>
      </c>
      <c r="F42" s="55" t="str">
        <f>IFERROR(VLOOKUP($D42,烤漆色號編碼!$A:$C,2,FALSE),"-")</f>
        <v>-</v>
      </c>
      <c r="G42" s="55"/>
      <c r="H42" s="55"/>
      <c r="I42" s="55" t="str">
        <f>IFERROR(VLOOKUP($D42,烤漆色號編碼!$A:$D,4,FALSE)*G42+H42,"-")</f>
        <v>-</v>
      </c>
      <c r="J42" s="55">
        <v>2025</v>
      </c>
      <c r="K42" s="159">
        <v>12</v>
      </c>
    </row>
    <row r="43" spans="1:11" ht="13.5" customHeight="1" x14ac:dyDescent="0.15">
      <c r="A43" s="141"/>
      <c r="B43" s="149">
        <v>40</v>
      </c>
      <c r="C43" s="79"/>
      <c r="D43" s="55"/>
      <c r="E43" s="55" t="str">
        <f>IFERROR(VLOOKUP($D43,烤漆色號編碼!$A:$C,3,FALSE),"-")</f>
        <v>-</v>
      </c>
      <c r="F43" s="55" t="str">
        <f>IFERROR(VLOOKUP($D43,烤漆色號編碼!$A:$C,2,FALSE),"-")</f>
        <v>-</v>
      </c>
      <c r="G43" s="55"/>
      <c r="H43" s="55"/>
      <c r="I43" s="55" t="str">
        <f>IFERROR(VLOOKUP($D43,烤漆色號編碼!$A:$D,4,FALSE)*G43+H43,"-")</f>
        <v>-</v>
      </c>
      <c r="J43" s="55">
        <v>2025</v>
      </c>
      <c r="K43" s="160">
        <v>12</v>
      </c>
    </row>
    <row r="44" spans="1:11" ht="13.5" customHeight="1" x14ac:dyDescent="0.15">
      <c r="A44" s="141"/>
      <c r="B44" s="149">
        <v>41</v>
      </c>
      <c r="C44" s="79"/>
      <c r="D44" s="55"/>
      <c r="E44" s="55" t="str">
        <f>IFERROR(VLOOKUP($D44,烤漆色號編碼!$A:$C,3,FALSE),"-")</f>
        <v>-</v>
      </c>
      <c r="F44" s="55" t="str">
        <f>IFERROR(VLOOKUP($D44,烤漆色號編碼!$A:$C,2,FALSE),"-")</f>
        <v>-</v>
      </c>
      <c r="G44" s="55"/>
      <c r="H44" s="55"/>
      <c r="I44" s="55" t="str">
        <f>IFERROR(VLOOKUP($D44,烤漆色號編碼!$A:$D,4,FALSE)*G44+H44,"-")</f>
        <v>-</v>
      </c>
      <c r="J44" s="55">
        <v>2025</v>
      </c>
      <c r="K44" s="159">
        <v>12</v>
      </c>
    </row>
    <row r="45" spans="1:11" ht="13.5" customHeight="1" x14ac:dyDescent="0.15">
      <c r="A45" s="141"/>
      <c r="B45" s="149">
        <v>42</v>
      </c>
      <c r="C45" s="79"/>
      <c r="D45" s="55"/>
      <c r="E45" s="55" t="str">
        <f>IFERROR(VLOOKUP($D45,烤漆色號編碼!$A:$C,3,FALSE),"-")</f>
        <v>-</v>
      </c>
      <c r="F45" s="55" t="str">
        <f>IFERROR(VLOOKUP($D45,烤漆色號編碼!$A:$C,2,FALSE),"-")</f>
        <v>-</v>
      </c>
      <c r="G45" s="55"/>
      <c r="H45" s="55"/>
      <c r="I45" s="55" t="str">
        <f>IFERROR(VLOOKUP($D45,烤漆色號編碼!$A:$D,4,FALSE)*G45+H45,"-")</f>
        <v>-</v>
      </c>
      <c r="J45" s="55">
        <v>2025</v>
      </c>
      <c r="K45" s="160">
        <v>12</v>
      </c>
    </row>
    <row r="46" spans="1:11" ht="13.5" customHeight="1" x14ac:dyDescent="0.15">
      <c r="A46" s="141"/>
      <c r="B46" s="149">
        <v>43</v>
      </c>
      <c r="C46" s="79"/>
      <c r="D46" s="55"/>
      <c r="E46" s="55" t="str">
        <f>IFERROR(VLOOKUP($D46,烤漆色號編碼!$A:$C,3,FALSE),"-")</f>
        <v>-</v>
      </c>
      <c r="F46" s="55" t="str">
        <f>IFERROR(VLOOKUP($D46,烤漆色號編碼!$A:$C,2,FALSE),"-")</f>
        <v>-</v>
      </c>
      <c r="G46" s="55"/>
      <c r="H46" s="55"/>
      <c r="I46" s="55" t="str">
        <f>IFERROR(VLOOKUP($D46,烤漆色號編碼!$A:$D,4,FALSE)*G46+H46,"-")</f>
        <v>-</v>
      </c>
      <c r="J46" s="55">
        <v>2025</v>
      </c>
      <c r="K46" s="159">
        <v>12</v>
      </c>
    </row>
    <row r="47" spans="1:11" ht="13.5" customHeight="1" x14ac:dyDescent="0.15">
      <c r="A47" s="141"/>
      <c r="B47" s="149">
        <v>44</v>
      </c>
      <c r="C47" s="79"/>
      <c r="D47" s="55"/>
      <c r="E47" s="55" t="str">
        <f>IFERROR(VLOOKUP($D47,烤漆色號編碼!$A:$C,3,FALSE),"-")</f>
        <v>-</v>
      </c>
      <c r="F47" s="55" t="str">
        <f>IFERROR(VLOOKUP($D47,烤漆色號編碼!$A:$C,2,FALSE),"-")</f>
        <v>-</v>
      </c>
      <c r="G47" s="55"/>
      <c r="H47" s="55"/>
      <c r="I47" s="55" t="str">
        <f>IFERROR(VLOOKUP($D47,烤漆色號編碼!$A:$D,4,FALSE)*G47+H47,"-")</f>
        <v>-</v>
      </c>
      <c r="J47" s="55">
        <v>2025</v>
      </c>
      <c r="K47" s="160">
        <v>12</v>
      </c>
    </row>
    <row r="48" spans="1:11" ht="13.5" customHeight="1" x14ac:dyDescent="0.15">
      <c r="A48" s="141"/>
      <c r="B48" s="149">
        <v>45</v>
      </c>
      <c r="C48" s="79"/>
      <c r="D48" s="55"/>
      <c r="E48" s="55" t="s">
        <v>368</v>
      </c>
      <c r="F48" s="55" t="s">
        <v>367</v>
      </c>
      <c r="G48" s="55"/>
      <c r="H48" s="55"/>
      <c r="I48" s="55" t="str">
        <f>IFERROR(VLOOKUP($D48,烤漆色號編碼!$A:$D,4,FALSE)*G48+H48,"-")</f>
        <v>-</v>
      </c>
      <c r="J48" s="55">
        <v>2025</v>
      </c>
      <c r="K48" s="159">
        <v>12</v>
      </c>
    </row>
    <row r="49" spans="1:11" ht="13.5" customHeight="1" x14ac:dyDescent="0.15">
      <c r="A49" s="141"/>
      <c r="B49" s="149">
        <v>46</v>
      </c>
      <c r="C49" s="79"/>
      <c r="D49" s="55"/>
      <c r="E49" s="55" t="s">
        <v>368</v>
      </c>
      <c r="F49" s="55" t="s">
        <v>367</v>
      </c>
      <c r="G49" s="55"/>
      <c r="H49" s="55"/>
      <c r="I49" s="55" t="str">
        <f>IFERROR(VLOOKUP($D49,烤漆色號編碼!$A:$D,4,FALSE)*G49+H49,"-")</f>
        <v>-</v>
      </c>
      <c r="J49" s="55">
        <v>2025</v>
      </c>
      <c r="K49" s="160">
        <v>12</v>
      </c>
    </row>
    <row r="50" spans="1:11" ht="13.5" customHeight="1" x14ac:dyDescent="0.15">
      <c r="A50" s="141"/>
      <c r="B50" s="149">
        <v>47</v>
      </c>
      <c r="C50" s="79"/>
      <c r="D50" s="55"/>
      <c r="E50" s="55" t="s">
        <v>368</v>
      </c>
      <c r="F50" s="55" t="s">
        <v>367</v>
      </c>
      <c r="G50" s="55"/>
      <c r="H50" s="55"/>
      <c r="I50" s="55" t="str">
        <f>IFERROR(VLOOKUP($D50,烤漆色號編碼!$A:$D,4,FALSE)*G50+H50,"-")</f>
        <v>-</v>
      </c>
      <c r="J50" s="55">
        <v>2025</v>
      </c>
      <c r="K50" s="159">
        <v>12</v>
      </c>
    </row>
    <row r="51" spans="1:11" ht="13.5" customHeight="1" x14ac:dyDescent="0.15">
      <c r="A51" s="141"/>
      <c r="B51" s="149">
        <v>48</v>
      </c>
      <c r="C51" s="79"/>
      <c r="D51" s="55"/>
      <c r="E51" s="55" t="s">
        <v>368</v>
      </c>
      <c r="F51" s="55" t="s">
        <v>367</v>
      </c>
      <c r="G51" s="55"/>
      <c r="H51" s="55"/>
      <c r="I51" s="55" t="str">
        <f>IFERROR(VLOOKUP($D51,烤漆色號編碼!$A:$D,4,FALSE)*G51+H51,"-")</f>
        <v>-</v>
      </c>
      <c r="J51" s="55">
        <v>2025</v>
      </c>
      <c r="K51" s="160">
        <v>12</v>
      </c>
    </row>
    <row r="52" spans="1:11" ht="13.5" customHeight="1" x14ac:dyDescent="0.15">
      <c r="A52" s="141"/>
      <c r="B52" s="149">
        <v>49</v>
      </c>
      <c r="C52" s="79"/>
      <c r="D52" s="55"/>
      <c r="E52" s="55" t="s">
        <v>368</v>
      </c>
      <c r="F52" s="55" t="s">
        <v>367</v>
      </c>
      <c r="G52" s="55"/>
      <c r="H52" s="55"/>
      <c r="I52" s="55" t="str">
        <f>IFERROR(VLOOKUP($D52,烤漆色號編碼!$A:$D,4,FALSE)*G52+H52,"-")</f>
        <v>-</v>
      </c>
      <c r="J52" s="55">
        <v>2025</v>
      </c>
      <c r="K52" s="159">
        <v>12</v>
      </c>
    </row>
    <row r="53" spans="1:11" ht="13.5" customHeight="1" x14ac:dyDescent="0.15">
      <c r="A53" s="141"/>
      <c r="B53" s="149">
        <v>50</v>
      </c>
      <c r="C53" s="79"/>
      <c r="D53" s="55"/>
      <c r="E53" s="55" t="s">
        <v>368</v>
      </c>
      <c r="F53" s="55" t="s">
        <v>367</v>
      </c>
      <c r="G53" s="55"/>
      <c r="H53" s="55"/>
      <c r="I53" s="55" t="str">
        <f>IFERROR(VLOOKUP($D53,烤漆色號編碼!$A:$D,4,FALSE)*G53+H53,"-")</f>
        <v>-</v>
      </c>
      <c r="J53" s="55">
        <v>2025</v>
      </c>
      <c r="K53" s="160">
        <v>12</v>
      </c>
    </row>
    <row r="54" spans="1:11" ht="13.5" customHeight="1" x14ac:dyDescent="0.15">
      <c r="A54" s="141"/>
      <c r="B54" s="149">
        <v>51</v>
      </c>
      <c r="C54" s="79"/>
      <c r="D54" s="55"/>
      <c r="E54" s="55" t="s">
        <v>367</v>
      </c>
      <c r="F54" s="55" t="s">
        <v>367</v>
      </c>
      <c r="G54" s="55"/>
      <c r="H54" s="55"/>
      <c r="I54" s="55" t="str">
        <f>IFERROR(VLOOKUP($D54,烤漆色號編碼!$A:$D,4,FALSE)*G54+H54,"-")</f>
        <v>-</v>
      </c>
      <c r="J54" s="55">
        <v>2025</v>
      </c>
      <c r="K54" s="159">
        <v>12</v>
      </c>
    </row>
    <row r="55" spans="1:11" ht="13.5" customHeight="1" x14ac:dyDescent="0.15">
      <c r="A55" s="141"/>
      <c r="B55" s="149">
        <v>52</v>
      </c>
      <c r="C55" s="79"/>
      <c r="D55" s="55"/>
      <c r="E55" s="55" t="s">
        <v>367</v>
      </c>
      <c r="F55" s="55" t="s">
        <v>367</v>
      </c>
      <c r="G55" s="55"/>
      <c r="H55" s="55"/>
      <c r="I55" s="55" t="str">
        <f>IFERROR(VLOOKUP($D55,烤漆色號編碼!$A:$D,4,FALSE)*G55+H55,"-")</f>
        <v>-</v>
      </c>
      <c r="J55" s="55">
        <v>2025</v>
      </c>
      <c r="K55" s="160">
        <v>12</v>
      </c>
    </row>
    <row r="56" spans="1:11" ht="13.5" customHeight="1" x14ac:dyDescent="0.15">
      <c r="A56" s="141"/>
      <c r="B56" s="149">
        <v>53</v>
      </c>
      <c r="C56" s="79"/>
      <c r="D56" s="55"/>
      <c r="E56" s="55" t="s">
        <v>367</v>
      </c>
      <c r="F56" s="55" t="s">
        <v>367</v>
      </c>
      <c r="G56" s="55"/>
      <c r="H56" s="55"/>
      <c r="I56" s="55" t="str">
        <f>IFERROR(VLOOKUP($D56,烤漆色號編碼!$A:$D,4,FALSE)*G56+H56,"-")</f>
        <v>-</v>
      </c>
      <c r="J56" s="55">
        <v>2025</v>
      </c>
      <c r="K56" s="159">
        <v>12</v>
      </c>
    </row>
    <row r="57" spans="1:11" ht="13.5" customHeight="1" x14ac:dyDescent="0.15">
      <c r="A57" s="141"/>
      <c r="B57" s="149">
        <v>54</v>
      </c>
      <c r="C57" s="79"/>
      <c r="D57" s="55"/>
      <c r="E57" s="55" t="s">
        <v>367</v>
      </c>
      <c r="F57" s="55" t="s">
        <v>367</v>
      </c>
      <c r="G57" s="55"/>
      <c r="H57" s="55"/>
      <c r="I57" s="55" t="str">
        <f>IFERROR(VLOOKUP($D57,烤漆色號編碼!$A:$D,4,FALSE)*G57+H57,"-")</f>
        <v>-</v>
      </c>
      <c r="J57" s="55">
        <v>2025</v>
      </c>
      <c r="K57" s="160">
        <v>12</v>
      </c>
    </row>
    <row r="58" spans="1:11" ht="13.5" customHeight="1" x14ac:dyDescent="0.15">
      <c r="A58" s="141"/>
      <c r="B58" s="149">
        <v>55</v>
      </c>
      <c r="C58" s="79"/>
      <c r="D58" s="55"/>
      <c r="E58" s="55" t="s">
        <v>367</v>
      </c>
      <c r="F58" s="55" t="s">
        <v>367</v>
      </c>
      <c r="G58" s="55"/>
      <c r="H58" s="55"/>
      <c r="I58" s="55" t="str">
        <f>IFERROR(VLOOKUP($D58,烤漆色號編碼!$A:$D,4,FALSE)*G58+H58,"-")</f>
        <v>-</v>
      </c>
      <c r="J58" s="55">
        <v>2025</v>
      </c>
      <c r="K58" s="159">
        <v>12</v>
      </c>
    </row>
    <row r="59" spans="1:11" ht="13.5" customHeight="1" x14ac:dyDescent="0.15">
      <c r="A59" s="141"/>
      <c r="B59" s="149">
        <v>56</v>
      </c>
      <c r="C59" s="79"/>
      <c r="D59" s="55"/>
      <c r="E59" s="55" t="s">
        <v>367</v>
      </c>
      <c r="F59" s="55" t="s">
        <v>367</v>
      </c>
      <c r="G59" s="55"/>
      <c r="H59" s="55"/>
      <c r="I59" s="55" t="str">
        <f>IFERROR(VLOOKUP($D59,烤漆色號編碼!$A:$D,4,FALSE)*G59+H59,"-")</f>
        <v>-</v>
      </c>
      <c r="J59" s="55">
        <v>2025</v>
      </c>
      <c r="K59" s="160">
        <v>12</v>
      </c>
    </row>
    <row r="60" spans="1:11" ht="13.5" customHeight="1" x14ac:dyDescent="0.15">
      <c r="A60" s="141"/>
      <c r="B60" s="149">
        <v>57</v>
      </c>
      <c r="C60" s="79"/>
      <c r="D60" s="55"/>
      <c r="E60" s="55" t="s">
        <v>367</v>
      </c>
      <c r="F60" s="55" t="s">
        <v>367</v>
      </c>
      <c r="G60" s="55"/>
      <c r="H60" s="55"/>
      <c r="I60" s="55" t="str">
        <f>IFERROR(VLOOKUP($D60,烤漆色號編碼!$A:$D,4,FALSE)*G60+H60,"-")</f>
        <v>-</v>
      </c>
      <c r="J60" s="55">
        <v>2025</v>
      </c>
      <c r="K60" s="159">
        <v>12</v>
      </c>
    </row>
    <row r="61" spans="1:11" ht="13.5" customHeight="1" x14ac:dyDescent="0.15">
      <c r="A61" s="141"/>
      <c r="B61" s="149">
        <v>58</v>
      </c>
      <c r="C61" s="79"/>
      <c r="D61" s="55"/>
      <c r="E61" s="55" t="s">
        <v>367</v>
      </c>
      <c r="F61" s="55" t="s">
        <v>367</v>
      </c>
      <c r="G61" s="55"/>
      <c r="H61" s="55"/>
      <c r="I61" s="55" t="str">
        <f>IFERROR(VLOOKUP($D61,烤漆色號編碼!$A:$D,4,FALSE)*G61+H61,"-")</f>
        <v>-</v>
      </c>
      <c r="J61" s="55">
        <v>2025</v>
      </c>
      <c r="K61" s="160">
        <v>12</v>
      </c>
    </row>
    <row r="62" spans="1:11" ht="13.5" customHeight="1" x14ac:dyDescent="0.15">
      <c r="A62" s="141"/>
      <c r="B62" s="149">
        <v>59</v>
      </c>
      <c r="C62" s="79"/>
      <c r="D62" s="55"/>
      <c r="E62" s="55" t="s">
        <v>367</v>
      </c>
      <c r="F62" s="55" t="s">
        <v>367</v>
      </c>
      <c r="G62" s="55"/>
      <c r="H62" s="55"/>
      <c r="I62" s="55" t="str">
        <f>IFERROR(VLOOKUP($D62,烤漆色號編碼!$A:$D,4,FALSE)*G62+H62,"-")</f>
        <v>-</v>
      </c>
      <c r="J62" s="55">
        <v>2025</v>
      </c>
      <c r="K62" s="159">
        <v>12</v>
      </c>
    </row>
    <row r="63" spans="1:11" ht="13.5" customHeight="1" x14ac:dyDescent="0.15">
      <c r="A63" s="141"/>
      <c r="B63" s="149">
        <v>60</v>
      </c>
      <c r="C63" s="79"/>
      <c r="D63" s="55"/>
      <c r="E63" s="55" t="s">
        <v>367</v>
      </c>
      <c r="F63" s="55" t="s">
        <v>367</v>
      </c>
      <c r="G63" s="55"/>
      <c r="H63" s="55"/>
      <c r="I63" s="55" t="str">
        <f>IFERROR(VLOOKUP($D63,烤漆色號編碼!$A:$D,4,FALSE)*G63+H63,"-")</f>
        <v>-</v>
      </c>
      <c r="J63" s="55">
        <v>2025</v>
      </c>
      <c r="K63" s="160">
        <v>12</v>
      </c>
    </row>
    <row r="64" spans="1:11" ht="13.5" customHeight="1" x14ac:dyDescent="0.15">
      <c r="A64" s="141"/>
      <c r="B64" s="149">
        <v>61</v>
      </c>
      <c r="C64" s="79"/>
      <c r="D64" s="55"/>
      <c r="E64" s="55" t="s">
        <v>367</v>
      </c>
      <c r="F64" s="55" t="s">
        <v>367</v>
      </c>
      <c r="G64" s="55"/>
      <c r="H64" s="55"/>
      <c r="I64" s="55" t="str">
        <f>IFERROR(VLOOKUP($D64,烤漆色號編碼!$A:$D,4,FALSE)*G64+H64,"-")</f>
        <v>-</v>
      </c>
      <c r="J64" s="55">
        <v>2025</v>
      </c>
      <c r="K64" s="159">
        <v>12</v>
      </c>
    </row>
    <row r="65" spans="1:11" ht="13.5" customHeight="1" x14ac:dyDescent="0.15">
      <c r="A65" s="141"/>
      <c r="B65" s="149">
        <v>62</v>
      </c>
      <c r="C65" s="79"/>
      <c r="D65" s="55"/>
      <c r="E65" s="55" t="s">
        <v>367</v>
      </c>
      <c r="F65" s="55" t="s">
        <v>367</v>
      </c>
      <c r="G65" s="55"/>
      <c r="H65" s="55"/>
      <c r="I65" s="55" t="str">
        <f>IFERROR(VLOOKUP($D65,烤漆色號編碼!$A:$D,4,FALSE)*G65+H65,"-")</f>
        <v>-</v>
      </c>
      <c r="J65" s="55">
        <v>2025</v>
      </c>
      <c r="K65" s="160">
        <v>12</v>
      </c>
    </row>
    <row r="66" spans="1:11" ht="13.5" customHeight="1" x14ac:dyDescent="0.15">
      <c r="A66" s="141"/>
      <c r="B66" s="149">
        <v>63</v>
      </c>
      <c r="C66" s="79"/>
      <c r="D66" s="55"/>
      <c r="E66" s="55" t="s">
        <v>367</v>
      </c>
      <c r="F66" s="55" t="s">
        <v>367</v>
      </c>
      <c r="G66" s="55"/>
      <c r="H66" s="55"/>
      <c r="I66" s="55" t="str">
        <f>IFERROR(VLOOKUP($D66,烤漆色號編碼!$A:$D,4,FALSE)*G66+H66,"-")</f>
        <v>-</v>
      </c>
      <c r="J66" s="55">
        <v>2025</v>
      </c>
      <c r="K66" s="159">
        <v>12</v>
      </c>
    </row>
    <row r="67" spans="1:11" ht="13.5" customHeight="1" x14ac:dyDescent="0.15">
      <c r="A67" s="141"/>
      <c r="B67" s="149">
        <v>64</v>
      </c>
      <c r="C67" s="79"/>
      <c r="D67" s="55"/>
      <c r="E67" s="55" t="s">
        <v>367</v>
      </c>
      <c r="F67" s="55" t="s">
        <v>367</v>
      </c>
      <c r="G67" s="55"/>
      <c r="H67" s="55"/>
      <c r="I67" s="55" t="str">
        <f>IFERROR(VLOOKUP($D67,烤漆色號編碼!$A:$D,4,FALSE)*G67+H67,"-")</f>
        <v>-</v>
      </c>
      <c r="J67" s="55">
        <v>2025</v>
      </c>
      <c r="K67" s="160">
        <v>12</v>
      </c>
    </row>
    <row r="68" spans="1:11" ht="13.5" customHeight="1" x14ac:dyDescent="0.15">
      <c r="A68" s="141"/>
      <c r="B68" s="149">
        <v>65</v>
      </c>
      <c r="C68" s="79"/>
      <c r="D68" s="55"/>
      <c r="E68" s="55" t="s">
        <v>367</v>
      </c>
      <c r="F68" s="55" t="s">
        <v>367</v>
      </c>
      <c r="G68" s="55"/>
      <c r="H68" s="55"/>
      <c r="I68" s="55" t="str">
        <f>IFERROR(VLOOKUP($D68,烤漆色號編碼!$A:$D,4,FALSE)*G68+H68,"-")</f>
        <v>-</v>
      </c>
      <c r="J68" s="55">
        <v>2025</v>
      </c>
      <c r="K68" s="159">
        <v>12</v>
      </c>
    </row>
    <row r="69" spans="1:11" ht="13.5" customHeight="1" x14ac:dyDescent="0.15">
      <c r="A69" s="141"/>
      <c r="B69" s="149">
        <v>66</v>
      </c>
      <c r="C69" s="79"/>
      <c r="D69" s="55"/>
      <c r="E69" s="55" t="s">
        <v>367</v>
      </c>
      <c r="F69" s="55" t="s">
        <v>367</v>
      </c>
      <c r="G69" s="55"/>
      <c r="H69" s="55"/>
      <c r="I69" s="55" t="str">
        <f>IFERROR(VLOOKUP($D69,烤漆色號編碼!$A:$D,4,FALSE)*G69+H69,"-")</f>
        <v>-</v>
      </c>
      <c r="J69" s="55">
        <v>2025</v>
      </c>
      <c r="K69" s="160">
        <v>12</v>
      </c>
    </row>
    <row r="70" spans="1:11" ht="13.5" customHeight="1" x14ac:dyDescent="0.15">
      <c r="A70" s="141"/>
      <c r="B70" s="149">
        <v>67</v>
      </c>
      <c r="C70" s="79"/>
      <c r="D70" s="55"/>
      <c r="E70" s="55" t="s">
        <v>367</v>
      </c>
      <c r="F70" s="55" t="s">
        <v>367</v>
      </c>
      <c r="G70" s="55"/>
      <c r="H70" s="55"/>
      <c r="I70" s="55" t="str">
        <f>IFERROR(VLOOKUP($D70,烤漆色號編碼!$A:$D,4,FALSE)*G70+H70,"-")</f>
        <v>-</v>
      </c>
      <c r="J70" s="55">
        <v>2025</v>
      </c>
      <c r="K70" s="159">
        <v>12</v>
      </c>
    </row>
    <row r="71" spans="1:11" ht="13.5" customHeight="1" x14ac:dyDescent="0.15">
      <c r="A71" s="141"/>
      <c r="B71" s="149">
        <v>68</v>
      </c>
      <c r="C71" s="79"/>
      <c r="D71" s="55"/>
      <c r="E71" s="55" t="s">
        <v>367</v>
      </c>
      <c r="F71" s="55" t="s">
        <v>367</v>
      </c>
      <c r="G71" s="55"/>
      <c r="H71" s="55"/>
      <c r="I71" s="55" t="str">
        <f>IFERROR(VLOOKUP($D71,烤漆色號編碼!$A:$D,4,FALSE)*G71+H71,"-")</f>
        <v>-</v>
      </c>
      <c r="J71" s="55">
        <v>2025</v>
      </c>
      <c r="K71" s="160">
        <v>12</v>
      </c>
    </row>
    <row r="72" spans="1:11" ht="13.5" customHeight="1" x14ac:dyDescent="0.15">
      <c r="A72" s="141"/>
      <c r="B72" s="149">
        <v>69</v>
      </c>
      <c r="C72" s="79"/>
      <c r="D72" s="55"/>
      <c r="E72" s="55" t="s">
        <v>367</v>
      </c>
      <c r="F72" s="55" t="s">
        <v>367</v>
      </c>
      <c r="G72" s="55"/>
      <c r="H72" s="55"/>
      <c r="I72" s="55" t="str">
        <f>IFERROR(VLOOKUP($D72,烤漆色號編碼!$A:$D,4,FALSE)*G72+H72,"-")</f>
        <v>-</v>
      </c>
      <c r="J72" s="55">
        <v>2025</v>
      </c>
      <c r="K72" s="159">
        <v>12</v>
      </c>
    </row>
    <row r="73" spans="1:11" ht="13.5" customHeight="1" x14ac:dyDescent="0.15">
      <c r="A73" s="141"/>
      <c r="B73" s="149">
        <v>70</v>
      </c>
      <c r="C73" s="79"/>
      <c r="D73" s="55"/>
      <c r="E73" s="55" t="s">
        <v>367</v>
      </c>
      <c r="F73" s="55" t="s">
        <v>367</v>
      </c>
      <c r="G73" s="55"/>
      <c r="H73" s="55"/>
      <c r="I73" s="55" t="str">
        <f>IFERROR(VLOOKUP($D73,烤漆色號編碼!$A:$D,4,FALSE)*G73+H73,"-")</f>
        <v>-</v>
      </c>
      <c r="J73" s="55">
        <v>2025</v>
      </c>
      <c r="K73" s="160">
        <v>12</v>
      </c>
    </row>
    <row r="74" spans="1:11" ht="13.5" customHeight="1" x14ac:dyDescent="0.15">
      <c r="A74" s="141"/>
      <c r="B74" s="149">
        <v>71</v>
      </c>
      <c r="C74" s="79"/>
      <c r="D74" s="55"/>
      <c r="E74" s="55" t="s">
        <v>367</v>
      </c>
      <c r="F74" s="55" t="s">
        <v>367</v>
      </c>
      <c r="G74" s="55"/>
      <c r="H74" s="55"/>
      <c r="I74" s="55" t="str">
        <f>IFERROR(VLOOKUP($D74,烤漆色號編碼!$A:$D,4,FALSE)*G74+H74,"-")</f>
        <v>-</v>
      </c>
      <c r="J74" s="55">
        <v>2025</v>
      </c>
      <c r="K74" s="159">
        <v>12</v>
      </c>
    </row>
    <row r="75" spans="1:11" ht="13.5" customHeight="1" x14ac:dyDescent="0.15">
      <c r="A75" s="141"/>
      <c r="B75" s="149">
        <v>72</v>
      </c>
      <c r="C75" s="79"/>
      <c r="D75" s="55"/>
      <c r="E75" s="55" t="s">
        <v>367</v>
      </c>
      <c r="F75" s="55" t="s">
        <v>367</v>
      </c>
      <c r="G75" s="55"/>
      <c r="H75" s="55"/>
      <c r="I75" s="55" t="str">
        <f>IFERROR(VLOOKUP($D75,烤漆色號編碼!$A:$D,4,FALSE)*G75+H75,"-")</f>
        <v>-</v>
      </c>
      <c r="J75" s="55">
        <v>2025</v>
      </c>
      <c r="K75" s="160">
        <v>12</v>
      </c>
    </row>
    <row r="76" spans="1:11" ht="13.5" customHeight="1" x14ac:dyDescent="0.15">
      <c r="A76" s="141"/>
      <c r="B76" s="149">
        <v>73</v>
      </c>
      <c r="C76" s="79"/>
      <c r="D76" s="55"/>
      <c r="E76" s="55" t="s">
        <v>367</v>
      </c>
      <c r="F76" s="55" t="s">
        <v>367</v>
      </c>
      <c r="G76" s="55"/>
      <c r="H76" s="55"/>
      <c r="I76" s="55" t="str">
        <f>IFERROR(VLOOKUP($D76,烤漆色號編碼!$A:$D,4,FALSE)*G76+H76,"-")</f>
        <v>-</v>
      </c>
      <c r="J76" s="55">
        <v>2025</v>
      </c>
      <c r="K76" s="159">
        <v>12</v>
      </c>
    </row>
    <row r="77" spans="1:11" ht="13.5" customHeight="1" x14ac:dyDescent="0.15">
      <c r="A77" s="141"/>
      <c r="B77" s="149">
        <v>74</v>
      </c>
      <c r="C77" s="79"/>
      <c r="D77" s="55"/>
      <c r="E77" s="55" t="s">
        <v>367</v>
      </c>
      <c r="F77" s="55" t="s">
        <v>367</v>
      </c>
      <c r="G77" s="55"/>
      <c r="H77" s="55"/>
      <c r="I77" s="55" t="str">
        <f>IFERROR(VLOOKUP($D77,烤漆色號編碼!$A:$D,4,FALSE)*G77+H77,"-")</f>
        <v>-</v>
      </c>
      <c r="J77" s="55">
        <v>1899</v>
      </c>
      <c r="K77" s="160">
        <v>12</v>
      </c>
    </row>
    <row r="78" spans="1:11" ht="13.5" customHeight="1" x14ac:dyDescent="0.15">
      <c r="A78" s="141"/>
      <c r="B78" s="149">
        <v>75</v>
      </c>
      <c r="C78" s="79"/>
      <c r="D78" s="55"/>
      <c r="E78" s="55" t="s">
        <v>367</v>
      </c>
      <c r="F78" s="55" t="s">
        <v>367</v>
      </c>
      <c r="G78" s="55"/>
      <c r="H78" s="55"/>
      <c r="I78" s="55" t="str">
        <f>IFERROR(VLOOKUP($D78,烤漆色號編碼!$A:$D,4,FALSE)*G78+H78,"-")</f>
        <v>-</v>
      </c>
      <c r="J78" s="55">
        <v>1899</v>
      </c>
      <c r="K78" s="159">
        <v>12</v>
      </c>
    </row>
    <row r="79" spans="1:11" ht="13.5" customHeight="1" x14ac:dyDescent="0.15">
      <c r="A79" s="141"/>
      <c r="B79" s="149">
        <v>76</v>
      </c>
      <c r="C79" s="79"/>
      <c r="D79" s="55"/>
      <c r="E79" s="55" t="s">
        <v>367</v>
      </c>
      <c r="F79" s="55" t="s">
        <v>367</v>
      </c>
      <c r="G79" s="55"/>
      <c r="H79" s="55"/>
      <c r="I79" s="55" t="str">
        <f>IFERROR(VLOOKUP($D79,烤漆色號編碼!$A:$D,4,FALSE)*G79+H79,"-")</f>
        <v>-</v>
      </c>
      <c r="J79" s="55">
        <v>1899</v>
      </c>
      <c r="K79" s="160">
        <v>12</v>
      </c>
    </row>
    <row r="80" spans="1:11" ht="13.5" customHeight="1" x14ac:dyDescent="0.15">
      <c r="A80" s="141"/>
      <c r="B80" s="149">
        <v>77</v>
      </c>
      <c r="C80" s="79"/>
      <c r="D80" s="55"/>
      <c r="E80" s="55" t="s">
        <v>367</v>
      </c>
      <c r="F80" s="55" t="s">
        <v>367</v>
      </c>
      <c r="G80" s="55"/>
      <c r="H80" s="55"/>
      <c r="I80" s="55" t="str">
        <f>IFERROR(VLOOKUP($D80,烤漆色號編碼!$A:$D,4,FALSE)*G80+H80,"-")</f>
        <v>-</v>
      </c>
      <c r="J80" s="55">
        <v>1899</v>
      </c>
      <c r="K80" s="159">
        <v>12</v>
      </c>
    </row>
    <row r="81" spans="1:11" ht="13.5" customHeight="1" x14ac:dyDescent="0.15">
      <c r="A81" s="141"/>
      <c r="B81" s="149">
        <v>78</v>
      </c>
      <c r="C81" s="79"/>
      <c r="D81" s="55"/>
      <c r="E81" s="55" t="s">
        <v>367</v>
      </c>
      <c r="F81" s="55" t="s">
        <v>367</v>
      </c>
      <c r="G81" s="55"/>
      <c r="H81" s="55"/>
      <c r="I81" s="55" t="str">
        <f>IFERROR(VLOOKUP($D81,烤漆色號編碼!$A:$D,4,FALSE)*G81+H81,"-")</f>
        <v>-</v>
      </c>
      <c r="J81" s="55">
        <v>1899</v>
      </c>
      <c r="K81" s="160">
        <v>12</v>
      </c>
    </row>
    <row r="82" spans="1:11" ht="13.5" customHeight="1" x14ac:dyDescent="0.15">
      <c r="A82" s="141"/>
      <c r="B82" s="149">
        <v>79</v>
      </c>
      <c r="C82" s="79"/>
      <c r="D82" s="55"/>
      <c r="E82" s="55" t="s">
        <v>367</v>
      </c>
      <c r="F82" s="55" t="s">
        <v>367</v>
      </c>
      <c r="G82" s="55"/>
      <c r="H82" s="55"/>
      <c r="I82" s="55" t="str">
        <f>IFERROR(VLOOKUP($D82,烤漆色號編碼!$A:$D,4,FALSE)*G82+H82,"-")</f>
        <v>-</v>
      </c>
      <c r="J82" s="55">
        <v>1899</v>
      </c>
      <c r="K82" s="159">
        <v>12</v>
      </c>
    </row>
    <row r="83" spans="1:11" ht="13.5" customHeight="1" x14ac:dyDescent="0.15">
      <c r="A83" s="141"/>
      <c r="B83" s="149">
        <v>80</v>
      </c>
      <c r="C83" s="79"/>
      <c r="D83" s="55"/>
      <c r="E83" s="55" t="s">
        <v>367</v>
      </c>
      <c r="F83" s="55" t="s">
        <v>367</v>
      </c>
      <c r="G83" s="55"/>
      <c r="H83" s="55"/>
      <c r="I83" s="55" t="str">
        <f>IFERROR(VLOOKUP($D83,烤漆色號編碼!$A:$D,4,FALSE)*G83+H83,"-")</f>
        <v>-</v>
      </c>
      <c r="J83" s="55">
        <v>1899</v>
      </c>
      <c r="K83" s="160">
        <v>12</v>
      </c>
    </row>
    <row r="84" spans="1:11" ht="13.5" customHeight="1" x14ac:dyDescent="0.15">
      <c r="A84" s="141"/>
      <c r="B84" s="149">
        <v>81</v>
      </c>
      <c r="C84" s="79"/>
      <c r="D84" s="55"/>
      <c r="E84" s="55" t="s">
        <v>367</v>
      </c>
      <c r="F84" s="55" t="s">
        <v>367</v>
      </c>
      <c r="G84" s="55"/>
      <c r="H84" s="55"/>
      <c r="I84" s="55" t="str">
        <f>IFERROR(VLOOKUP($D84,烤漆色號編碼!$A:$D,4,FALSE)*G84+H84,"-")</f>
        <v>-</v>
      </c>
      <c r="J84" s="55">
        <v>1899</v>
      </c>
      <c r="K84" s="159">
        <v>12</v>
      </c>
    </row>
    <row r="85" spans="1:11" ht="13.5" customHeight="1" x14ac:dyDescent="0.15">
      <c r="A85" s="141"/>
      <c r="B85" s="149">
        <v>82</v>
      </c>
      <c r="C85" s="79"/>
      <c r="D85" s="55"/>
      <c r="E85" s="55" t="s">
        <v>367</v>
      </c>
      <c r="F85" s="55" t="s">
        <v>367</v>
      </c>
      <c r="G85" s="55"/>
      <c r="H85" s="55"/>
      <c r="I85" s="55" t="str">
        <f>IFERROR(VLOOKUP($D85,烤漆色號編碼!$A:$D,4,FALSE)*G85+H85,"-")</f>
        <v>-</v>
      </c>
      <c r="J85" s="55">
        <v>1899</v>
      </c>
      <c r="K85" s="160">
        <v>12</v>
      </c>
    </row>
    <row r="86" spans="1:11" ht="13.5" customHeight="1" x14ac:dyDescent="0.15">
      <c r="A86" s="141"/>
      <c r="B86" s="149">
        <v>83</v>
      </c>
      <c r="C86" s="79"/>
      <c r="D86" s="55"/>
      <c r="E86" s="55" t="s">
        <v>367</v>
      </c>
      <c r="F86" s="55" t="s">
        <v>367</v>
      </c>
      <c r="G86" s="55"/>
      <c r="H86" s="55"/>
      <c r="I86" s="55" t="str">
        <f>IFERROR(VLOOKUP($D86,烤漆色號編碼!$A:$D,4,FALSE)*G86+H86,"-")</f>
        <v>-</v>
      </c>
      <c r="J86" s="55">
        <v>1899</v>
      </c>
      <c r="K86" s="159">
        <v>12</v>
      </c>
    </row>
    <row r="87" spans="1:11" ht="13.5" customHeight="1" x14ac:dyDescent="0.15">
      <c r="A87" s="141"/>
      <c r="B87" s="149">
        <v>84</v>
      </c>
      <c r="C87" s="79"/>
      <c r="D87" s="55"/>
      <c r="E87" s="55" t="s">
        <v>367</v>
      </c>
      <c r="F87" s="55" t="s">
        <v>367</v>
      </c>
      <c r="G87" s="55"/>
      <c r="H87" s="55"/>
      <c r="I87" s="55" t="str">
        <f>IFERROR(VLOOKUP($D87,烤漆色號編碼!$A:$D,4,FALSE)*G87+H87,"-")</f>
        <v>-</v>
      </c>
      <c r="J87" s="55">
        <v>1899</v>
      </c>
      <c r="K87" s="160">
        <v>12</v>
      </c>
    </row>
    <row r="88" spans="1:11" ht="13.5" customHeight="1" x14ac:dyDescent="0.15">
      <c r="A88" s="141"/>
      <c r="B88" s="149">
        <v>85</v>
      </c>
      <c r="C88" s="79"/>
      <c r="D88" s="55"/>
      <c r="E88" s="55" t="s">
        <v>367</v>
      </c>
      <c r="F88" s="55" t="s">
        <v>367</v>
      </c>
      <c r="G88" s="55"/>
      <c r="H88" s="55"/>
      <c r="I88" s="55" t="str">
        <f>IFERROR(VLOOKUP($D88,烤漆色號編碼!$A:$D,4,FALSE)*G88+H88,"-")</f>
        <v>-</v>
      </c>
      <c r="J88" s="55">
        <v>1899</v>
      </c>
      <c r="K88" s="159">
        <v>12</v>
      </c>
    </row>
    <row r="89" spans="1:11" ht="13.5" customHeight="1" x14ac:dyDescent="0.15">
      <c r="A89" s="141"/>
      <c r="B89" s="149">
        <v>86</v>
      </c>
      <c r="C89" s="79"/>
      <c r="D89" s="55"/>
      <c r="E89" s="55" t="s">
        <v>367</v>
      </c>
      <c r="F89" s="55" t="s">
        <v>367</v>
      </c>
      <c r="G89" s="55"/>
      <c r="H89" s="55"/>
      <c r="I89" s="55" t="str">
        <f>IFERROR(VLOOKUP($D89,烤漆色號編碼!$A:$D,4,FALSE)*G89+H89,"-")</f>
        <v>-</v>
      </c>
      <c r="J89" s="55">
        <v>1899</v>
      </c>
      <c r="K89" s="160">
        <v>12</v>
      </c>
    </row>
    <row r="90" spans="1:11" ht="13.5" customHeight="1" x14ac:dyDescent="0.15">
      <c r="A90" s="141"/>
      <c r="B90" s="149">
        <v>87</v>
      </c>
      <c r="C90" s="79"/>
      <c r="D90" s="55"/>
      <c r="E90" s="55" t="s">
        <v>367</v>
      </c>
      <c r="F90" s="55" t="s">
        <v>367</v>
      </c>
      <c r="G90" s="55"/>
      <c r="H90" s="55"/>
      <c r="I90" s="55" t="str">
        <f>IFERROR(VLOOKUP($D90,烤漆色號編碼!$A:$D,4,FALSE)*G90+H90,"-")</f>
        <v>-</v>
      </c>
      <c r="J90" s="55">
        <v>1899</v>
      </c>
      <c r="K90" s="159">
        <v>12</v>
      </c>
    </row>
    <row r="91" spans="1:11" ht="13.5" customHeight="1" x14ac:dyDescent="0.15">
      <c r="A91" s="141"/>
      <c r="B91" s="149">
        <v>88</v>
      </c>
      <c r="C91" s="79"/>
      <c r="D91" s="55"/>
      <c r="E91" s="55" t="s">
        <v>367</v>
      </c>
      <c r="F91" s="55" t="s">
        <v>367</v>
      </c>
      <c r="G91" s="55"/>
      <c r="H91" s="55"/>
      <c r="I91" s="55" t="str">
        <f>IFERROR(VLOOKUP($D91,烤漆色號編碼!$A:$D,4,FALSE)*G91+H91,"-")</f>
        <v>-</v>
      </c>
      <c r="J91" s="55">
        <v>1899</v>
      </c>
      <c r="K91" s="160">
        <v>12</v>
      </c>
    </row>
    <row r="92" spans="1:11" ht="13.5" customHeight="1" x14ac:dyDescent="0.15">
      <c r="A92" s="141"/>
      <c r="B92" s="149">
        <v>89</v>
      </c>
      <c r="C92" s="79"/>
      <c r="D92" s="55"/>
      <c r="E92" s="55" t="s">
        <v>367</v>
      </c>
      <c r="F92" s="55" t="s">
        <v>367</v>
      </c>
      <c r="G92" s="55"/>
      <c r="H92" s="55"/>
      <c r="I92" s="55" t="str">
        <f>IFERROR(VLOOKUP($D92,烤漆色號編碼!$A:$D,4,FALSE)*G92+H92,"-")</f>
        <v>-</v>
      </c>
      <c r="J92" s="55">
        <v>1899</v>
      </c>
      <c r="K92" s="159">
        <v>12</v>
      </c>
    </row>
    <row r="93" spans="1:11" ht="13.5" customHeight="1" x14ac:dyDescent="0.15">
      <c r="A93" s="141"/>
      <c r="B93" s="149">
        <v>90</v>
      </c>
      <c r="C93" s="79"/>
      <c r="D93" s="55"/>
      <c r="E93" s="55" t="s">
        <v>367</v>
      </c>
      <c r="F93" s="55" t="s">
        <v>367</v>
      </c>
      <c r="G93" s="55"/>
      <c r="H93" s="55"/>
      <c r="I93" s="55" t="str">
        <f>IFERROR(VLOOKUP($D93,烤漆色號編碼!$A:$D,4,FALSE)*G93+H93,"-")</f>
        <v>-</v>
      </c>
      <c r="J93" s="55">
        <v>1899</v>
      </c>
      <c r="K93" s="160">
        <v>12</v>
      </c>
    </row>
    <row r="94" spans="1:11" ht="13.5" customHeight="1" x14ac:dyDescent="0.15">
      <c r="A94" s="141"/>
      <c r="B94" s="149">
        <v>91</v>
      </c>
      <c r="C94" s="79"/>
      <c r="D94" s="55"/>
      <c r="E94" s="55" t="s">
        <v>367</v>
      </c>
      <c r="F94" s="55" t="s">
        <v>367</v>
      </c>
      <c r="G94" s="55"/>
      <c r="H94" s="55"/>
      <c r="I94" s="55" t="str">
        <f>IFERROR(VLOOKUP($D94,烤漆色號編碼!$A:$D,4,FALSE)*G94+H94,"-")</f>
        <v>-</v>
      </c>
      <c r="J94" s="55">
        <v>1899</v>
      </c>
      <c r="K94" s="159">
        <v>12</v>
      </c>
    </row>
    <row r="95" spans="1:11" ht="13.5" customHeight="1" x14ac:dyDescent="0.15">
      <c r="A95" s="141"/>
      <c r="B95" s="149">
        <v>92</v>
      </c>
      <c r="C95" s="79"/>
      <c r="D95" s="55"/>
      <c r="E95" s="55" t="s">
        <v>367</v>
      </c>
      <c r="F95" s="55" t="s">
        <v>367</v>
      </c>
      <c r="G95" s="55"/>
      <c r="H95" s="55"/>
      <c r="I95" s="55" t="str">
        <f>IFERROR(VLOOKUP($D95,烤漆色號編碼!$A:$D,4,FALSE)*G95+H95,"-")</f>
        <v>-</v>
      </c>
      <c r="J95" s="55">
        <v>1899</v>
      </c>
      <c r="K95" s="160">
        <v>12</v>
      </c>
    </row>
    <row r="96" spans="1:11" ht="13.5" customHeight="1" x14ac:dyDescent="0.15">
      <c r="A96" s="141"/>
      <c r="B96" s="149">
        <v>93</v>
      </c>
      <c r="C96" s="79"/>
      <c r="D96" s="55"/>
      <c r="E96" s="55" t="s">
        <v>367</v>
      </c>
      <c r="F96" s="55" t="s">
        <v>367</v>
      </c>
      <c r="G96" s="55"/>
      <c r="H96" s="55"/>
      <c r="I96" s="55" t="str">
        <f>IFERROR(VLOOKUP($D96,烤漆色號編碼!$A:$D,4,FALSE)*G96+H96,"-")</f>
        <v>-</v>
      </c>
      <c r="J96" s="55">
        <v>1899</v>
      </c>
      <c r="K96" s="159">
        <v>12</v>
      </c>
    </row>
    <row r="97" spans="1:11" ht="13.5" customHeight="1" x14ac:dyDescent="0.15">
      <c r="A97" s="141"/>
      <c r="B97" s="149">
        <v>94</v>
      </c>
      <c r="C97" s="79"/>
      <c r="D97" s="55"/>
      <c r="E97" s="55" t="s">
        <v>367</v>
      </c>
      <c r="F97" s="55" t="s">
        <v>367</v>
      </c>
      <c r="G97" s="55"/>
      <c r="H97" s="55"/>
      <c r="I97" s="55" t="str">
        <f>IFERROR(VLOOKUP($D97,烤漆色號編碼!$A:$D,4,FALSE)*G97+H97,"-")</f>
        <v>-</v>
      </c>
      <c r="J97" s="55">
        <v>1899</v>
      </c>
      <c r="K97" s="160">
        <v>12</v>
      </c>
    </row>
    <row r="98" spans="1:11" ht="13.5" customHeight="1" x14ac:dyDescent="0.15">
      <c r="A98" s="141"/>
      <c r="B98" s="149">
        <v>95</v>
      </c>
      <c r="C98" s="79"/>
      <c r="D98" s="55"/>
      <c r="E98" s="55" t="s">
        <v>367</v>
      </c>
      <c r="F98" s="55" t="s">
        <v>367</v>
      </c>
      <c r="G98" s="55"/>
      <c r="H98" s="55"/>
      <c r="I98" s="55" t="str">
        <f>IFERROR(VLOOKUP($D98,烤漆色號編碼!$A:$D,4,FALSE)*G98+H98,"-")</f>
        <v>-</v>
      </c>
      <c r="J98" s="55">
        <v>1899</v>
      </c>
      <c r="K98" s="159">
        <v>12</v>
      </c>
    </row>
    <row r="99" spans="1:11" ht="13.5" customHeight="1" x14ac:dyDescent="0.15">
      <c r="A99" s="141"/>
      <c r="B99" s="149">
        <v>96</v>
      </c>
      <c r="C99" s="79"/>
      <c r="D99" s="55"/>
      <c r="E99" s="55" t="s">
        <v>367</v>
      </c>
      <c r="F99" s="55" t="s">
        <v>367</v>
      </c>
      <c r="G99" s="55"/>
      <c r="H99" s="55"/>
      <c r="I99" s="55" t="str">
        <f>IFERROR(VLOOKUP($D99,烤漆色號編碼!$A:$D,4,FALSE)*G99+H99,"-")</f>
        <v>-</v>
      </c>
      <c r="J99" s="55">
        <v>1899</v>
      </c>
      <c r="K99" s="160">
        <v>12</v>
      </c>
    </row>
    <row r="100" spans="1:11" ht="13.5" customHeight="1" x14ac:dyDescent="0.15">
      <c r="A100" s="141"/>
      <c r="B100" s="149">
        <v>97</v>
      </c>
      <c r="C100" s="79"/>
      <c r="D100" s="55"/>
      <c r="E100" s="55" t="s">
        <v>367</v>
      </c>
      <c r="F100" s="55" t="s">
        <v>367</v>
      </c>
      <c r="G100" s="55"/>
      <c r="H100" s="55"/>
      <c r="I100" s="55" t="str">
        <f>IFERROR(VLOOKUP($D100,烤漆色號編碼!$A:$D,4,FALSE)*G100+H100,"-")</f>
        <v>-</v>
      </c>
      <c r="J100" s="55">
        <v>1899</v>
      </c>
      <c r="K100" s="159">
        <v>12</v>
      </c>
    </row>
    <row r="101" spans="1:11" ht="13.5" customHeight="1" x14ac:dyDescent="0.15">
      <c r="A101" s="141"/>
      <c r="B101" s="149">
        <v>98</v>
      </c>
      <c r="C101" s="79"/>
      <c r="D101" s="55"/>
      <c r="E101" s="55" t="s">
        <v>367</v>
      </c>
      <c r="F101" s="55" t="s">
        <v>367</v>
      </c>
      <c r="G101" s="55"/>
      <c r="H101" s="55"/>
      <c r="I101" s="55" t="str">
        <f>IFERROR(VLOOKUP($D101,烤漆色號編碼!$A:$D,4,FALSE)*G101+H101,"-")</f>
        <v>-</v>
      </c>
      <c r="J101" s="55">
        <v>1899</v>
      </c>
      <c r="K101" s="160">
        <v>12</v>
      </c>
    </row>
    <row r="102" spans="1:11" ht="13.5" customHeight="1" x14ac:dyDescent="0.15">
      <c r="A102" s="141"/>
      <c r="B102" s="149">
        <v>99</v>
      </c>
      <c r="C102" s="79"/>
      <c r="D102" s="55"/>
      <c r="E102" s="55" t="s">
        <v>367</v>
      </c>
      <c r="F102" s="55" t="s">
        <v>367</v>
      </c>
      <c r="G102" s="55"/>
      <c r="H102" s="55"/>
      <c r="I102" s="55" t="str">
        <f>IFERROR(VLOOKUP($D102,烤漆色號編碼!$A:$D,4,FALSE)*G102+H102,"-")</f>
        <v>-</v>
      </c>
      <c r="J102" s="55">
        <v>1899</v>
      </c>
      <c r="K102" s="159">
        <v>12</v>
      </c>
    </row>
    <row r="103" spans="1:11" ht="13.5" customHeight="1" x14ac:dyDescent="0.15">
      <c r="A103" s="141"/>
      <c r="B103" s="149">
        <v>100</v>
      </c>
      <c r="C103" s="79"/>
      <c r="D103" s="55"/>
      <c r="E103" s="55" t="s">
        <v>367</v>
      </c>
      <c r="F103" s="55" t="s">
        <v>367</v>
      </c>
      <c r="G103" s="55"/>
      <c r="H103" s="55"/>
      <c r="I103" s="55" t="str">
        <f>IFERROR(VLOOKUP($D103,烤漆色號編碼!$A:$D,4,FALSE)*G103+H103,"-")</f>
        <v>-</v>
      </c>
      <c r="J103" s="55">
        <v>1899</v>
      </c>
      <c r="K103" s="160">
        <v>12</v>
      </c>
    </row>
    <row r="104" spans="1:11" ht="13.5" customHeight="1" x14ac:dyDescent="0.15">
      <c r="A104" s="141"/>
      <c r="B104" s="149">
        <v>101</v>
      </c>
      <c r="C104" s="79"/>
      <c r="D104" s="55"/>
      <c r="E104" s="55" t="s">
        <v>367</v>
      </c>
      <c r="F104" s="55" t="s">
        <v>367</v>
      </c>
      <c r="G104" s="55"/>
      <c r="H104" s="55"/>
      <c r="I104" s="55" t="str">
        <f>IFERROR(VLOOKUP($D104,烤漆色號編碼!$A:$D,4,FALSE)*G104+H104,"-")</f>
        <v>-</v>
      </c>
      <c r="J104" s="55">
        <v>1899</v>
      </c>
      <c r="K104" s="159">
        <v>12</v>
      </c>
    </row>
    <row r="105" spans="1:11" ht="13.5" customHeight="1" x14ac:dyDescent="0.15">
      <c r="A105" s="141"/>
      <c r="B105" s="149">
        <v>102</v>
      </c>
      <c r="C105" s="79"/>
      <c r="D105" s="55"/>
      <c r="E105" s="55" t="s">
        <v>367</v>
      </c>
      <c r="F105" s="55" t="s">
        <v>367</v>
      </c>
      <c r="G105" s="55"/>
      <c r="H105" s="55"/>
      <c r="I105" s="55" t="str">
        <f>IFERROR(VLOOKUP($D105,烤漆色號編碼!$A:$D,4,FALSE)*G105+H105,"-")</f>
        <v>-</v>
      </c>
      <c r="J105" s="55">
        <v>1899</v>
      </c>
      <c r="K105" s="160">
        <v>12</v>
      </c>
    </row>
    <row r="106" spans="1:11" ht="13.5" customHeight="1" x14ac:dyDescent="0.15">
      <c r="A106" s="141"/>
      <c r="B106" s="149">
        <v>103</v>
      </c>
      <c r="C106" s="79"/>
      <c r="D106" s="55"/>
      <c r="E106" s="55" t="s">
        <v>367</v>
      </c>
      <c r="F106" s="55" t="s">
        <v>367</v>
      </c>
      <c r="G106" s="55"/>
      <c r="H106" s="55"/>
      <c r="I106" s="55" t="str">
        <f>IFERROR(VLOOKUP($D106,烤漆色號編碼!$A:$D,4,FALSE)*G106+H106,"-")</f>
        <v>-</v>
      </c>
      <c r="J106" s="55">
        <v>1899</v>
      </c>
      <c r="K106" s="159">
        <v>12</v>
      </c>
    </row>
    <row r="107" spans="1:11" ht="13.5" customHeight="1" x14ac:dyDescent="0.15">
      <c r="A107" s="141"/>
      <c r="B107" s="149">
        <v>104</v>
      </c>
      <c r="C107" s="79"/>
      <c r="D107" s="55"/>
      <c r="E107" s="55" t="s">
        <v>367</v>
      </c>
      <c r="F107" s="55" t="s">
        <v>367</v>
      </c>
      <c r="G107" s="55"/>
      <c r="H107" s="55"/>
      <c r="I107" s="55" t="str">
        <f>IFERROR(VLOOKUP($D107,烤漆色號編碼!$A:$D,4,FALSE)*G107+H107,"-")</f>
        <v>-</v>
      </c>
      <c r="J107" s="55">
        <v>1899</v>
      </c>
      <c r="K107" s="160">
        <v>12</v>
      </c>
    </row>
    <row r="108" spans="1:11" ht="13.5" customHeight="1" x14ac:dyDescent="0.15">
      <c r="A108" s="141"/>
      <c r="B108" s="149">
        <v>105</v>
      </c>
      <c r="C108" s="79"/>
      <c r="D108" s="55"/>
      <c r="E108" s="55" t="s">
        <v>367</v>
      </c>
      <c r="F108" s="55" t="s">
        <v>367</v>
      </c>
      <c r="G108" s="55"/>
      <c r="H108" s="55"/>
      <c r="I108" s="55" t="str">
        <f>IFERROR(VLOOKUP($D108,烤漆色號編碼!$A:$D,4,FALSE)*G108+H108,"-")</f>
        <v>-</v>
      </c>
      <c r="J108" s="55">
        <v>1899</v>
      </c>
      <c r="K108" s="159">
        <v>12</v>
      </c>
    </row>
    <row r="109" spans="1:11" ht="13.5" customHeight="1" x14ac:dyDescent="0.15">
      <c r="A109" s="141"/>
      <c r="B109" s="149">
        <v>106</v>
      </c>
      <c r="C109" s="79"/>
      <c r="D109" s="55"/>
      <c r="E109" s="55" t="s">
        <v>367</v>
      </c>
      <c r="F109" s="55" t="s">
        <v>367</v>
      </c>
      <c r="G109" s="55"/>
      <c r="H109" s="55"/>
      <c r="I109" s="55" t="str">
        <f>IFERROR(VLOOKUP($D109,烤漆色號編碼!$A:$D,4,FALSE)*G109+H109,"-")</f>
        <v>-</v>
      </c>
      <c r="J109" s="55">
        <v>1899</v>
      </c>
      <c r="K109" s="160">
        <v>12</v>
      </c>
    </row>
    <row r="110" spans="1:11" ht="13.5" customHeight="1" x14ac:dyDescent="0.15">
      <c r="A110" s="141"/>
      <c r="B110" s="149">
        <v>107</v>
      </c>
      <c r="C110" s="79"/>
      <c r="D110" s="55"/>
      <c r="E110" s="55" t="s">
        <v>367</v>
      </c>
      <c r="F110" s="55" t="s">
        <v>367</v>
      </c>
      <c r="G110" s="55"/>
      <c r="H110" s="55"/>
      <c r="I110" s="55" t="str">
        <f>IFERROR(VLOOKUP($D110,烤漆色號編碼!$A:$D,4,FALSE)*G110+H110,"-")</f>
        <v>-</v>
      </c>
      <c r="J110" s="55">
        <v>1899</v>
      </c>
      <c r="K110" s="159">
        <v>12</v>
      </c>
    </row>
    <row r="111" spans="1:11" ht="13.5" customHeight="1" x14ac:dyDescent="0.15">
      <c r="A111" s="141"/>
      <c r="B111" s="149">
        <v>108</v>
      </c>
      <c r="C111" s="79"/>
      <c r="D111" s="55"/>
      <c r="E111" s="55" t="s">
        <v>367</v>
      </c>
      <c r="F111" s="55" t="s">
        <v>367</v>
      </c>
      <c r="G111" s="55"/>
      <c r="H111" s="55"/>
      <c r="I111" s="55" t="str">
        <f>IFERROR(VLOOKUP($D111,烤漆色號編碼!$A:$D,4,FALSE)*G111+H111,"-")</f>
        <v>-</v>
      </c>
      <c r="J111" s="55">
        <v>1899</v>
      </c>
      <c r="K111" s="160">
        <v>12</v>
      </c>
    </row>
    <row r="112" spans="1:11" ht="13.5" customHeight="1" x14ac:dyDescent="0.15">
      <c r="A112" s="141"/>
      <c r="B112" s="149">
        <v>109</v>
      </c>
      <c r="C112" s="79"/>
      <c r="D112" s="55"/>
      <c r="E112" s="55" t="s">
        <v>367</v>
      </c>
      <c r="F112" s="55" t="s">
        <v>367</v>
      </c>
      <c r="G112" s="55"/>
      <c r="H112" s="55"/>
      <c r="I112" s="55" t="str">
        <f>IFERROR(VLOOKUP($D112,烤漆色號編碼!$A:$D,4,FALSE)*G112+H112,"-")</f>
        <v>-</v>
      </c>
      <c r="J112" s="55">
        <v>1899</v>
      </c>
      <c r="K112" s="159">
        <v>12</v>
      </c>
    </row>
    <row r="113" spans="1:11" ht="13.5" customHeight="1" x14ac:dyDescent="0.15">
      <c r="A113" s="141"/>
      <c r="B113" s="149">
        <v>110</v>
      </c>
      <c r="C113" s="79"/>
      <c r="D113" s="55"/>
      <c r="E113" s="55" t="s">
        <v>367</v>
      </c>
      <c r="F113" s="55" t="s">
        <v>367</v>
      </c>
      <c r="G113" s="55"/>
      <c r="H113" s="55"/>
      <c r="I113" s="55" t="str">
        <f>IFERROR(VLOOKUP($D113,烤漆色號編碼!$A:$D,4,FALSE)*G113+H113,"-")</f>
        <v>-</v>
      </c>
      <c r="J113" s="55">
        <v>1899</v>
      </c>
      <c r="K113" s="160">
        <v>12</v>
      </c>
    </row>
    <row r="114" spans="1:11" ht="13.5" customHeight="1" x14ac:dyDescent="0.15">
      <c r="A114" s="141"/>
      <c r="B114" s="149">
        <v>111</v>
      </c>
      <c r="C114" s="79"/>
      <c r="D114" s="55"/>
      <c r="E114" s="55" t="s">
        <v>367</v>
      </c>
      <c r="F114" s="55" t="s">
        <v>367</v>
      </c>
      <c r="G114" s="55"/>
      <c r="H114" s="55"/>
      <c r="I114" s="55" t="str">
        <f>IFERROR(VLOOKUP($D114,烤漆色號編碼!$A:$D,4,FALSE)*G114+H114,"-")</f>
        <v>-</v>
      </c>
      <c r="J114" s="55">
        <v>1899</v>
      </c>
      <c r="K114" s="159">
        <v>12</v>
      </c>
    </row>
    <row r="115" spans="1:11" ht="13.5" customHeight="1" x14ac:dyDescent="0.15">
      <c r="A115" s="141"/>
      <c r="B115" s="149">
        <v>112</v>
      </c>
      <c r="C115" s="79"/>
      <c r="D115" s="55"/>
      <c r="E115" s="55" t="s">
        <v>367</v>
      </c>
      <c r="F115" s="55" t="s">
        <v>367</v>
      </c>
      <c r="G115" s="55"/>
      <c r="H115" s="55"/>
      <c r="I115" s="55" t="str">
        <f>IFERROR(VLOOKUP($D115,烤漆色號編碼!$A:$D,4,FALSE)*G115+H115,"-")</f>
        <v>-</v>
      </c>
      <c r="J115" s="55">
        <v>1899</v>
      </c>
      <c r="K115" s="160">
        <v>12</v>
      </c>
    </row>
    <row r="116" spans="1:11" ht="13.5" customHeight="1" x14ac:dyDescent="0.15">
      <c r="A116" s="141"/>
      <c r="B116" s="149">
        <v>113</v>
      </c>
      <c r="C116" s="79"/>
      <c r="D116" s="55"/>
      <c r="E116" s="55" t="s">
        <v>367</v>
      </c>
      <c r="F116" s="55" t="s">
        <v>367</v>
      </c>
      <c r="G116" s="55"/>
      <c r="H116" s="55"/>
      <c r="I116" s="55" t="str">
        <f>IFERROR(VLOOKUP($D116,烤漆色號編碼!$A:$D,4,FALSE)*G116+H116,"-")</f>
        <v>-</v>
      </c>
      <c r="J116" s="55">
        <v>1899</v>
      </c>
      <c r="K116" s="159">
        <v>12</v>
      </c>
    </row>
    <row r="117" spans="1:11" ht="13.5" customHeight="1" x14ac:dyDescent="0.15">
      <c r="A117" s="141"/>
      <c r="B117" s="149">
        <v>114</v>
      </c>
      <c r="C117" s="79"/>
      <c r="D117" s="55"/>
      <c r="E117" s="55" t="s">
        <v>367</v>
      </c>
      <c r="F117" s="55" t="s">
        <v>367</v>
      </c>
      <c r="G117" s="55"/>
      <c r="H117" s="55"/>
      <c r="I117" s="55" t="str">
        <f>IFERROR(VLOOKUP($D117,烤漆色號編碼!$A:$D,4,FALSE)*G117+H117,"-")</f>
        <v>-</v>
      </c>
      <c r="J117" s="55">
        <v>1899</v>
      </c>
      <c r="K117" s="160">
        <v>12</v>
      </c>
    </row>
    <row r="118" spans="1:11" ht="13.5" customHeight="1" x14ac:dyDescent="0.15">
      <c r="A118" s="141"/>
      <c r="B118" s="149">
        <v>115</v>
      </c>
      <c r="C118" s="79"/>
      <c r="D118" s="55"/>
      <c r="E118" s="55" t="s">
        <v>367</v>
      </c>
      <c r="F118" s="55" t="s">
        <v>367</v>
      </c>
      <c r="G118" s="55"/>
      <c r="H118" s="55"/>
      <c r="I118" s="55" t="str">
        <f>IFERROR(VLOOKUP($D118,烤漆色號編碼!$A:$D,4,FALSE)*G118+H118,"-")</f>
        <v>-</v>
      </c>
      <c r="J118" s="55">
        <v>1899</v>
      </c>
      <c r="K118" s="159">
        <v>12</v>
      </c>
    </row>
    <row r="119" spans="1:11" ht="13.5" customHeight="1" x14ac:dyDescent="0.15">
      <c r="A119" s="141"/>
      <c r="B119" s="149">
        <v>116</v>
      </c>
      <c r="C119" s="79"/>
      <c r="D119" s="55"/>
      <c r="E119" s="55" t="s">
        <v>367</v>
      </c>
      <c r="F119" s="55" t="s">
        <v>367</v>
      </c>
      <c r="G119" s="55"/>
      <c r="H119" s="55"/>
      <c r="I119" s="55" t="str">
        <f>IFERROR(VLOOKUP($D119,烤漆色號編碼!$A:$D,4,FALSE)*G119+H119,"-")</f>
        <v>-</v>
      </c>
      <c r="J119" s="55">
        <v>1899</v>
      </c>
      <c r="K119" s="160">
        <v>12</v>
      </c>
    </row>
    <row r="120" spans="1:11" ht="13.5" customHeight="1" x14ac:dyDescent="0.15">
      <c r="A120" s="141"/>
      <c r="B120" s="149">
        <v>117</v>
      </c>
      <c r="C120" s="79"/>
      <c r="D120" s="55"/>
      <c r="E120" s="55" t="s">
        <v>367</v>
      </c>
      <c r="F120" s="55" t="s">
        <v>367</v>
      </c>
      <c r="G120" s="55"/>
      <c r="H120" s="55"/>
      <c r="I120" s="55" t="str">
        <f>IFERROR(VLOOKUP($D120,烤漆色號編碼!$A:$D,4,FALSE)*G120+H120,"-")</f>
        <v>-</v>
      </c>
      <c r="J120" s="55">
        <v>1899</v>
      </c>
      <c r="K120" s="159">
        <v>12</v>
      </c>
    </row>
    <row r="121" spans="1:11" ht="13.5" customHeight="1" x14ac:dyDescent="0.15">
      <c r="A121" s="141"/>
      <c r="B121" s="149">
        <v>118</v>
      </c>
      <c r="C121" s="79"/>
      <c r="D121" s="55"/>
      <c r="E121" s="55" t="s">
        <v>367</v>
      </c>
      <c r="F121" s="55" t="s">
        <v>367</v>
      </c>
      <c r="G121" s="55"/>
      <c r="H121" s="55"/>
      <c r="I121" s="55" t="str">
        <f>IFERROR(VLOOKUP($D121,烤漆色號編碼!$A:$D,4,FALSE)*G121+H121,"-")</f>
        <v>-</v>
      </c>
      <c r="J121" s="55">
        <v>1899</v>
      </c>
      <c r="K121" s="160">
        <v>12</v>
      </c>
    </row>
    <row r="122" spans="1:11" ht="13.5" customHeight="1" x14ac:dyDescent="0.15">
      <c r="A122" s="141"/>
      <c r="B122" s="149">
        <v>119</v>
      </c>
      <c r="C122" s="79"/>
      <c r="D122" s="55"/>
      <c r="E122" s="55" t="s">
        <v>367</v>
      </c>
      <c r="F122" s="55" t="s">
        <v>367</v>
      </c>
      <c r="G122" s="55"/>
      <c r="H122" s="55"/>
      <c r="I122" s="55" t="str">
        <f>IFERROR(VLOOKUP($D122,烤漆色號編碼!$A:$D,4,FALSE)*G122+H122,"-")</f>
        <v>-</v>
      </c>
      <c r="J122" s="55">
        <v>1899</v>
      </c>
      <c r="K122" s="159">
        <v>12</v>
      </c>
    </row>
    <row r="123" spans="1:11" ht="13.5" customHeight="1" x14ac:dyDescent="0.15">
      <c r="A123" s="141"/>
      <c r="B123" s="149">
        <v>120</v>
      </c>
      <c r="C123" s="79"/>
      <c r="D123" s="55"/>
      <c r="E123" s="55" t="s">
        <v>367</v>
      </c>
      <c r="F123" s="55" t="s">
        <v>367</v>
      </c>
      <c r="G123" s="55"/>
      <c r="H123" s="55"/>
      <c r="I123" s="55" t="str">
        <f>IFERROR(VLOOKUP($D123,烤漆色號編碼!$A:$D,4,FALSE)*G123+H123,"-")</f>
        <v>-</v>
      </c>
      <c r="J123" s="55">
        <v>1899</v>
      </c>
      <c r="K123" s="160">
        <v>12</v>
      </c>
    </row>
    <row r="124" spans="1:11" ht="13.5" customHeight="1" x14ac:dyDescent="0.15">
      <c r="A124" s="141"/>
      <c r="B124" s="149">
        <v>121</v>
      </c>
      <c r="C124" s="79"/>
      <c r="D124" s="55"/>
      <c r="E124" s="55" t="s">
        <v>367</v>
      </c>
      <c r="F124" s="55" t="s">
        <v>367</v>
      </c>
      <c r="G124" s="55"/>
      <c r="H124" s="55"/>
      <c r="I124" s="55" t="str">
        <f>IFERROR(VLOOKUP($D124,烤漆色號編碼!$A:$D,4,FALSE)*G124+H124,"-")</f>
        <v>-</v>
      </c>
      <c r="J124" s="55">
        <v>1899</v>
      </c>
      <c r="K124" s="159">
        <v>12</v>
      </c>
    </row>
    <row r="125" spans="1:11" ht="13.5" customHeight="1" x14ac:dyDescent="0.15">
      <c r="A125" s="141"/>
      <c r="B125" s="149">
        <v>122</v>
      </c>
      <c r="C125" s="79"/>
      <c r="D125" s="55"/>
      <c r="E125" s="55" t="s">
        <v>367</v>
      </c>
      <c r="F125" s="55" t="s">
        <v>367</v>
      </c>
      <c r="G125" s="55"/>
      <c r="H125" s="55"/>
      <c r="I125" s="55" t="str">
        <f>IFERROR(VLOOKUP($D125,烤漆色號編碼!$A:$D,4,FALSE)*G125+H125,"-")</f>
        <v>-</v>
      </c>
      <c r="J125" s="55">
        <v>1899</v>
      </c>
      <c r="K125" s="160">
        <v>12</v>
      </c>
    </row>
    <row r="126" spans="1:11" ht="13.5" customHeight="1" x14ac:dyDescent="0.15">
      <c r="A126" s="141"/>
      <c r="B126" s="149">
        <v>123</v>
      </c>
      <c r="C126" s="79"/>
      <c r="D126" s="55"/>
      <c r="E126" s="55" t="s">
        <v>367</v>
      </c>
      <c r="F126" s="55" t="s">
        <v>367</v>
      </c>
      <c r="G126" s="55"/>
      <c r="H126" s="55"/>
      <c r="I126" s="55" t="str">
        <f>IFERROR(VLOOKUP($D126,烤漆色號編碼!$A:$D,4,FALSE)*G126+H126,"-")</f>
        <v>-</v>
      </c>
      <c r="J126" s="55">
        <v>1899</v>
      </c>
      <c r="K126" s="159">
        <v>12</v>
      </c>
    </row>
    <row r="127" spans="1:11" ht="13.5" customHeight="1" x14ac:dyDescent="0.15">
      <c r="A127" s="141"/>
      <c r="B127" s="149">
        <v>124</v>
      </c>
      <c r="C127" s="79"/>
      <c r="D127" s="55"/>
      <c r="E127" s="55" t="s">
        <v>367</v>
      </c>
      <c r="F127" s="55" t="s">
        <v>367</v>
      </c>
      <c r="G127" s="55"/>
      <c r="H127" s="55"/>
      <c r="I127" s="55" t="str">
        <f>IFERROR(VLOOKUP($D127,烤漆色號編碼!$A:$D,4,FALSE)*G127+H127,"-")</f>
        <v>-</v>
      </c>
      <c r="J127" s="55">
        <v>1899</v>
      </c>
      <c r="K127" s="160">
        <v>12</v>
      </c>
    </row>
    <row r="128" spans="1:11" ht="13.5" customHeight="1" x14ac:dyDescent="0.15">
      <c r="A128" s="141"/>
      <c r="B128" s="149">
        <v>125</v>
      </c>
      <c r="C128" s="79"/>
      <c r="D128" s="55"/>
      <c r="E128" s="55" t="s">
        <v>367</v>
      </c>
      <c r="F128" s="55" t="s">
        <v>367</v>
      </c>
      <c r="G128" s="55"/>
      <c r="H128" s="55"/>
      <c r="I128" s="55" t="str">
        <f>IFERROR(VLOOKUP($D128,烤漆色號編碼!$A:$D,4,FALSE)*G128+H128,"-")</f>
        <v>-</v>
      </c>
      <c r="J128" s="55">
        <v>1899</v>
      </c>
      <c r="K128" s="159">
        <v>12</v>
      </c>
    </row>
    <row r="129" spans="1:11" ht="13.5" customHeight="1" x14ac:dyDescent="0.15">
      <c r="A129" s="141"/>
      <c r="B129" s="149">
        <v>126</v>
      </c>
      <c r="C129" s="79"/>
      <c r="D129" s="55"/>
      <c r="E129" s="55" t="s">
        <v>367</v>
      </c>
      <c r="F129" s="55" t="s">
        <v>367</v>
      </c>
      <c r="G129" s="55"/>
      <c r="H129" s="55"/>
      <c r="I129" s="55" t="str">
        <f>IFERROR(VLOOKUP($D129,烤漆色號編碼!$A:$D,4,FALSE)*G129+H129,"-")</f>
        <v>-</v>
      </c>
      <c r="J129" s="55">
        <v>1899</v>
      </c>
      <c r="K129" s="160">
        <v>12</v>
      </c>
    </row>
    <row r="130" spans="1:11" ht="13.5" customHeight="1" x14ac:dyDescent="0.15">
      <c r="A130" s="141"/>
      <c r="B130" s="149">
        <v>127</v>
      </c>
      <c r="C130" s="79"/>
      <c r="D130" s="55"/>
      <c r="E130" s="55" t="s">
        <v>367</v>
      </c>
      <c r="F130" s="55" t="s">
        <v>367</v>
      </c>
      <c r="G130" s="55"/>
      <c r="H130" s="55"/>
      <c r="I130" s="55" t="str">
        <f>IFERROR(VLOOKUP($D130,烤漆色號編碼!$A:$D,4,FALSE)*G130+H130,"-")</f>
        <v>-</v>
      </c>
      <c r="J130" s="55">
        <v>1899</v>
      </c>
      <c r="K130" s="159">
        <v>12</v>
      </c>
    </row>
    <row r="131" spans="1:11" ht="13.5" customHeight="1" x14ac:dyDescent="0.15">
      <c r="A131" s="141"/>
      <c r="B131" s="148">
        <v>128</v>
      </c>
      <c r="C131" s="161"/>
      <c r="D131" s="162"/>
      <c r="E131" s="162" t="s">
        <v>367</v>
      </c>
      <c r="F131" s="162" t="s">
        <v>367</v>
      </c>
      <c r="G131" s="162"/>
      <c r="H131" s="162"/>
      <c r="I131" s="162"/>
      <c r="J131" s="162">
        <v>1899</v>
      </c>
      <c r="K131" s="152">
        <v>12</v>
      </c>
    </row>
    <row r="132" spans="1:11" ht="13.5" customHeight="1" x14ac:dyDescent="0.15">
      <c r="A132" s="141"/>
      <c r="B132" s="148">
        <v>129</v>
      </c>
      <c r="C132" s="163"/>
      <c r="D132" s="151"/>
      <c r="E132" s="151" t="s">
        <v>367</v>
      </c>
      <c r="F132" s="151" t="s">
        <v>367</v>
      </c>
      <c r="G132" s="151"/>
      <c r="H132" s="151"/>
      <c r="I132" s="151"/>
      <c r="J132" s="151">
        <v>1899</v>
      </c>
      <c r="K132" s="151">
        <v>12</v>
      </c>
    </row>
    <row r="133" spans="1:11" ht="13.5" customHeight="1" x14ac:dyDescent="0.15">
      <c r="A133" s="141"/>
      <c r="B133" s="148">
        <v>130</v>
      </c>
      <c r="C133" s="164"/>
      <c r="D133" s="152"/>
      <c r="E133" s="152" t="s">
        <v>367</v>
      </c>
      <c r="F133" s="152" t="s">
        <v>367</v>
      </c>
      <c r="G133" s="152"/>
      <c r="H133" s="152"/>
      <c r="I133" s="152"/>
      <c r="J133" s="152">
        <v>1899</v>
      </c>
      <c r="K133" s="152">
        <v>12</v>
      </c>
    </row>
    <row r="134" spans="1:11" ht="13.5" customHeight="1" x14ac:dyDescent="0.15">
      <c r="A134" s="141"/>
      <c r="B134" s="148">
        <v>131</v>
      </c>
      <c r="C134" s="163"/>
      <c r="D134" s="151"/>
      <c r="E134" s="151" t="s">
        <v>367</v>
      </c>
      <c r="F134" s="151" t="s">
        <v>367</v>
      </c>
      <c r="G134" s="151"/>
      <c r="H134" s="151"/>
      <c r="I134" s="151"/>
      <c r="J134" s="151">
        <v>1899</v>
      </c>
      <c r="K134" s="151">
        <v>12</v>
      </c>
    </row>
    <row r="135" spans="1:11" ht="13.5" customHeight="1" x14ac:dyDescent="0.15">
      <c r="A135" s="141"/>
      <c r="B135" s="148">
        <v>132</v>
      </c>
      <c r="C135" s="164"/>
      <c r="D135" s="152"/>
      <c r="E135" s="152" t="s">
        <v>367</v>
      </c>
      <c r="F135" s="152" t="s">
        <v>367</v>
      </c>
      <c r="G135" s="152"/>
      <c r="H135" s="152"/>
      <c r="I135" s="152"/>
      <c r="J135" s="152">
        <v>1899</v>
      </c>
      <c r="K135" s="152">
        <v>12</v>
      </c>
    </row>
    <row r="136" spans="1:11" ht="13.5" customHeight="1" x14ac:dyDescent="0.15">
      <c r="A136" s="141"/>
      <c r="B136" s="148">
        <v>133</v>
      </c>
      <c r="C136" s="163"/>
      <c r="D136" s="151"/>
      <c r="E136" s="151" t="s">
        <v>367</v>
      </c>
      <c r="F136" s="151" t="s">
        <v>367</v>
      </c>
      <c r="G136" s="151"/>
      <c r="H136" s="151"/>
      <c r="I136" s="151"/>
      <c r="J136" s="151">
        <v>1899</v>
      </c>
      <c r="K136" s="151">
        <v>12</v>
      </c>
    </row>
    <row r="137" spans="1:11" ht="13.5" customHeight="1" x14ac:dyDescent="0.15">
      <c r="A137" s="141"/>
      <c r="B137" s="148">
        <v>134</v>
      </c>
      <c r="C137" s="164"/>
      <c r="D137" s="152"/>
      <c r="E137" s="152" t="s">
        <v>367</v>
      </c>
      <c r="F137" s="152" t="s">
        <v>367</v>
      </c>
      <c r="G137" s="152"/>
      <c r="H137" s="152"/>
      <c r="I137" s="152"/>
      <c r="J137" s="152">
        <v>1899</v>
      </c>
      <c r="K137" s="152">
        <v>12</v>
      </c>
    </row>
    <row r="138" spans="1:11" ht="13.5" customHeight="1" x14ac:dyDescent="0.15">
      <c r="A138" s="141"/>
      <c r="B138" s="148">
        <v>135</v>
      </c>
      <c r="C138" s="163"/>
      <c r="D138" s="151"/>
      <c r="E138" s="151" t="s">
        <v>367</v>
      </c>
      <c r="F138" s="151" t="s">
        <v>367</v>
      </c>
      <c r="G138" s="151"/>
      <c r="H138" s="151"/>
      <c r="I138" s="151"/>
      <c r="J138" s="151">
        <v>1899</v>
      </c>
      <c r="K138" s="151">
        <v>12</v>
      </c>
    </row>
    <row r="139" spans="1:11" ht="13.5" customHeight="1" x14ac:dyDescent="0.15">
      <c r="A139" s="141"/>
      <c r="B139" s="148">
        <v>136</v>
      </c>
      <c r="C139" s="164"/>
      <c r="D139" s="152"/>
      <c r="E139" s="152" t="s">
        <v>367</v>
      </c>
      <c r="F139" s="152" t="s">
        <v>367</v>
      </c>
      <c r="G139" s="152"/>
      <c r="H139" s="152"/>
      <c r="I139" s="152"/>
      <c r="J139" s="152">
        <v>1899</v>
      </c>
      <c r="K139" s="152">
        <v>12</v>
      </c>
    </row>
    <row r="140" spans="1:11" ht="13.5" customHeight="1" x14ac:dyDescent="0.15">
      <c r="A140" s="141"/>
      <c r="B140" s="148">
        <v>137</v>
      </c>
      <c r="C140" s="163"/>
      <c r="D140" s="151"/>
      <c r="E140" s="151" t="s">
        <v>367</v>
      </c>
      <c r="F140" s="151" t="s">
        <v>367</v>
      </c>
      <c r="G140" s="151"/>
      <c r="H140" s="151"/>
      <c r="I140" s="151"/>
      <c r="J140" s="151">
        <v>1899</v>
      </c>
      <c r="K140" s="151">
        <v>12</v>
      </c>
    </row>
    <row r="141" spans="1:11" ht="13.5" customHeight="1" x14ac:dyDescent="0.15">
      <c r="A141" s="141"/>
      <c r="B141" s="148">
        <v>138</v>
      </c>
      <c r="C141" s="164"/>
      <c r="D141" s="152"/>
      <c r="E141" s="152" t="s">
        <v>367</v>
      </c>
      <c r="F141" s="152" t="s">
        <v>367</v>
      </c>
      <c r="G141" s="152"/>
      <c r="H141" s="152"/>
      <c r="I141" s="152"/>
      <c r="J141" s="152">
        <v>1899</v>
      </c>
      <c r="K141" s="152">
        <v>12</v>
      </c>
    </row>
    <row r="142" spans="1:11" ht="13.5" customHeight="1" x14ac:dyDescent="0.15">
      <c r="A142" s="141"/>
      <c r="B142" s="148">
        <v>139</v>
      </c>
      <c r="C142" s="163"/>
      <c r="D142" s="151"/>
      <c r="E142" s="151" t="s">
        <v>367</v>
      </c>
      <c r="F142" s="151" t="s">
        <v>367</v>
      </c>
      <c r="G142" s="151"/>
      <c r="H142" s="151"/>
      <c r="I142" s="151"/>
      <c r="J142" s="151">
        <v>1899</v>
      </c>
      <c r="K142" s="151">
        <v>12</v>
      </c>
    </row>
    <row r="143" spans="1:11" ht="13.5" customHeight="1" x14ac:dyDescent="0.15">
      <c r="A143" s="141"/>
      <c r="B143" s="148">
        <v>140</v>
      </c>
      <c r="C143" s="164"/>
      <c r="D143" s="152"/>
      <c r="E143" s="152" t="s">
        <v>367</v>
      </c>
      <c r="F143" s="152" t="s">
        <v>367</v>
      </c>
      <c r="G143" s="152"/>
      <c r="H143" s="152"/>
      <c r="I143" s="152"/>
      <c r="J143" s="152">
        <v>1899</v>
      </c>
      <c r="K143" s="152">
        <v>12</v>
      </c>
    </row>
    <row r="144" spans="1:11" ht="13.5" customHeight="1" x14ac:dyDescent="0.15">
      <c r="A144" s="141"/>
      <c r="B144" s="148">
        <v>141</v>
      </c>
      <c r="C144" s="163"/>
      <c r="D144" s="151"/>
      <c r="E144" s="151" t="s">
        <v>367</v>
      </c>
      <c r="F144" s="151" t="s">
        <v>367</v>
      </c>
      <c r="G144" s="151"/>
      <c r="H144" s="151"/>
      <c r="I144" s="151"/>
      <c r="J144" s="151">
        <v>1899</v>
      </c>
      <c r="K144" s="151">
        <v>12</v>
      </c>
    </row>
    <row r="145" spans="1:11" ht="13.5" customHeight="1" x14ac:dyDescent="0.15">
      <c r="A145" s="141"/>
      <c r="B145" s="148">
        <v>142</v>
      </c>
      <c r="C145" s="164"/>
      <c r="D145" s="152"/>
      <c r="E145" s="152" t="s">
        <v>367</v>
      </c>
      <c r="F145" s="152" t="s">
        <v>367</v>
      </c>
      <c r="G145" s="152"/>
      <c r="H145" s="152"/>
      <c r="I145" s="152"/>
      <c r="J145" s="152">
        <v>1899</v>
      </c>
      <c r="K145" s="152">
        <v>12</v>
      </c>
    </row>
    <row r="146" spans="1:11" ht="13.5" customHeight="1" x14ac:dyDescent="0.15">
      <c r="A146" s="141"/>
      <c r="B146" s="148">
        <v>143</v>
      </c>
      <c r="C146" s="163"/>
      <c r="D146" s="151"/>
      <c r="E146" s="151" t="s">
        <v>367</v>
      </c>
      <c r="F146" s="151" t="s">
        <v>367</v>
      </c>
      <c r="G146" s="151"/>
      <c r="H146" s="151"/>
      <c r="I146" s="151"/>
      <c r="J146" s="151">
        <v>1899</v>
      </c>
      <c r="K146" s="151">
        <v>12</v>
      </c>
    </row>
    <row r="147" spans="1:11" ht="13.5" customHeight="1" x14ac:dyDescent="0.15">
      <c r="A147" s="141"/>
      <c r="B147" s="148">
        <v>144</v>
      </c>
      <c r="C147" s="164"/>
      <c r="D147" s="152"/>
      <c r="E147" s="152" t="s">
        <v>367</v>
      </c>
      <c r="F147" s="152" t="s">
        <v>367</v>
      </c>
      <c r="G147" s="152"/>
      <c r="H147" s="152"/>
      <c r="I147" s="152"/>
      <c r="J147" s="152">
        <v>1899</v>
      </c>
      <c r="K147" s="152">
        <v>12</v>
      </c>
    </row>
    <row r="148" spans="1:11" ht="13.5" customHeight="1" x14ac:dyDescent="0.15">
      <c r="A148" s="141"/>
      <c r="B148" s="148">
        <v>145</v>
      </c>
      <c r="C148" s="163"/>
      <c r="D148" s="151"/>
      <c r="E148" s="151" t="s">
        <v>367</v>
      </c>
      <c r="F148" s="151" t="s">
        <v>367</v>
      </c>
      <c r="G148" s="151"/>
      <c r="H148" s="151"/>
      <c r="I148" s="151"/>
      <c r="J148" s="151">
        <v>1899</v>
      </c>
      <c r="K148" s="151">
        <v>12</v>
      </c>
    </row>
    <row r="149" spans="1:11" ht="13.5" customHeight="1" x14ac:dyDescent="0.15">
      <c r="A149" s="141"/>
      <c r="B149" s="148">
        <v>146</v>
      </c>
      <c r="C149" s="164"/>
      <c r="D149" s="152"/>
      <c r="E149" s="152" t="s">
        <v>367</v>
      </c>
      <c r="F149" s="152" t="s">
        <v>367</v>
      </c>
      <c r="G149" s="152"/>
      <c r="H149" s="152"/>
      <c r="I149" s="152"/>
      <c r="J149" s="152">
        <v>1899</v>
      </c>
      <c r="K149" s="152">
        <v>12</v>
      </c>
    </row>
    <row r="150" spans="1:11" ht="13.5" customHeight="1" x14ac:dyDescent="0.15">
      <c r="A150" s="141"/>
      <c r="B150" s="148">
        <v>147</v>
      </c>
      <c r="C150" s="163"/>
      <c r="D150" s="151"/>
      <c r="E150" s="151" t="s">
        <v>367</v>
      </c>
      <c r="F150" s="151" t="s">
        <v>367</v>
      </c>
      <c r="G150" s="151"/>
      <c r="H150" s="151"/>
      <c r="I150" s="151"/>
      <c r="J150" s="151">
        <v>1899</v>
      </c>
      <c r="K150" s="151">
        <v>12</v>
      </c>
    </row>
    <row r="151" spans="1:11" ht="13.5" customHeight="1" x14ac:dyDescent="0.15">
      <c r="A151" s="141"/>
      <c r="B151" s="148">
        <v>148</v>
      </c>
      <c r="C151" s="164"/>
      <c r="D151" s="152"/>
      <c r="E151" s="152" t="s">
        <v>367</v>
      </c>
      <c r="F151" s="152" t="s">
        <v>367</v>
      </c>
      <c r="G151" s="152"/>
      <c r="H151" s="152"/>
      <c r="I151" s="152"/>
      <c r="J151" s="152">
        <v>1899</v>
      </c>
      <c r="K151" s="152">
        <v>12</v>
      </c>
    </row>
    <row r="152" spans="1:11" ht="13.5" customHeight="1" x14ac:dyDescent="0.15">
      <c r="A152" s="141"/>
      <c r="B152" s="148">
        <v>149</v>
      </c>
      <c r="C152" s="163"/>
      <c r="D152" s="151"/>
      <c r="E152" s="151" t="s">
        <v>367</v>
      </c>
      <c r="F152" s="151" t="s">
        <v>367</v>
      </c>
      <c r="G152" s="151"/>
      <c r="H152" s="151"/>
      <c r="I152" s="151"/>
      <c r="J152" s="151">
        <v>1899</v>
      </c>
      <c r="K152" s="151">
        <v>12</v>
      </c>
    </row>
    <row r="153" spans="1:11" ht="13.5" customHeight="1" x14ac:dyDescent="0.15">
      <c r="A153" s="141"/>
      <c r="B153" s="148">
        <v>150</v>
      </c>
      <c r="C153" s="164"/>
      <c r="D153" s="152"/>
      <c r="E153" s="152" t="s">
        <v>367</v>
      </c>
      <c r="F153" s="152" t="s">
        <v>367</v>
      </c>
      <c r="G153" s="152"/>
      <c r="H153" s="152"/>
      <c r="I153" s="152"/>
      <c r="J153" s="152">
        <v>1899</v>
      </c>
      <c r="K153" s="152">
        <v>12</v>
      </c>
    </row>
    <row r="154" spans="1:11" ht="13.5" customHeight="1" x14ac:dyDescent="0.15">
      <c r="A154" s="141"/>
      <c r="B154" s="148">
        <v>151</v>
      </c>
      <c r="C154" s="163"/>
      <c r="D154" s="151"/>
      <c r="E154" s="151" t="s">
        <v>367</v>
      </c>
      <c r="F154" s="151" t="s">
        <v>367</v>
      </c>
      <c r="G154" s="151"/>
      <c r="H154" s="151"/>
      <c r="I154" s="151"/>
      <c r="J154" s="151">
        <v>1899</v>
      </c>
      <c r="K154" s="151">
        <v>12</v>
      </c>
    </row>
    <row r="155" spans="1:11" ht="13.5" customHeight="1" x14ac:dyDescent="0.15">
      <c r="A155" s="141"/>
      <c r="B155" s="148">
        <v>152</v>
      </c>
      <c r="C155" s="164"/>
      <c r="D155" s="152"/>
      <c r="E155" s="152" t="s">
        <v>367</v>
      </c>
      <c r="F155" s="152" t="s">
        <v>367</v>
      </c>
      <c r="G155" s="152"/>
      <c r="H155" s="152"/>
      <c r="I155" s="152"/>
      <c r="J155" s="152">
        <v>1899</v>
      </c>
      <c r="K155" s="152">
        <v>12</v>
      </c>
    </row>
    <row r="156" spans="1:11" ht="13.5" customHeight="1" x14ac:dyDescent="0.15">
      <c r="A156" s="141"/>
      <c r="B156" s="148">
        <v>153</v>
      </c>
      <c r="C156" s="163"/>
      <c r="D156" s="151"/>
      <c r="E156" s="151" t="s">
        <v>367</v>
      </c>
      <c r="F156" s="151" t="s">
        <v>367</v>
      </c>
      <c r="G156" s="151"/>
      <c r="H156" s="151"/>
      <c r="I156" s="151"/>
      <c r="J156" s="151">
        <v>1899</v>
      </c>
      <c r="K156" s="151">
        <v>12</v>
      </c>
    </row>
    <row r="157" spans="1:11" ht="13.5" customHeight="1" x14ac:dyDescent="0.15">
      <c r="A157" s="141"/>
      <c r="B157" s="148">
        <v>154</v>
      </c>
      <c r="C157" s="164"/>
      <c r="D157" s="152"/>
      <c r="E157" s="152" t="s">
        <v>367</v>
      </c>
      <c r="F157" s="152" t="s">
        <v>367</v>
      </c>
      <c r="G157" s="152"/>
      <c r="H157" s="152"/>
      <c r="I157" s="152"/>
      <c r="J157" s="152">
        <v>1899</v>
      </c>
      <c r="K157" s="152">
        <v>12</v>
      </c>
    </row>
    <row r="158" spans="1:11" ht="13.5" customHeight="1" x14ac:dyDescent="0.15">
      <c r="A158" s="141"/>
      <c r="B158" s="148">
        <v>155</v>
      </c>
      <c r="C158" s="163"/>
      <c r="D158" s="151"/>
      <c r="E158" s="151" t="s">
        <v>367</v>
      </c>
      <c r="F158" s="151" t="s">
        <v>367</v>
      </c>
      <c r="G158" s="151"/>
      <c r="H158" s="151"/>
      <c r="I158" s="151"/>
      <c r="J158" s="151">
        <v>1899</v>
      </c>
      <c r="K158" s="151">
        <v>12</v>
      </c>
    </row>
    <row r="159" spans="1:11" ht="13.5" customHeight="1" x14ac:dyDescent="0.15">
      <c r="A159" s="141"/>
      <c r="B159" s="148">
        <v>156</v>
      </c>
      <c r="C159" s="164"/>
      <c r="D159" s="152"/>
      <c r="E159" s="152" t="s">
        <v>367</v>
      </c>
      <c r="F159" s="152" t="s">
        <v>367</v>
      </c>
      <c r="G159" s="152"/>
      <c r="H159" s="152"/>
      <c r="I159" s="152"/>
      <c r="J159" s="152">
        <v>1899</v>
      </c>
      <c r="K159" s="152">
        <v>12</v>
      </c>
    </row>
    <row r="160" spans="1:11" ht="13.5" customHeight="1" x14ac:dyDescent="0.15">
      <c r="A160" s="141"/>
      <c r="B160" s="148">
        <v>157</v>
      </c>
      <c r="C160" s="163"/>
      <c r="D160" s="151"/>
      <c r="E160" s="151" t="s">
        <v>367</v>
      </c>
      <c r="F160" s="151" t="s">
        <v>367</v>
      </c>
      <c r="G160" s="151"/>
      <c r="H160" s="151"/>
      <c r="I160" s="151"/>
      <c r="J160" s="151">
        <v>1899</v>
      </c>
      <c r="K160" s="151">
        <v>12</v>
      </c>
    </row>
    <row r="161" spans="1:11" ht="13.5" customHeight="1" x14ac:dyDescent="0.15">
      <c r="A161" s="141"/>
      <c r="B161" s="148">
        <v>158</v>
      </c>
      <c r="C161" s="164"/>
      <c r="D161" s="152"/>
      <c r="E161" s="152" t="s">
        <v>367</v>
      </c>
      <c r="F161" s="152" t="s">
        <v>367</v>
      </c>
      <c r="G161" s="152"/>
      <c r="H161" s="152"/>
      <c r="I161" s="152"/>
      <c r="J161" s="152">
        <v>1899</v>
      </c>
      <c r="K161" s="152">
        <v>12</v>
      </c>
    </row>
    <row r="162" spans="1:11" ht="13.5" customHeight="1" x14ac:dyDescent="0.15">
      <c r="A162" s="141"/>
      <c r="B162" s="148">
        <v>159</v>
      </c>
      <c r="C162" s="163"/>
      <c r="D162" s="151"/>
      <c r="E162" s="151" t="s">
        <v>367</v>
      </c>
      <c r="F162" s="151" t="s">
        <v>367</v>
      </c>
      <c r="G162" s="151"/>
      <c r="H162" s="151"/>
      <c r="I162" s="151"/>
      <c r="J162" s="151">
        <v>1899</v>
      </c>
      <c r="K162" s="151">
        <v>12</v>
      </c>
    </row>
    <row r="163" spans="1:11" ht="13.5" customHeight="1" x14ac:dyDescent="0.15">
      <c r="A163" s="141"/>
      <c r="B163" s="148">
        <v>160</v>
      </c>
      <c r="C163" s="164"/>
      <c r="D163" s="152"/>
      <c r="E163" s="152" t="s">
        <v>367</v>
      </c>
      <c r="F163" s="152" t="s">
        <v>367</v>
      </c>
      <c r="G163" s="152"/>
      <c r="H163" s="152"/>
      <c r="I163" s="152"/>
      <c r="J163" s="152">
        <v>1899</v>
      </c>
      <c r="K163" s="152">
        <v>12</v>
      </c>
    </row>
    <row r="164" spans="1:11" ht="13.5" customHeight="1" x14ac:dyDescent="0.15">
      <c r="A164" s="141"/>
      <c r="B164" s="148">
        <v>161</v>
      </c>
      <c r="C164" s="163"/>
      <c r="D164" s="151"/>
      <c r="E164" s="151" t="s">
        <v>367</v>
      </c>
      <c r="F164" s="151" t="s">
        <v>367</v>
      </c>
      <c r="G164" s="151"/>
      <c r="H164" s="151"/>
      <c r="I164" s="151"/>
      <c r="J164" s="151">
        <v>1899</v>
      </c>
      <c r="K164" s="151">
        <v>12</v>
      </c>
    </row>
    <row r="165" spans="1:11" ht="13.5" customHeight="1" x14ac:dyDescent="0.15">
      <c r="A165" s="141"/>
      <c r="B165" s="148">
        <v>162</v>
      </c>
      <c r="C165" s="164"/>
      <c r="D165" s="152"/>
      <c r="E165" s="152" t="s">
        <v>367</v>
      </c>
      <c r="F165" s="152" t="s">
        <v>367</v>
      </c>
      <c r="G165" s="152"/>
      <c r="H165" s="152"/>
      <c r="I165" s="152"/>
      <c r="J165" s="152">
        <v>1899</v>
      </c>
      <c r="K165" s="152">
        <v>12</v>
      </c>
    </row>
    <row r="166" spans="1:11" ht="13.5" customHeight="1" x14ac:dyDescent="0.15">
      <c r="A166" s="141"/>
      <c r="B166" s="148">
        <v>163</v>
      </c>
      <c r="C166" s="163"/>
      <c r="D166" s="151"/>
      <c r="E166" s="151" t="s">
        <v>367</v>
      </c>
      <c r="F166" s="151" t="s">
        <v>367</v>
      </c>
      <c r="G166" s="151"/>
      <c r="H166" s="151"/>
      <c r="I166" s="151"/>
      <c r="J166" s="151">
        <v>1899</v>
      </c>
      <c r="K166" s="151">
        <v>12</v>
      </c>
    </row>
    <row r="167" spans="1:11" ht="13.5" customHeight="1" x14ac:dyDescent="0.15">
      <c r="A167" s="141"/>
      <c r="B167" s="148">
        <v>164</v>
      </c>
      <c r="C167" s="164"/>
      <c r="D167" s="152"/>
      <c r="E167" s="152" t="s">
        <v>367</v>
      </c>
      <c r="F167" s="152" t="s">
        <v>367</v>
      </c>
      <c r="G167" s="152"/>
      <c r="H167" s="152"/>
      <c r="I167" s="152"/>
      <c r="J167" s="152">
        <v>1899</v>
      </c>
      <c r="K167" s="152">
        <v>12</v>
      </c>
    </row>
    <row r="168" spans="1:11" ht="13.5" customHeight="1" x14ac:dyDescent="0.15">
      <c r="A168" s="141"/>
      <c r="B168" s="148">
        <v>165</v>
      </c>
      <c r="C168" s="163"/>
      <c r="D168" s="151"/>
      <c r="E168" s="151" t="s">
        <v>367</v>
      </c>
      <c r="F168" s="151" t="s">
        <v>367</v>
      </c>
      <c r="G168" s="151"/>
      <c r="H168" s="151"/>
      <c r="I168" s="151"/>
      <c r="J168" s="151">
        <v>1899</v>
      </c>
      <c r="K168" s="151">
        <v>12</v>
      </c>
    </row>
    <row r="169" spans="1:11" ht="13.5" customHeight="1" x14ac:dyDescent="0.15">
      <c r="A169" s="141"/>
      <c r="B169" s="148">
        <v>166</v>
      </c>
      <c r="C169" s="164"/>
      <c r="D169" s="152"/>
      <c r="E169" s="152" t="s">
        <v>367</v>
      </c>
      <c r="F169" s="152" t="s">
        <v>367</v>
      </c>
      <c r="G169" s="152"/>
      <c r="H169" s="152"/>
      <c r="I169" s="152"/>
      <c r="J169" s="152">
        <v>1899</v>
      </c>
      <c r="K169" s="152">
        <v>12</v>
      </c>
    </row>
    <row r="170" spans="1:11" ht="13.5" customHeight="1" x14ac:dyDescent="0.15">
      <c r="A170" s="141"/>
      <c r="B170" s="148">
        <v>167</v>
      </c>
      <c r="C170" s="163"/>
      <c r="D170" s="151"/>
      <c r="E170" s="151" t="s">
        <v>367</v>
      </c>
      <c r="F170" s="151" t="s">
        <v>367</v>
      </c>
      <c r="G170" s="151"/>
      <c r="H170" s="151"/>
      <c r="I170" s="151"/>
      <c r="J170" s="151">
        <v>1899</v>
      </c>
      <c r="K170" s="151">
        <v>12</v>
      </c>
    </row>
    <row r="171" spans="1:11" ht="13.5" customHeight="1" x14ac:dyDescent="0.15">
      <c r="A171" s="141"/>
      <c r="B171" s="148">
        <v>168</v>
      </c>
      <c r="C171" s="164"/>
      <c r="D171" s="152"/>
      <c r="E171" s="152" t="s">
        <v>367</v>
      </c>
      <c r="F171" s="152" t="s">
        <v>367</v>
      </c>
      <c r="G171" s="152"/>
      <c r="H171" s="152"/>
      <c r="I171" s="152"/>
      <c r="J171" s="152">
        <v>1899</v>
      </c>
      <c r="K171" s="152">
        <v>12</v>
      </c>
    </row>
    <row r="172" spans="1:11" ht="13.5" customHeight="1" x14ac:dyDescent="0.15">
      <c r="A172" s="141"/>
      <c r="B172" s="148">
        <v>169</v>
      </c>
      <c r="C172" s="163"/>
      <c r="D172" s="151"/>
      <c r="E172" s="151" t="s">
        <v>367</v>
      </c>
      <c r="F172" s="151" t="s">
        <v>367</v>
      </c>
      <c r="G172" s="151"/>
      <c r="H172" s="151"/>
      <c r="I172" s="151"/>
      <c r="J172" s="151">
        <v>1899</v>
      </c>
      <c r="K172" s="151">
        <v>12</v>
      </c>
    </row>
    <row r="173" spans="1:11" ht="13.5" customHeight="1" x14ac:dyDescent="0.15">
      <c r="A173" s="141"/>
      <c r="B173" s="148">
        <v>170</v>
      </c>
      <c r="C173" s="164"/>
      <c r="D173" s="152"/>
      <c r="E173" s="152" t="s">
        <v>367</v>
      </c>
      <c r="F173" s="152" t="s">
        <v>367</v>
      </c>
      <c r="G173" s="152"/>
      <c r="H173" s="152"/>
      <c r="I173" s="152"/>
      <c r="J173" s="152">
        <v>1899</v>
      </c>
      <c r="K173" s="152">
        <v>12</v>
      </c>
    </row>
    <row r="174" spans="1:11" ht="13.5" customHeight="1" x14ac:dyDescent="0.15">
      <c r="A174" s="141"/>
      <c r="B174" s="148">
        <v>171</v>
      </c>
      <c r="C174" s="163"/>
      <c r="D174" s="151"/>
      <c r="E174" s="151" t="s">
        <v>367</v>
      </c>
      <c r="F174" s="151" t="s">
        <v>367</v>
      </c>
      <c r="G174" s="151"/>
      <c r="H174" s="151"/>
      <c r="I174" s="151"/>
      <c r="J174" s="151">
        <v>1899</v>
      </c>
      <c r="K174" s="151">
        <v>12</v>
      </c>
    </row>
    <row r="175" spans="1:11" ht="13.5" customHeight="1" x14ac:dyDescent="0.15">
      <c r="A175" s="141"/>
      <c r="B175" s="148">
        <v>172</v>
      </c>
      <c r="C175" s="164"/>
      <c r="D175" s="152"/>
      <c r="E175" s="152" t="s">
        <v>367</v>
      </c>
      <c r="F175" s="152" t="s">
        <v>367</v>
      </c>
      <c r="G175" s="152"/>
      <c r="H175" s="152"/>
      <c r="I175" s="152"/>
      <c r="J175" s="152">
        <v>1899</v>
      </c>
      <c r="K175" s="152">
        <v>12</v>
      </c>
    </row>
    <row r="176" spans="1:11" ht="13.5" customHeight="1" x14ac:dyDescent="0.15">
      <c r="A176" s="141"/>
      <c r="B176" s="148">
        <v>173</v>
      </c>
      <c r="C176" s="163"/>
      <c r="D176" s="151"/>
      <c r="E176" s="151" t="s">
        <v>367</v>
      </c>
      <c r="F176" s="151" t="s">
        <v>367</v>
      </c>
      <c r="G176" s="151"/>
      <c r="H176" s="151"/>
      <c r="I176" s="151"/>
      <c r="J176" s="151">
        <v>1899</v>
      </c>
      <c r="K176" s="151">
        <v>12</v>
      </c>
    </row>
    <row r="177" spans="1:11" ht="13.5" customHeight="1" x14ac:dyDescent="0.15">
      <c r="A177" s="141"/>
      <c r="B177" s="148">
        <v>174</v>
      </c>
      <c r="C177" s="164"/>
      <c r="D177" s="152"/>
      <c r="E177" s="152" t="s">
        <v>367</v>
      </c>
      <c r="F177" s="152" t="s">
        <v>367</v>
      </c>
      <c r="G177" s="152"/>
      <c r="H177" s="152"/>
      <c r="I177" s="152"/>
      <c r="J177" s="152">
        <v>1899</v>
      </c>
      <c r="K177" s="152">
        <v>12</v>
      </c>
    </row>
    <row r="178" spans="1:11" ht="13.5" customHeight="1" x14ac:dyDescent="0.15">
      <c r="A178" s="141"/>
      <c r="B178" s="148">
        <v>175</v>
      </c>
      <c r="C178" s="163"/>
      <c r="D178" s="151"/>
      <c r="E178" s="151" t="s">
        <v>367</v>
      </c>
      <c r="F178" s="151" t="s">
        <v>367</v>
      </c>
      <c r="G178" s="151"/>
      <c r="H178" s="151"/>
      <c r="I178" s="151"/>
      <c r="J178" s="151">
        <v>1899</v>
      </c>
      <c r="K178" s="151">
        <v>12</v>
      </c>
    </row>
    <row r="179" spans="1:11" ht="13.5" customHeight="1" x14ac:dyDescent="0.15">
      <c r="A179" s="141"/>
      <c r="B179" s="148">
        <v>176</v>
      </c>
      <c r="C179" s="164"/>
      <c r="D179" s="152"/>
      <c r="E179" s="152" t="s">
        <v>367</v>
      </c>
      <c r="F179" s="152" t="s">
        <v>367</v>
      </c>
      <c r="G179" s="152"/>
      <c r="H179" s="152"/>
      <c r="I179" s="152"/>
      <c r="J179" s="152">
        <v>1899</v>
      </c>
      <c r="K179" s="152">
        <v>12</v>
      </c>
    </row>
    <row r="180" spans="1:11" ht="13.5" customHeight="1" x14ac:dyDescent="0.15">
      <c r="A180" s="141"/>
      <c r="B180" s="148">
        <v>177</v>
      </c>
      <c r="C180" s="163"/>
      <c r="D180" s="151"/>
      <c r="E180" s="151" t="s">
        <v>367</v>
      </c>
      <c r="F180" s="151" t="s">
        <v>367</v>
      </c>
      <c r="G180" s="151"/>
      <c r="H180" s="151"/>
      <c r="I180" s="151"/>
      <c r="J180" s="151">
        <v>1899</v>
      </c>
      <c r="K180" s="151">
        <v>12</v>
      </c>
    </row>
    <row r="181" spans="1:11" ht="13.5" customHeight="1" x14ac:dyDescent="0.15">
      <c r="A181" s="141"/>
      <c r="B181" s="148">
        <v>178</v>
      </c>
      <c r="C181" s="164"/>
      <c r="D181" s="152"/>
      <c r="E181" s="152" t="s">
        <v>367</v>
      </c>
      <c r="F181" s="152" t="s">
        <v>367</v>
      </c>
      <c r="G181" s="152"/>
      <c r="H181" s="152"/>
      <c r="I181" s="152"/>
      <c r="J181" s="152">
        <v>1899</v>
      </c>
      <c r="K181" s="152">
        <v>12</v>
      </c>
    </row>
    <row r="182" spans="1:11" ht="13.5" customHeight="1" x14ac:dyDescent="0.15">
      <c r="A182" s="141"/>
      <c r="B182" s="148">
        <v>179</v>
      </c>
      <c r="C182" s="163"/>
      <c r="D182" s="151"/>
      <c r="E182" s="151" t="s">
        <v>367</v>
      </c>
      <c r="F182" s="151" t="s">
        <v>367</v>
      </c>
      <c r="G182" s="151"/>
      <c r="H182" s="151"/>
      <c r="I182" s="151"/>
      <c r="J182" s="151">
        <v>1899</v>
      </c>
      <c r="K182" s="151">
        <v>12</v>
      </c>
    </row>
    <row r="183" spans="1:11" ht="13.5" customHeight="1" x14ac:dyDescent="0.15">
      <c r="A183" s="141"/>
      <c r="B183" s="148">
        <v>180</v>
      </c>
      <c r="C183" s="164"/>
      <c r="D183" s="152"/>
      <c r="E183" s="152" t="s">
        <v>367</v>
      </c>
      <c r="F183" s="152" t="s">
        <v>367</v>
      </c>
      <c r="G183" s="152"/>
      <c r="H183" s="152"/>
      <c r="I183" s="152"/>
      <c r="J183" s="152">
        <v>1899</v>
      </c>
      <c r="K183" s="152">
        <v>12</v>
      </c>
    </row>
    <row r="184" spans="1:11" ht="13.5" customHeight="1" x14ac:dyDescent="0.15">
      <c r="A184" s="141"/>
      <c r="B184" s="148">
        <v>181</v>
      </c>
      <c r="C184" s="163"/>
      <c r="D184" s="151"/>
      <c r="E184" s="151" t="s">
        <v>367</v>
      </c>
      <c r="F184" s="151" t="s">
        <v>367</v>
      </c>
      <c r="G184" s="151"/>
      <c r="H184" s="151"/>
      <c r="I184" s="151"/>
      <c r="J184" s="151">
        <v>1899</v>
      </c>
      <c r="K184" s="151">
        <v>12</v>
      </c>
    </row>
    <row r="185" spans="1:11" ht="13.5" customHeight="1" x14ac:dyDescent="0.15">
      <c r="A185" s="141"/>
      <c r="B185" s="148">
        <v>182</v>
      </c>
      <c r="C185" s="164"/>
      <c r="D185" s="152"/>
      <c r="E185" s="152" t="s">
        <v>367</v>
      </c>
      <c r="F185" s="152" t="s">
        <v>367</v>
      </c>
      <c r="G185" s="152"/>
      <c r="H185" s="152"/>
      <c r="I185" s="152"/>
      <c r="J185" s="152">
        <v>1899</v>
      </c>
      <c r="K185" s="152">
        <v>12</v>
      </c>
    </row>
    <row r="186" spans="1:11" ht="13.5" customHeight="1" x14ac:dyDescent="0.15">
      <c r="A186" s="141"/>
      <c r="B186" s="148">
        <v>183</v>
      </c>
      <c r="C186" s="163"/>
      <c r="D186" s="151"/>
      <c r="E186" s="151" t="s">
        <v>367</v>
      </c>
      <c r="F186" s="151" t="s">
        <v>367</v>
      </c>
      <c r="G186" s="151"/>
      <c r="H186" s="151"/>
      <c r="I186" s="151"/>
      <c r="J186" s="151">
        <v>1899</v>
      </c>
      <c r="K186" s="151">
        <v>12</v>
      </c>
    </row>
    <row r="187" spans="1:11" ht="13.5" customHeight="1" x14ac:dyDescent="0.15">
      <c r="A187" s="141"/>
      <c r="B187" s="148">
        <v>184</v>
      </c>
      <c r="C187" s="164"/>
      <c r="D187" s="152"/>
      <c r="E187" s="152" t="s">
        <v>367</v>
      </c>
      <c r="F187" s="152" t="s">
        <v>367</v>
      </c>
      <c r="G187" s="152"/>
      <c r="H187" s="152"/>
      <c r="I187" s="152"/>
      <c r="J187" s="152">
        <v>1899</v>
      </c>
      <c r="K187" s="152">
        <v>12</v>
      </c>
    </row>
    <row r="188" spans="1:11" ht="13.5" customHeight="1" x14ac:dyDescent="0.15">
      <c r="A188" s="141"/>
      <c r="B188" s="148">
        <v>185</v>
      </c>
      <c r="C188" s="163"/>
      <c r="D188" s="151"/>
      <c r="E188" s="151" t="s">
        <v>367</v>
      </c>
      <c r="F188" s="151" t="s">
        <v>367</v>
      </c>
      <c r="G188" s="151"/>
      <c r="H188" s="151"/>
      <c r="I188" s="151"/>
      <c r="J188" s="151">
        <v>1899</v>
      </c>
      <c r="K188" s="151">
        <v>12</v>
      </c>
    </row>
    <row r="189" spans="1:11" ht="13.5" customHeight="1" x14ac:dyDescent="0.15">
      <c r="A189" s="141"/>
      <c r="B189" s="148">
        <v>186</v>
      </c>
      <c r="C189" s="164"/>
      <c r="D189" s="152"/>
      <c r="E189" s="152" t="s">
        <v>367</v>
      </c>
      <c r="F189" s="152" t="s">
        <v>367</v>
      </c>
      <c r="G189" s="152"/>
      <c r="H189" s="152"/>
      <c r="I189" s="152"/>
      <c r="J189" s="152">
        <v>1899</v>
      </c>
      <c r="K189" s="152">
        <v>12</v>
      </c>
    </row>
    <row r="190" spans="1:11" ht="13.5" customHeight="1" x14ac:dyDescent="0.15">
      <c r="A190" s="141"/>
      <c r="B190" s="148">
        <v>187</v>
      </c>
      <c r="C190" s="163"/>
      <c r="D190" s="151"/>
      <c r="E190" s="151" t="s">
        <v>367</v>
      </c>
      <c r="F190" s="151" t="s">
        <v>367</v>
      </c>
      <c r="G190" s="151"/>
      <c r="H190" s="151"/>
      <c r="I190" s="151"/>
      <c r="J190" s="151">
        <v>1899</v>
      </c>
      <c r="K190" s="151">
        <v>12</v>
      </c>
    </row>
    <row r="191" spans="1:11" ht="13.5" customHeight="1" x14ac:dyDescent="0.15">
      <c r="A191" s="141"/>
      <c r="B191" s="148">
        <v>188</v>
      </c>
      <c r="C191" s="164"/>
      <c r="D191" s="152"/>
      <c r="E191" s="152" t="s">
        <v>367</v>
      </c>
      <c r="F191" s="152" t="s">
        <v>367</v>
      </c>
      <c r="G191" s="152"/>
      <c r="H191" s="152"/>
      <c r="I191" s="152"/>
      <c r="J191" s="152">
        <v>1899</v>
      </c>
      <c r="K191" s="152">
        <v>12</v>
      </c>
    </row>
    <row r="192" spans="1:11" ht="13.5" customHeight="1" x14ac:dyDescent="0.15">
      <c r="A192" s="141"/>
      <c r="B192" s="148">
        <v>189</v>
      </c>
      <c r="C192" s="163"/>
      <c r="D192" s="151"/>
      <c r="E192" s="151" t="s">
        <v>367</v>
      </c>
      <c r="F192" s="151" t="s">
        <v>367</v>
      </c>
      <c r="G192" s="151"/>
      <c r="H192" s="151"/>
      <c r="I192" s="151"/>
      <c r="J192" s="151">
        <v>1899</v>
      </c>
      <c r="K192" s="151">
        <v>12</v>
      </c>
    </row>
    <row r="193" spans="1:11" ht="13.5" customHeight="1" x14ac:dyDescent="0.15">
      <c r="A193" s="141"/>
      <c r="B193" s="148">
        <v>190</v>
      </c>
      <c r="C193" s="164"/>
      <c r="D193" s="152"/>
      <c r="E193" s="152" t="s">
        <v>367</v>
      </c>
      <c r="F193" s="152" t="s">
        <v>367</v>
      </c>
      <c r="G193" s="152"/>
      <c r="H193" s="152"/>
      <c r="I193" s="152"/>
      <c r="J193" s="152">
        <v>1899</v>
      </c>
      <c r="K193" s="152">
        <v>12</v>
      </c>
    </row>
    <row r="194" spans="1:11" ht="13.5" customHeight="1" x14ac:dyDescent="0.15">
      <c r="A194" s="141"/>
      <c r="B194" s="148">
        <v>191</v>
      </c>
      <c r="C194" s="163"/>
      <c r="D194" s="151"/>
      <c r="E194" s="151" t="s">
        <v>367</v>
      </c>
      <c r="F194" s="151" t="s">
        <v>367</v>
      </c>
      <c r="G194" s="151"/>
      <c r="H194" s="151"/>
      <c r="I194" s="151"/>
      <c r="J194" s="151">
        <v>1899</v>
      </c>
      <c r="K194" s="151">
        <v>12</v>
      </c>
    </row>
    <row r="195" spans="1:11" ht="13.5" customHeight="1" x14ac:dyDescent="0.15">
      <c r="A195" s="141"/>
      <c r="B195" s="148">
        <v>192</v>
      </c>
      <c r="C195" s="164"/>
      <c r="D195" s="152"/>
      <c r="E195" s="152" t="s">
        <v>367</v>
      </c>
      <c r="F195" s="152" t="s">
        <v>367</v>
      </c>
      <c r="G195" s="152"/>
      <c r="H195" s="152"/>
      <c r="I195" s="152"/>
      <c r="J195" s="152">
        <v>1899</v>
      </c>
      <c r="K195" s="152">
        <v>12</v>
      </c>
    </row>
    <row r="196" spans="1:11" ht="13.5" customHeight="1" x14ac:dyDescent="0.15">
      <c r="A196" s="141"/>
      <c r="B196" s="148">
        <v>193</v>
      </c>
      <c r="C196" s="163"/>
      <c r="D196" s="151"/>
      <c r="E196" s="151" t="s">
        <v>367</v>
      </c>
      <c r="F196" s="151" t="s">
        <v>367</v>
      </c>
      <c r="G196" s="151"/>
      <c r="H196" s="151"/>
      <c r="I196" s="151"/>
      <c r="J196" s="151">
        <v>1899</v>
      </c>
      <c r="K196" s="151">
        <v>12</v>
      </c>
    </row>
    <row r="197" spans="1:11" ht="13.5" customHeight="1" x14ac:dyDescent="0.15">
      <c r="A197" s="141"/>
      <c r="B197" s="148">
        <v>194</v>
      </c>
      <c r="C197" s="164"/>
      <c r="D197" s="152"/>
      <c r="E197" s="152" t="s">
        <v>367</v>
      </c>
      <c r="F197" s="152" t="s">
        <v>367</v>
      </c>
      <c r="G197" s="152"/>
      <c r="H197" s="152"/>
      <c r="I197" s="152"/>
      <c r="J197" s="152">
        <v>1899</v>
      </c>
      <c r="K197" s="152">
        <v>12</v>
      </c>
    </row>
    <row r="198" spans="1:11" ht="13.5" customHeight="1" x14ac:dyDescent="0.15">
      <c r="A198" s="141"/>
      <c r="B198" s="148">
        <v>195</v>
      </c>
      <c r="C198" s="163"/>
      <c r="D198" s="151"/>
      <c r="E198" s="151" t="s">
        <v>367</v>
      </c>
      <c r="F198" s="151" t="s">
        <v>367</v>
      </c>
      <c r="G198" s="151"/>
      <c r="H198" s="151"/>
      <c r="I198" s="151"/>
      <c r="J198" s="151">
        <v>1899</v>
      </c>
      <c r="K198" s="151">
        <v>12</v>
      </c>
    </row>
    <row r="199" spans="1:11" ht="13.5" customHeight="1" x14ac:dyDescent="0.15">
      <c r="A199" s="141"/>
      <c r="B199" s="148">
        <v>196</v>
      </c>
      <c r="C199" s="164"/>
      <c r="D199" s="152"/>
      <c r="E199" s="152" t="s">
        <v>367</v>
      </c>
      <c r="F199" s="152" t="s">
        <v>367</v>
      </c>
      <c r="G199" s="152"/>
      <c r="H199" s="152"/>
      <c r="I199" s="152"/>
      <c r="J199" s="152">
        <v>1899</v>
      </c>
      <c r="K199" s="152">
        <v>12</v>
      </c>
    </row>
    <row r="200" spans="1:11" ht="13.5" customHeight="1" x14ac:dyDescent="0.15">
      <c r="A200" s="141"/>
      <c r="B200" s="148">
        <v>197</v>
      </c>
      <c r="C200" s="163"/>
      <c r="D200" s="151"/>
      <c r="E200" s="151" t="s">
        <v>367</v>
      </c>
      <c r="F200" s="151" t="s">
        <v>367</v>
      </c>
      <c r="G200" s="151"/>
      <c r="H200" s="151"/>
      <c r="I200" s="151"/>
      <c r="J200" s="151">
        <v>1899</v>
      </c>
      <c r="K200" s="151">
        <v>12</v>
      </c>
    </row>
    <row r="201" spans="1:11" ht="13.5" customHeight="1" x14ac:dyDescent="0.15">
      <c r="A201" s="141"/>
      <c r="B201" s="148">
        <v>198</v>
      </c>
      <c r="C201" s="164"/>
      <c r="D201" s="152"/>
      <c r="E201" s="152" t="s">
        <v>367</v>
      </c>
      <c r="F201" s="152" t="s">
        <v>367</v>
      </c>
      <c r="G201" s="152"/>
      <c r="H201" s="152"/>
      <c r="I201" s="152"/>
      <c r="J201" s="152">
        <v>1899</v>
      </c>
      <c r="K201" s="152">
        <v>12</v>
      </c>
    </row>
    <row r="202" spans="1:11" ht="13.5" customHeight="1" x14ac:dyDescent="0.15">
      <c r="A202" s="141"/>
      <c r="B202" s="148">
        <v>199</v>
      </c>
      <c r="C202" s="163"/>
      <c r="D202" s="151"/>
      <c r="E202" s="151" t="s">
        <v>367</v>
      </c>
      <c r="F202" s="151" t="s">
        <v>367</v>
      </c>
      <c r="G202" s="151"/>
      <c r="H202" s="151"/>
      <c r="I202" s="151"/>
      <c r="J202" s="151">
        <v>1899</v>
      </c>
      <c r="K202" s="151">
        <v>12</v>
      </c>
    </row>
    <row r="203" spans="1:11" ht="13.5" customHeight="1" x14ac:dyDescent="0.15">
      <c r="A203" s="141"/>
      <c r="B203" s="148">
        <v>200</v>
      </c>
      <c r="C203" s="164"/>
      <c r="D203" s="152"/>
      <c r="E203" s="152" t="s">
        <v>367</v>
      </c>
      <c r="F203" s="152" t="s">
        <v>367</v>
      </c>
      <c r="G203" s="152"/>
      <c r="H203" s="152"/>
      <c r="I203" s="152"/>
      <c r="J203" s="152">
        <v>1899</v>
      </c>
      <c r="K203" s="152">
        <v>12</v>
      </c>
    </row>
    <row r="204" spans="1:11" ht="13.5" customHeight="1" x14ac:dyDescent="0.15">
      <c r="A204" s="141"/>
      <c r="B204" s="148">
        <v>201</v>
      </c>
      <c r="C204" s="163"/>
      <c r="D204" s="151"/>
      <c r="E204" s="151" t="s">
        <v>367</v>
      </c>
      <c r="F204" s="151" t="s">
        <v>367</v>
      </c>
      <c r="G204" s="151"/>
      <c r="H204" s="151"/>
      <c r="I204" s="151"/>
      <c r="J204" s="151">
        <v>1899</v>
      </c>
      <c r="K204" s="151">
        <v>12</v>
      </c>
    </row>
    <row r="205" spans="1:11" ht="13.5" customHeight="1" x14ac:dyDescent="0.15">
      <c r="A205" s="141"/>
      <c r="B205" s="148">
        <v>202</v>
      </c>
      <c r="C205" s="164"/>
      <c r="D205" s="152"/>
      <c r="E205" s="152" t="s">
        <v>367</v>
      </c>
      <c r="F205" s="152" t="s">
        <v>367</v>
      </c>
      <c r="G205" s="152"/>
      <c r="H205" s="152"/>
      <c r="I205" s="152"/>
      <c r="J205" s="152">
        <v>1899</v>
      </c>
      <c r="K205" s="152">
        <v>12</v>
      </c>
    </row>
    <row r="206" spans="1:11" ht="13.5" customHeight="1" x14ac:dyDescent="0.15">
      <c r="A206" s="141"/>
      <c r="B206" s="148">
        <v>203</v>
      </c>
      <c r="C206" s="163"/>
      <c r="D206" s="151"/>
      <c r="E206" s="151" t="s">
        <v>367</v>
      </c>
      <c r="F206" s="151" t="s">
        <v>367</v>
      </c>
      <c r="G206" s="151"/>
      <c r="H206" s="151"/>
      <c r="I206" s="151"/>
      <c r="J206" s="151">
        <v>1899</v>
      </c>
      <c r="K206" s="151">
        <v>12</v>
      </c>
    </row>
    <row r="207" spans="1:11" ht="13.5" customHeight="1" x14ac:dyDescent="0.15">
      <c r="A207" s="141"/>
      <c r="B207" s="148">
        <v>204</v>
      </c>
      <c r="C207" s="164"/>
      <c r="D207" s="152"/>
      <c r="E207" s="152" t="s">
        <v>367</v>
      </c>
      <c r="F207" s="152" t="s">
        <v>367</v>
      </c>
      <c r="G207" s="152"/>
      <c r="H207" s="152"/>
      <c r="I207" s="152"/>
      <c r="J207" s="152">
        <v>1899</v>
      </c>
      <c r="K207" s="152">
        <v>12</v>
      </c>
    </row>
    <row r="208" spans="1:11" ht="13.5" customHeight="1" x14ac:dyDescent="0.15">
      <c r="A208" s="141"/>
      <c r="B208" s="148">
        <v>205</v>
      </c>
      <c r="C208" s="163"/>
      <c r="D208" s="151"/>
      <c r="E208" s="151" t="s">
        <v>367</v>
      </c>
      <c r="F208" s="151" t="s">
        <v>367</v>
      </c>
      <c r="G208" s="151"/>
      <c r="H208" s="151"/>
      <c r="I208" s="151"/>
      <c r="J208" s="151">
        <v>1899</v>
      </c>
      <c r="K208" s="151">
        <v>12</v>
      </c>
    </row>
    <row r="209" spans="1:11" ht="13.5" customHeight="1" x14ac:dyDescent="0.15">
      <c r="A209" s="141"/>
      <c r="B209" s="148">
        <v>206</v>
      </c>
      <c r="C209" s="164"/>
      <c r="D209" s="152"/>
      <c r="E209" s="152" t="s">
        <v>367</v>
      </c>
      <c r="F209" s="152" t="s">
        <v>367</v>
      </c>
      <c r="G209" s="152"/>
      <c r="H209" s="152"/>
      <c r="I209" s="152"/>
      <c r="J209" s="152">
        <v>1899</v>
      </c>
      <c r="K209" s="152">
        <v>12</v>
      </c>
    </row>
    <row r="210" spans="1:11" ht="13.5" customHeight="1" x14ac:dyDescent="0.15">
      <c r="A210" s="141"/>
      <c r="B210" s="148">
        <v>207</v>
      </c>
      <c r="C210" s="163"/>
      <c r="D210" s="151"/>
      <c r="E210" s="151" t="s">
        <v>367</v>
      </c>
      <c r="F210" s="151" t="s">
        <v>367</v>
      </c>
      <c r="G210" s="151"/>
      <c r="H210" s="151"/>
      <c r="I210" s="151"/>
      <c r="J210" s="151">
        <v>1899</v>
      </c>
      <c r="K210" s="151">
        <v>12</v>
      </c>
    </row>
    <row r="211" spans="1:11" ht="13.5" customHeight="1" x14ac:dyDescent="0.15">
      <c r="A211" s="141"/>
      <c r="B211" s="148">
        <v>208</v>
      </c>
      <c r="C211" s="164"/>
      <c r="D211" s="152"/>
      <c r="E211" s="152" t="s">
        <v>367</v>
      </c>
      <c r="F211" s="152" t="s">
        <v>367</v>
      </c>
      <c r="G211" s="152"/>
      <c r="H211" s="152"/>
      <c r="I211" s="152"/>
      <c r="J211" s="152">
        <v>1899</v>
      </c>
      <c r="K211" s="152">
        <v>12</v>
      </c>
    </row>
    <row r="212" spans="1:11" ht="13.5" customHeight="1" x14ac:dyDescent="0.15">
      <c r="A212" s="141"/>
      <c r="B212" s="148">
        <v>209</v>
      </c>
      <c r="C212" s="163"/>
      <c r="D212" s="151"/>
      <c r="E212" s="151" t="s">
        <v>367</v>
      </c>
      <c r="F212" s="151" t="s">
        <v>367</v>
      </c>
      <c r="G212" s="151"/>
      <c r="H212" s="151"/>
      <c r="I212" s="151"/>
      <c r="J212" s="151">
        <v>1899</v>
      </c>
      <c r="K212" s="151">
        <v>12</v>
      </c>
    </row>
    <row r="213" spans="1:11" ht="13.5" customHeight="1" x14ac:dyDescent="0.15">
      <c r="A213" s="141"/>
      <c r="B213" s="148">
        <v>210</v>
      </c>
      <c r="C213" s="164"/>
      <c r="D213" s="152"/>
      <c r="E213" s="152" t="s">
        <v>367</v>
      </c>
      <c r="F213" s="152" t="s">
        <v>367</v>
      </c>
      <c r="G213" s="152"/>
      <c r="H213" s="152"/>
      <c r="I213" s="152"/>
      <c r="J213" s="152">
        <v>1899</v>
      </c>
      <c r="K213" s="152">
        <v>12</v>
      </c>
    </row>
    <row r="214" spans="1:11" ht="13.5" customHeight="1" x14ac:dyDescent="0.15">
      <c r="A214" s="141"/>
      <c r="B214" s="148">
        <v>211</v>
      </c>
      <c r="C214" s="163"/>
      <c r="D214" s="151"/>
      <c r="E214" s="151" t="s">
        <v>367</v>
      </c>
      <c r="F214" s="151" t="s">
        <v>367</v>
      </c>
      <c r="G214" s="151"/>
      <c r="H214" s="151"/>
      <c r="I214" s="151"/>
      <c r="J214" s="151">
        <v>1899</v>
      </c>
      <c r="K214" s="151">
        <v>12</v>
      </c>
    </row>
    <row r="215" spans="1:11" ht="13.5" customHeight="1" x14ac:dyDescent="0.15">
      <c r="A215" s="141"/>
      <c r="B215" s="148">
        <v>212</v>
      </c>
      <c r="C215" s="164"/>
      <c r="D215" s="152"/>
      <c r="E215" s="152" t="s">
        <v>367</v>
      </c>
      <c r="F215" s="152" t="s">
        <v>367</v>
      </c>
      <c r="G215" s="152"/>
      <c r="H215" s="152"/>
      <c r="I215" s="152"/>
      <c r="J215" s="152">
        <v>1899</v>
      </c>
      <c r="K215" s="152">
        <v>12</v>
      </c>
    </row>
    <row r="216" spans="1:11" ht="13.5" customHeight="1" x14ac:dyDescent="0.15">
      <c r="A216" s="141"/>
      <c r="B216" s="148">
        <v>213</v>
      </c>
      <c r="C216" s="163"/>
      <c r="D216" s="151"/>
      <c r="E216" s="151" t="s">
        <v>367</v>
      </c>
      <c r="F216" s="151" t="s">
        <v>367</v>
      </c>
      <c r="G216" s="151"/>
      <c r="H216" s="151"/>
      <c r="I216" s="151"/>
      <c r="J216" s="151">
        <v>1899</v>
      </c>
      <c r="K216" s="151">
        <v>12</v>
      </c>
    </row>
    <row r="217" spans="1:11" ht="13.5" customHeight="1" x14ac:dyDescent="0.15">
      <c r="A217" s="141"/>
      <c r="B217" s="148">
        <v>214</v>
      </c>
      <c r="C217" s="164"/>
      <c r="D217" s="152"/>
      <c r="E217" s="152" t="s">
        <v>367</v>
      </c>
      <c r="F217" s="152" t="s">
        <v>367</v>
      </c>
      <c r="G217" s="152"/>
      <c r="H217" s="152"/>
      <c r="I217" s="152"/>
      <c r="J217" s="152">
        <v>1899</v>
      </c>
      <c r="K217" s="152">
        <v>12</v>
      </c>
    </row>
    <row r="218" spans="1:11" ht="13.5" customHeight="1" x14ac:dyDescent="0.15">
      <c r="A218" s="141"/>
      <c r="B218" s="148">
        <v>215</v>
      </c>
      <c r="C218" s="163"/>
      <c r="D218" s="151"/>
      <c r="E218" s="151" t="s">
        <v>367</v>
      </c>
      <c r="F218" s="151" t="s">
        <v>367</v>
      </c>
      <c r="G218" s="151"/>
      <c r="H218" s="151"/>
      <c r="I218" s="151"/>
      <c r="J218" s="151">
        <v>1899</v>
      </c>
      <c r="K218" s="151">
        <v>12</v>
      </c>
    </row>
    <row r="219" spans="1:11" ht="13.5" customHeight="1" x14ac:dyDescent="0.15">
      <c r="A219" s="141"/>
      <c r="B219" s="148">
        <v>216</v>
      </c>
      <c r="C219" s="164"/>
      <c r="D219" s="152"/>
      <c r="E219" s="152" t="s">
        <v>367</v>
      </c>
      <c r="F219" s="152" t="s">
        <v>367</v>
      </c>
      <c r="G219" s="152"/>
      <c r="H219" s="152"/>
      <c r="I219" s="152"/>
      <c r="J219" s="152">
        <v>1899</v>
      </c>
      <c r="K219" s="152">
        <v>12</v>
      </c>
    </row>
    <row r="220" spans="1:11" ht="13.5" customHeight="1" x14ac:dyDescent="0.15">
      <c r="A220" s="141"/>
      <c r="B220" s="148">
        <v>217</v>
      </c>
      <c r="C220" s="163"/>
      <c r="D220" s="151"/>
      <c r="E220" s="151" t="s">
        <v>367</v>
      </c>
      <c r="F220" s="151" t="s">
        <v>367</v>
      </c>
      <c r="G220" s="151"/>
      <c r="H220" s="151"/>
      <c r="I220" s="151"/>
      <c r="J220" s="151">
        <v>1899</v>
      </c>
      <c r="K220" s="151">
        <v>12</v>
      </c>
    </row>
    <row r="221" spans="1:11" ht="13.5" customHeight="1" x14ac:dyDescent="0.15">
      <c r="A221" s="141"/>
      <c r="B221" s="148">
        <v>218</v>
      </c>
      <c r="C221" s="164"/>
      <c r="D221" s="152"/>
      <c r="E221" s="152" t="s">
        <v>367</v>
      </c>
      <c r="F221" s="152" t="s">
        <v>367</v>
      </c>
      <c r="G221" s="152"/>
      <c r="H221" s="152"/>
      <c r="I221" s="152"/>
      <c r="J221" s="152">
        <v>1899</v>
      </c>
      <c r="K221" s="152">
        <v>12</v>
      </c>
    </row>
    <row r="222" spans="1:11" ht="13.5" customHeight="1" x14ac:dyDescent="0.15">
      <c r="A222" s="141"/>
      <c r="B222" s="148">
        <v>219</v>
      </c>
      <c r="C222" s="163"/>
      <c r="D222" s="151"/>
      <c r="E222" s="151" t="s">
        <v>367</v>
      </c>
      <c r="F222" s="151" t="s">
        <v>367</v>
      </c>
      <c r="G222" s="151"/>
      <c r="H222" s="151"/>
      <c r="I222" s="151"/>
      <c r="J222" s="151">
        <v>1899</v>
      </c>
      <c r="K222" s="151">
        <v>12</v>
      </c>
    </row>
    <row r="223" spans="1:11" ht="13.5" customHeight="1" x14ac:dyDescent="0.15">
      <c r="A223" s="141"/>
      <c r="B223" s="148">
        <v>220</v>
      </c>
      <c r="C223" s="164"/>
      <c r="D223" s="152"/>
      <c r="E223" s="152" t="s">
        <v>367</v>
      </c>
      <c r="F223" s="152" t="s">
        <v>367</v>
      </c>
      <c r="G223" s="152"/>
      <c r="H223" s="152"/>
      <c r="I223" s="152"/>
      <c r="J223" s="152">
        <v>1899</v>
      </c>
      <c r="K223" s="152">
        <v>12</v>
      </c>
    </row>
    <row r="224" spans="1:11" ht="13.5" customHeight="1" x14ac:dyDescent="0.15">
      <c r="A224" s="141"/>
      <c r="B224" s="148">
        <v>221</v>
      </c>
      <c r="C224" s="163"/>
      <c r="D224" s="151"/>
      <c r="E224" s="151" t="s">
        <v>367</v>
      </c>
      <c r="F224" s="151" t="s">
        <v>367</v>
      </c>
      <c r="G224" s="151"/>
      <c r="H224" s="151"/>
      <c r="I224" s="151"/>
      <c r="J224" s="151">
        <v>1899</v>
      </c>
      <c r="K224" s="151">
        <v>12</v>
      </c>
    </row>
    <row r="225" spans="1:11" ht="13.5" customHeight="1" x14ac:dyDescent="0.15">
      <c r="A225" s="141"/>
      <c r="B225" s="148">
        <v>222</v>
      </c>
      <c r="C225" s="164"/>
      <c r="D225" s="152"/>
      <c r="E225" s="152" t="s">
        <v>367</v>
      </c>
      <c r="F225" s="152" t="s">
        <v>367</v>
      </c>
      <c r="G225" s="152"/>
      <c r="H225" s="152"/>
      <c r="I225" s="152"/>
      <c r="J225" s="152">
        <v>1899</v>
      </c>
      <c r="K225" s="152">
        <v>12</v>
      </c>
    </row>
    <row r="226" spans="1:11" ht="13.5" customHeight="1" x14ac:dyDescent="0.15">
      <c r="A226" s="141"/>
      <c r="B226" s="148">
        <v>223</v>
      </c>
      <c r="C226" s="163"/>
      <c r="D226" s="151"/>
      <c r="E226" s="151" t="s">
        <v>367</v>
      </c>
      <c r="F226" s="151" t="s">
        <v>367</v>
      </c>
      <c r="G226" s="151"/>
      <c r="H226" s="151"/>
      <c r="I226" s="151"/>
      <c r="J226" s="151">
        <v>1899</v>
      </c>
      <c r="K226" s="151">
        <v>12</v>
      </c>
    </row>
    <row r="227" spans="1:11" ht="13.5" customHeight="1" x14ac:dyDescent="0.15">
      <c r="A227" s="141"/>
      <c r="B227" s="148">
        <v>224</v>
      </c>
      <c r="C227" s="164"/>
      <c r="D227" s="152"/>
      <c r="E227" s="152" t="s">
        <v>367</v>
      </c>
      <c r="F227" s="152" t="s">
        <v>367</v>
      </c>
      <c r="G227" s="152"/>
      <c r="H227" s="152"/>
      <c r="I227" s="152"/>
      <c r="J227" s="152">
        <v>1899</v>
      </c>
      <c r="K227" s="152">
        <v>12</v>
      </c>
    </row>
    <row r="228" spans="1:11" ht="13.5" customHeight="1" x14ac:dyDescent="0.15">
      <c r="A228" s="141"/>
      <c r="B228" s="148">
        <v>225</v>
      </c>
      <c r="C228" s="163"/>
      <c r="D228" s="151"/>
      <c r="E228" s="151" t="s">
        <v>367</v>
      </c>
      <c r="F228" s="151" t="s">
        <v>367</v>
      </c>
      <c r="G228" s="151"/>
      <c r="H228" s="151"/>
      <c r="I228" s="151"/>
      <c r="J228" s="151">
        <v>1899</v>
      </c>
      <c r="K228" s="151">
        <v>12</v>
      </c>
    </row>
    <row r="229" spans="1:11" ht="13.5" customHeight="1" x14ac:dyDescent="0.15">
      <c r="A229" s="141"/>
      <c r="B229" s="148">
        <v>226</v>
      </c>
      <c r="C229" s="164"/>
      <c r="D229" s="152"/>
      <c r="E229" s="152" t="s">
        <v>367</v>
      </c>
      <c r="F229" s="152" t="s">
        <v>367</v>
      </c>
      <c r="G229" s="152"/>
      <c r="H229" s="152"/>
      <c r="I229" s="152"/>
      <c r="J229" s="152">
        <v>1899</v>
      </c>
      <c r="K229" s="152">
        <v>12</v>
      </c>
    </row>
    <row r="230" spans="1:11" ht="13.5" customHeight="1" x14ac:dyDescent="0.15">
      <c r="A230" s="141"/>
      <c r="B230" s="148">
        <v>227</v>
      </c>
      <c r="C230" s="163"/>
      <c r="D230" s="151"/>
      <c r="E230" s="151" t="s">
        <v>367</v>
      </c>
      <c r="F230" s="151" t="s">
        <v>367</v>
      </c>
      <c r="G230" s="151"/>
      <c r="H230" s="151"/>
      <c r="I230" s="151"/>
      <c r="J230" s="151">
        <v>1899</v>
      </c>
      <c r="K230" s="151">
        <v>12</v>
      </c>
    </row>
    <row r="231" spans="1:11" ht="13.5" customHeight="1" x14ac:dyDescent="0.15">
      <c r="A231" s="141"/>
      <c r="B231" s="148">
        <v>228</v>
      </c>
      <c r="C231" s="164"/>
      <c r="D231" s="152"/>
      <c r="E231" s="152" t="s">
        <v>367</v>
      </c>
      <c r="F231" s="152" t="s">
        <v>367</v>
      </c>
      <c r="G231" s="152"/>
      <c r="H231" s="152"/>
      <c r="I231" s="152"/>
      <c r="J231" s="152">
        <v>1899</v>
      </c>
      <c r="K231" s="152">
        <v>12</v>
      </c>
    </row>
    <row r="232" spans="1:11" ht="13.5" customHeight="1" x14ac:dyDescent="0.15">
      <c r="A232" s="141"/>
      <c r="B232" s="148">
        <v>229</v>
      </c>
      <c r="C232" s="163"/>
      <c r="D232" s="151"/>
      <c r="E232" s="151" t="s">
        <v>367</v>
      </c>
      <c r="F232" s="151" t="s">
        <v>367</v>
      </c>
      <c r="G232" s="151"/>
      <c r="H232" s="151"/>
      <c r="I232" s="151"/>
      <c r="J232" s="151">
        <v>1899</v>
      </c>
      <c r="K232" s="151">
        <v>12</v>
      </c>
    </row>
    <row r="233" spans="1:11" ht="13.5" customHeight="1" x14ac:dyDescent="0.15">
      <c r="A233" s="141"/>
      <c r="B233" s="148">
        <v>230</v>
      </c>
      <c r="C233" s="164"/>
      <c r="D233" s="152"/>
      <c r="E233" s="152" t="s">
        <v>367</v>
      </c>
      <c r="F233" s="152" t="s">
        <v>367</v>
      </c>
      <c r="G233" s="152"/>
      <c r="H233" s="152"/>
      <c r="I233" s="152"/>
      <c r="J233" s="152">
        <v>1899</v>
      </c>
      <c r="K233" s="152">
        <v>12</v>
      </c>
    </row>
    <row r="234" spans="1:11" ht="13.5" customHeight="1" x14ac:dyDescent="0.15">
      <c r="A234" s="141"/>
      <c r="B234" s="148">
        <v>231</v>
      </c>
      <c r="C234" s="163"/>
      <c r="D234" s="151"/>
      <c r="E234" s="151" t="s">
        <v>367</v>
      </c>
      <c r="F234" s="151" t="s">
        <v>367</v>
      </c>
      <c r="G234" s="151"/>
      <c r="H234" s="151"/>
      <c r="I234" s="151"/>
      <c r="J234" s="151">
        <v>1899</v>
      </c>
      <c r="K234" s="151">
        <v>12</v>
      </c>
    </row>
    <row r="235" spans="1:11" ht="13.5" customHeight="1" x14ac:dyDescent="0.15">
      <c r="A235" s="141"/>
      <c r="B235" s="148">
        <v>232</v>
      </c>
      <c r="C235" s="164"/>
      <c r="D235" s="152"/>
      <c r="E235" s="152" t="s">
        <v>367</v>
      </c>
      <c r="F235" s="152" t="s">
        <v>367</v>
      </c>
      <c r="G235" s="152"/>
      <c r="H235" s="152"/>
      <c r="I235" s="152"/>
      <c r="J235" s="152">
        <v>1899</v>
      </c>
      <c r="K235" s="152">
        <v>12</v>
      </c>
    </row>
    <row r="236" spans="1:11" ht="13.5" customHeight="1" x14ac:dyDescent="0.15">
      <c r="A236" s="141"/>
      <c r="B236" s="148">
        <v>233</v>
      </c>
      <c r="C236" s="163"/>
      <c r="D236" s="151"/>
      <c r="E236" s="151" t="s">
        <v>367</v>
      </c>
      <c r="F236" s="151" t="s">
        <v>367</v>
      </c>
      <c r="G236" s="151"/>
      <c r="H236" s="151"/>
      <c r="I236" s="151"/>
      <c r="J236" s="151">
        <v>1899</v>
      </c>
      <c r="K236" s="151">
        <v>12</v>
      </c>
    </row>
    <row r="237" spans="1:11" ht="13.5" customHeight="1" x14ac:dyDescent="0.15">
      <c r="A237" s="141"/>
      <c r="B237" s="148">
        <v>234</v>
      </c>
      <c r="C237" s="164"/>
      <c r="D237" s="152"/>
      <c r="E237" s="152" t="s">
        <v>367</v>
      </c>
      <c r="F237" s="152" t="s">
        <v>367</v>
      </c>
      <c r="G237" s="152"/>
      <c r="H237" s="152"/>
      <c r="I237" s="152"/>
      <c r="J237" s="152">
        <v>1899</v>
      </c>
      <c r="K237" s="152">
        <v>12</v>
      </c>
    </row>
    <row r="238" spans="1:11" ht="13.5" customHeight="1" x14ac:dyDescent="0.15">
      <c r="A238" s="141"/>
      <c r="B238" s="148">
        <v>235</v>
      </c>
      <c r="C238" s="163"/>
      <c r="D238" s="151"/>
      <c r="E238" s="151" t="s">
        <v>367</v>
      </c>
      <c r="F238" s="151" t="s">
        <v>367</v>
      </c>
      <c r="G238" s="151"/>
      <c r="H238" s="151"/>
      <c r="I238" s="151"/>
      <c r="J238" s="151">
        <v>1899</v>
      </c>
      <c r="K238" s="151">
        <v>12</v>
      </c>
    </row>
    <row r="239" spans="1:11" ht="13.5" customHeight="1" x14ac:dyDescent="0.15">
      <c r="A239" s="141"/>
      <c r="B239" s="148">
        <v>236</v>
      </c>
      <c r="C239" s="164"/>
      <c r="D239" s="152"/>
      <c r="E239" s="152" t="s">
        <v>367</v>
      </c>
      <c r="F239" s="152" t="s">
        <v>367</v>
      </c>
      <c r="G239" s="152"/>
      <c r="H239" s="152"/>
      <c r="I239" s="152"/>
      <c r="J239" s="152">
        <v>1899</v>
      </c>
      <c r="K239" s="152">
        <v>12</v>
      </c>
    </row>
    <row r="240" spans="1:11" ht="13.5" customHeight="1" x14ac:dyDescent="0.15">
      <c r="A240" s="141"/>
      <c r="B240" s="148">
        <v>237</v>
      </c>
      <c r="C240" s="163"/>
      <c r="D240" s="151"/>
      <c r="E240" s="151" t="s">
        <v>367</v>
      </c>
      <c r="F240" s="151" t="s">
        <v>367</v>
      </c>
      <c r="G240" s="151"/>
      <c r="H240" s="151"/>
      <c r="I240" s="151"/>
      <c r="J240" s="151">
        <v>1899</v>
      </c>
      <c r="K240" s="151">
        <v>12</v>
      </c>
    </row>
    <row r="241" spans="1:11" ht="13.5" customHeight="1" x14ac:dyDescent="0.15">
      <c r="A241" s="141"/>
      <c r="B241" s="148">
        <v>238</v>
      </c>
      <c r="C241" s="164"/>
      <c r="D241" s="152"/>
      <c r="E241" s="152" t="s">
        <v>367</v>
      </c>
      <c r="F241" s="152" t="s">
        <v>367</v>
      </c>
      <c r="G241" s="152"/>
      <c r="H241" s="152"/>
      <c r="I241" s="152"/>
      <c r="J241" s="152">
        <v>1899</v>
      </c>
      <c r="K241" s="152">
        <v>12</v>
      </c>
    </row>
    <row r="242" spans="1:11" ht="13.5" customHeight="1" x14ac:dyDescent="0.15">
      <c r="A242" s="141"/>
      <c r="B242" s="148">
        <v>239</v>
      </c>
      <c r="C242" s="163"/>
      <c r="D242" s="151"/>
      <c r="E242" s="151" t="s">
        <v>367</v>
      </c>
      <c r="F242" s="151" t="s">
        <v>367</v>
      </c>
      <c r="G242" s="151"/>
      <c r="H242" s="151"/>
      <c r="I242" s="151"/>
      <c r="J242" s="151">
        <v>1899</v>
      </c>
      <c r="K242" s="151">
        <v>12</v>
      </c>
    </row>
    <row r="243" spans="1:11" ht="13.5" customHeight="1" x14ac:dyDescent="0.15">
      <c r="A243" s="141"/>
      <c r="B243" s="148">
        <v>240</v>
      </c>
      <c r="C243" s="164"/>
      <c r="D243" s="152"/>
      <c r="E243" s="152" t="s">
        <v>367</v>
      </c>
      <c r="F243" s="152" t="s">
        <v>367</v>
      </c>
      <c r="G243" s="152"/>
      <c r="H243" s="152"/>
      <c r="I243" s="152"/>
      <c r="J243" s="152">
        <v>1899</v>
      </c>
      <c r="K243" s="152">
        <v>12</v>
      </c>
    </row>
    <row r="244" spans="1:11" ht="13.5" customHeight="1" x14ac:dyDescent="0.15">
      <c r="A244" s="141"/>
      <c r="B244" s="148">
        <v>241</v>
      </c>
      <c r="C244" s="163"/>
      <c r="D244" s="151"/>
      <c r="E244" s="151" t="s">
        <v>367</v>
      </c>
      <c r="F244" s="151" t="s">
        <v>367</v>
      </c>
      <c r="G244" s="151"/>
      <c r="H244" s="151"/>
      <c r="I244" s="151"/>
      <c r="J244" s="151">
        <v>1899</v>
      </c>
      <c r="K244" s="151">
        <v>12</v>
      </c>
    </row>
    <row r="245" spans="1:11" ht="13.5" customHeight="1" x14ac:dyDescent="0.15">
      <c r="A245" s="141"/>
      <c r="B245" s="148">
        <v>242</v>
      </c>
      <c r="C245" s="164"/>
      <c r="D245" s="152"/>
      <c r="E245" s="152" t="s">
        <v>367</v>
      </c>
      <c r="F245" s="152" t="s">
        <v>367</v>
      </c>
      <c r="G245" s="152"/>
      <c r="H245" s="152"/>
      <c r="I245" s="152"/>
      <c r="J245" s="152">
        <v>1899</v>
      </c>
      <c r="K245" s="152">
        <v>12</v>
      </c>
    </row>
    <row r="246" spans="1:11" ht="13.5" customHeight="1" x14ac:dyDescent="0.15">
      <c r="A246" s="141"/>
      <c r="B246" s="148">
        <v>243</v>
      </c>
      <c r="C246" s="163"/>
      <c r="D246" s="151"/>
      <c r="E246" s="151" t="s">
        <v>367</v>
      </c>
      <c r="F246" s="151" t="s">
        <v>367</v>
      </c>
      <c r="G246" s="151"/>
      <c r="H246" s="151"/>
      <c r="I246" s="151"/>
      <c r="J246" s="151">
        <v>1899</v>
      </c>
      <c r="K246" s="151">
        <v>12</v>
      </c>
    </row>
    <row r="247" spans="1:11" ht="13.5" customHeight="1" x14ac:dyDescent="0.15">
      <c r="A247" s="141"/>
      <c r="B247" s="148">
        <v>244</v>
      </c>
      <c r="C247" s="164"/>
      <c r="D247" s="152"/>
      <c r="E247" s="152" t="s">
        <v>367</v>
      </c>
      <c r="F247" s="152" t="s">
        <v>367</v>
      </c>
      <c r="G247" s="152"/>
      <c r="H247" s="152"/>
      <c r="I247" s="152"/>
      <c r="J247" s="152">
        <v>1899</v>
      </c>
      <c r="K247" s="152">
        <v>12</v>
      </c>
    </row>
    <row r="248" spans="1:11" ht="13.5" customHeight="1" x14ac:dyDescent="0.15">
      <c r="A248" s="141"/>
      <c r="B248" s="148">
        <v>245</v>
      </c>
      <c r="C248" s="163"/>
      <c r="D248" s="151"/>
      <c r="E248" s="151" t="s">
        <v>367</v>
      </c>
      <c r="F248" s="151" t="s">
        <v>367</v>
      </c>
      <c r="G248" s="151"/>
      <c r="H248" s="151"/>
      <c r="I248" s="151"/>
      <c r="J248" s="151">
        <v>1899</v>
      </c>
      <c r="K248" s="151">
        <v>12</v>
      </c>
    </row>
    <row r="249" spans="1:11" ht="13.5" customHeight="1" x14ac:dyDescent="0.15">
      <c r="A249" s="141"/>
      <c r="B249" s="148">
        <v>246</v>
      </c>
      <c r="C249" s="164"/>
      <c r="D249" s="152"/>
      <c r="E249" s="152" t="s">
        <v>367</v>
      </c>
      <c r="F249" s="152" t="s">
        <v>367</v>
      </c>
      <c r="G249" s="152"/>
      <c r="H249" s="152"/>
      <c r="I249" s="152"/>
      <c r="J249" s="152">
        <v>1899</v>
      </c>
      <c r="K249" s="152">
        <v>12</v>
      </c>
    </row>
    <row r="250" spans="1:11" ht="13.5" customHeight="1" x14ac:dyDescent="0.15">
      <c r="A250" s="141"/>
      <c r="B250" s="148">
        <v>247</v>
      </c>
      <c r="C250" s="163"/>
      <c r="D250" s="151"/>
      <c r="E250" s="151" t="s">
        <v>367</v>
      </c>
      <c r="F250" s="151" t="s">
        <v>367</v>
      </c>
      <c r="G250" s="151"/>
      <c r="H250" s="151"/>
      <c r="I250" s="151"/>
      <c r="J250" s="151">
        <v>1899</v>
      </c>
      <c r="K250" s="151">
        <v>12</v>
      </c>
    </row>
    <row r="251" spans="1:11" ht="13.5" customHeight="1" x14ac:dyDescent="0.15">
      <c r="A251" s="141"/>
      <c r="B251" s="148">
        <v>248</v>
      </c>
      <c r="C251" s="164"/>
      <c r="D251" s="152"/>
      <c r="E251" s="152" t="s">
        <v>367</v>
      </c>
      <c r="F251" s="152" t="s">
        <v>367</v>
      </c>
      <c r="G251" s="152"/>
      <c r="H251" s="152"/>
      <c r="I251" s="152"/>
      <c r="J251" s="152">
        <v>1899</v>
      </c>
      <c r="K251" s="152">
        <v>12</v>
      </c>
    </row>
    <row r="252" spans="1:11" ht="13.5" customHeight="1" x14ac:dyDescent="0.15">
      <c r="A252" s="141"/>
      <c r="B252" s="148">
        <v>249</v>
      </c>
      <c r="C252" s="163"/>
      <c r="D252" s="151"/>
      <c r="E252" s="151" t="s">
        <v>367</v>
      </c>
      <c r="F252" s="151" t="s">
        <v>367</v>
      </c>
      <c r="G252" s="151"/>
      <c r="H252" s="151"/>
      <c r="I252" s="151"/>
      <c r="J252" s="151">
        <v>1899</v>
      </c>
      <c r="K252" s="151">
        <v>12</v>
      </c>
    </row>
    <row r="253" spans="1:11" ht="13.5" customHeight="1" x14ac:dyDescent="0.15">
      <c r="A253" s="141"/>
      <c r="B253" s="148">
        <v>250</v>
      </c>
      <c r="C253" s="164"/>
      <c r="D253" s="152"/>
      <c r="E253" s="152" t="s">
        <v>367</v>
      </c>
      <c r="F253" s="152" t="s">
        <v>367</v>
      </c>
      <c r="G253" s="152"/>
      <c r="H253" s="152"/>
      <c r="I253" s="152"/>
      <c r="J253" s="152">
        <v>1899</v>
      </c>
      <c r="K253" s="152">
        <v>12</v>
      </c>
    </row>
    <row r="254" spans="1:11" ht="13.5" customHeight="1" x14ac:dyDescent="0.15">
      <c r="A254" s="141"/>
      <c r="B254" s="148">
        <v>251</v>
      </c>
      <c r="C254" s="163"/>
      <c r="D254" s="151"/>
      <c r="E254" s="151" t="s">
        <v>367</v>
      </c>
      <c r="F254" s="151" t="s">
        <v>367</v>
      </c>
      <c r="G254" s="151"/>
      <c r="H254" s="151"/>
      <c r="I254" s="151"/>
      <c r="J254" s="151">
        <v>1899</v>
      </c>
      <c r="K254" s="151">
        <v>12</v>
      </c>
    </row>
    <row r="255" spans="1:11" ht="13.5" customHeight="1" x14ac:dyDescent="0.15">
      <c r="A255" s="141"/>
      <c r="B255" s="148">
        <v>252</v>
      </c>
      <c r="C255" s="164"/>
      <c r="D255" s="152"/>
      <c r="E255" s="152" t="s">
        <v>367</v>
      </c>
      <c r="F255" s="152" t="s">
        <v>367</v>
      </c>
      <c r="G255" s="152"/>
      <c r="H255" s="152"/>
      <c r="I255" s="152"/>
      <c r="J255" s="152">
        <v>1899</v>
      </c>
      <c r="K255" s="152">
        <v>12</v>
      </c>
    </row>
    <row r="256" spans="1:11" ht="13.5" customHeight="1" x14ac:dyDescent="0.15">
      <c r="A256" s="141"/>
      <c r="B256" s="148">
        <v>253</v>
      </c>
      <c r="C256" s="163"/>
      <c r="D256" s="151"/>
      <c r="E256" s="151" t="s">
        <v>367</v>
      </c>
      <c r="F256" s="151" t="s">
        <v>367</v>
      </c>
      <c r="G256" s="151"/>
      <c r="H256" s="151"/>
      <c r="I256" s="151"/>
      <c r="J256" s="151">
        <v>1899</v>
      </c>
      <c r="K256" s="151">
        <v>12</v>
      </c>
    </row>
    <row r="257" spans="1:11" ht="13.5" customHeight="1" x14ac:dyDescent="0.15">
      <c r="A257" s="141"/>
      <c r="B257" s="148">
        <v>254</v>
      </c>
      <c r="C257" s="164"/>
      <c r="D257" s="152"/>
      <c r="E257" s="152" t="s">
        <v>367</v>
      </c>
      <c r="F257" s="152" t="s">
        <v>367</v>
      </c>
      <c r="G257" s="152"/>
      <c r="H257" s="152"/>
      <c r="I257" s="152"/>
      <c r="J257" s="152">
        <v>1899</v>
      </c>
      <c r="K257" s="152">
        <v>12</v>
      </c>
    </row>
    <row r="258" spans="1:11" ht="13.5" customHeight="1" x14ac:dyDescent="0.15">
      <c r="A258" s="141"/>
      <c r="B258" s="148">
        <v>255</v>
      </c>
      <c r="C258" s="163"/>
      <c r="D258" s="151"/>
      <c r="E258" s="151" t="s">
        <v>367</v>
      </c>
      <c r="F258" s="151" t="s">
        <v>367</v>
      </c>
      <c r="G258" s="151"/>
      <c r="H258" s="151"/>
      <c r="I258" s="151"/>
      <c r="J258" s="151">
        <v>1899</v>
      </c>
      <c r="K258" s="151">
        <v>12</v>
      </c>
    </row>
    <row r="259" spans="1:11" ht="13.5" customHeight="1" x14ac:dyDescent="0.15">
      <c r="A259" s="141"/>
      <c r="B259" s="148">
        <v>256</v>
      </c>
      <c r="C259" s="164"/>
      <c r="D259" s="152"/>
      <c r="E259" s="152" t="s">
        <v>367</v>
      </c>
      <c r="F259" s="152" t="s">
        <v>367</v>
      </c>
      <c r="G259" s="152"/>
      <c r="H259" s="152"/>
      <c r="I259" s="152"/>
      <c r="J259" s="152">
        <v>1899</v>
      </c>
      <c r="K259" s="152">
        <v>12</v>
      </c>
    </row>
    <row r="260" spans="1:11" ht="13.5" customHeight="1" x14ac:dyDescent="0.15">
      <c r="A260" s="141"/>
      <c r="B260" s="148">
        <v>257</v>
      </c>
      <c r="C260" s="163"/>
      <c r="D260" s="151"/>
      <c r="E260" s="151" t="s">
        <v>367</v>
      </c>
      <c r="F260" s="151" t="s">
        <v>367</v>
      </c>
      <c r="G260" s="151"/>
      <c r="H260" s="151"/>
      <c r="I260" s="151"/>
      <c r="J260" s="151">
        <v>1899</v>
      </c>
      <c r="K260" s="151">
        <v>12</v>
      </c>
    </row>
    <row r="261" spans="1:11" ht="13.5" customHeight="1" x14ac:dyDescent="0.15">
      <c r="A261" s="141"/>
      <c r="B261" s="148">
        <v>258</v>
      </c>
      <c r="C261" s="164"/>
      <c r="D261" s="152"/>
      <c r="E261" s="152" t="s">
        <v>367</v>
      </c>
      <c r="F261" s="152" t="s">
        <v>367</v>
      </c>
      <c r="G261" s="152"/>
      <c r="H261" s="152"/>
      <c r="I261" s="152"/>
      <c r="J261" s="152">
        <v>1899</v>
      </c>
      <c r="K261" s="152">
        <v>12</v>
      </c>
    </row>
    <row r="262" spans="1:11" ht="13.5" customHeight="1" x14ac:dyDescent="0.15">
      <c r="A262" s="141"/>
      <c r="B262" s="148">
        <v>259</v>
      </c>
      <c r="C262" s="163"/>
      <c r="D262" s="151"/>
      <c r="E262" s="151" t="s">
        <v>367</v>
      </c>
      <c r="F262" s="151" t="s">
        <v>367</v>
      </c>
      <c r="G262" s="151"/>
      <c r="H262" s="151"/>
      <c r="I262" s="151"/>
      <c r="J262" s="151">
        <v>1899</v>
      </c>
      <c r="K262" s="151">
        <v>12</v>
      </c>
    </row>
    <row r="263" spans="1:11" ht="13.5" customHeight="1" x14ac:dyDescent="0.15">
      <c r="A263" s="141"/>
      <c r="B263" s="148">
        <v>260</v>
      </c>
      <c r="C263" s="164"/>
      <c r="D263" s="152"/>
      <c r="E263" s="152" t="s">
        <v>367</v>
      </c>
      <c r="F263" s="152" t="s">
        <v>367</v>
      </c>
      <c r="G263" s="152"/>
      <c r="H263" s="152"/>
      <c r="I263" s="152"/>
      <c r="J263" s="152">
        <v>1899</v>
      </c>
      <c r="K263" s="152">
        <v>12</v>
      </c>
    </row>
    <row r="264" spans="1:11" ht="13.5" customHeight="1" x14ac:dyDescent="0.15">
      <c r="A264" s="141"/>
      <c r="B264" s="148">
        <v>261</v>
      </c>
      <c r="C264" s="163"/>
      <c r="D264" s="151"/>
      <c r="E264" s="151" t="s">
        <v>367</v>
      </c>
      <c r="F264" s="151" t="s">
        <v>367</v>
      </c>
      <c r="G264" s="151"/>
      <c r="H264" s="151"/>
      <c r="I264" s="151"/>
      <c r="J264" s="151">
        <v>1899</v>
      </c>
      <c r="K264" s="151">
        <v>12</v>
      </c>
    </row>
    <row r="265" spans="1:11" ht="13.5" customHeight="1" x14ac:dyDescent="0.15">
      <c r="A265" s="141"/>
      <c r="B265" s="148">
        <v>262</v>
      </c>
      <c r="C265" s="164"/>
      <c r="D265" s="152"/>
      <c r="E265" s="152" t="s">
        <v>367</v>
      </c>
      <c r="F265" s="152" t="s">
        <v>367</v>
      </c>
      <c r="G265" s="152"/>
      <c r="H265" s="152"/>
      <c r="I265" s="152"/>
      <c r="J265" s="152">
        <v>1899</v>
      </c>
      <c r="K265" s="152">
        <v>12</v>
      </c>
    </row>
    <row r="266" spans="1:11" ht="13.5" customHeight="1" x14ac:dyDescent="0.15">
      <c r="A266" s="141"/>
      <c r="B266" s="148">
        <v>263</v>
      </c>
      <c r="C266" s="163"/>
      <c r="D266" s="151"/>
      <c r="E266" s="151" t="s">
        <v>367</v>
      </c>
      <c r="F266" s="151" t="s">
        <v>367</v>
      </c>
      <c r="G266" s="151"/>
      <c r="H266" s="151"/>
      <c r="I266" s="151"/>
      <c r="J266" s="151">
        <v>1899</v>
      </c>
      <c r="K266" s="151">
        <v>12</v>
      </c>
    </row>
    <row r="267" spans="1:11" ht="13.5" customHeight="1" x14ac:dyDescent="0.15">
      <c r="A267" s="141"/>
      <c r="B267" s="148">
        <v>264</v>
      </c>
      <c r="C267" s="164"/>
      <c r="D267" s="152"/>
      <c r="E267" s="152" t="s">
        <v>367</v>
      </c>
      <c r="F267" s="152" t="s">
        <v>367</v>
      </c>
      <c r="G267" s="152"/>
      <c r="H267" s="152"/>
      <c r="I267" s="152"/>
      <c r="J267" s="152">
        <v>1899</v>
      </c>
      <c r="K267" s="152">
        <v>12</v>
      </c>
    </row>
    <row r="268" spans="1:11" ht="13.5" customHeight="1" x14ac:dyDescent="0.15">
      <c r="A268" s="141"/>
      <c r="B268" s="148">
        <v>265</v>
      </c>
      <c r="C268" s="163"/>
      <c r="D268" s="151"/>
      <c r="E268" s="151" t="s">
        <v>367</v>
      </c>
      <c r="F268" s="151" t="s">
        <v>367</v>
      </c>
      <c r="G268" s="151"/>
      <c r="H268" s="151"/>
      <c r="I268" s="151"/>
      <c r="J268" s="151">
        <v>1899</v>
      </c>
      <c r="K268" s="151">
        <v>12</v>
      </c>
    </row>
    <row r="269" spans="1:11" ht="13.5" customHeight="1" x14ac:dyDescent="0.15">
      <c r="A269" s="141"/>
      <c r="B269" s="148">
        <v>266</v>
      </c>
      <c r="C269" s="164"/>
      <c r="D269" s="152"/>
      <c r="E269" s="152" t="s">
        <v>367</v>
      </c>
      <c r="F269" s="152" t="s">
        <v>367</v>
      </c>
      <c r="G269" s="152"/>
      <c r="H269" s="152"/>
      <c r="I269" s="152"/>
      <c r="J269" s="152">
        <v>1899</v>
      </c>
      <c r="K269" s="152">
        <v>12</v>
      </c>
    </row>
    <row r="270" spans="1:11" ht="13.5" customHeight="1" x14ac:dyDescent="0.15">
      <c r="A270" s="141"/>
      <c r="B270" s="148">
        <v>267</v>
      </c>
      <c r="C270" s="163"/>
      <c r="D270" s="151"/>
      <c r="E270" s="151" t="s">
        <v>367</v>
      </c>
      <c r="F270" s="151" t="s">
        <v>367</v>
      </c>
      <c r="G270" s="151"/>
      <c r="H270" s="151"/>
      <c r="I270" s="151"/>
      <c r="J270" s="151">
        <v>1899</v>
      </c>
      <c r="K270" s="151">
        <v>12</v>
      </c>
    </row>
    <row r="271" spans="1:11" ht="13.5" customHeight="1" x14ac:dyDescent="0.15">
      <c r="A271" s="141"/>
      <c r="B271" s="148">
        <v>268</v>
      </c>
      <c r="C271" s="164"/>
      <c r="D271" s="152"/>
      <c r="E271" s="152" t="s">
        <v>367</v>
      </c>
      <c r="F271" s="152" t="s">
        <v>367</v>
      </c>
      <c r="G271" s="152"/>
      <c r="H271" s="152"/>
      <c r="I271" s="152"/>
      <c r="J271" s="152">
        <v>1899</v>
      </c>
      <c r="K271" s="152">
        <v>12</v>
      </c>
    </row>
    <row r="272" spans="1:11" ht="13.5" customHeight="1" x14ac:dyDescent="0.15">
      <c r="A272" s="141"/>
      <c r="B272" s="148">
        <v>269</v>
      </c>
      <c r="C272" s="163"/>
      <c r="D272" s="151"/>
      <c r="E272" s="151" t="s">
        <v>367</v>
      </c>
      <c r="F272" s="151" t="s">
        <v>367</v>
      </c>
      <c r="G272" s="151"/>
      <c r="H272" s="151"/>
      <c r="I272" s="151"/>
      <c r="J272" s="151">
        <v>1899</v>
      </c>
      <c r="K272" s="151">
        <v>12</v>
      </c>
    </row>
    <row r="273" spans="1:11" ht="13.5" customHeight="1" x14ac:dyDescent="0.15">
      <c r="A273" s="141"/>
      <c r="B273" s="148">
        <v>270</v>
      </c>
      <c r="C273" s="164"/>
      <c r="D273" s="152"/>
      <c r="E273" s="152" t="s">
        <v>367</v>
      </c>
      <c r="F273" s="152" t="s">
        <v>367</v>
      </c>
      <c r="G273" s="152"/>
      <c r="H273" s="152"/>
      <c r="I273" s="152"/>
      <c r="J273" s="152">
        <v>1899</v>
      </c>
      <c r="K273" s="152">
        <v>12</v>
      </c>
    </row>
    <row r="274" spans="1:11" ht="13.5" customHeight="1" x14ac:dyDescent="0.15">
      <c r="A274" s="141"/>
      <c r="B274" s="148">
        <v>271</v>
      </c>
      <c r="C274" s="163"/>
      <c r="D274" s="151"/>
      <c r="E274" s="151" t="s">
        <v>367</v>
      </c>
      <c r="F274" s="151" t="s">
        <v>367</v>
      </c>
      <c r="G274" s="151"/>
      <c r="H274" s="151"/>
      <c r="I274" s="151"/>
      <c r="J274" s="151">
        <v>1899</v>
      </c>
      <c r="K274" s="151">
        <v>12</v>
      </c>
    </row>
    <row r="275" spans="1:11" ht="13.5" customHeight="1" x14ac:dyDescent="0.15">
      <c r="A275" s="141"/>
      <c r="B275" s="148">
        <v>272</v>
      </c>
      <c r="C275" s="164"/>
      <c r="D275" s="152"/>
      <c r="E275" s="152" t="s">
        <v>367</v>
      </c>
      <c r="F275" s="152" t="s">
        <v>367</v>
      </c>
      <c r="G275" s="152"/>
      <c r="H275" s="152"/>
      <c r="I275" s="152"/>
      <c r="J275" s="152">
        <v>1899</v>
      </c>
      <c r="K275" s="152">
        <v>12</v>
      </c>
    </row>
    <row r="276" spans="1:11" ht="13.5" customHeight="1" x14ac:dyDescent="0.15">
      <c r="A276" s="141"/>
      <c r="B276" s="148">
        <v>273</v>
      </c>
      <c r="C276" s="163"/>
      <c r="D276" s="151"/>
      <c r="E276" s="151" t="s">
        <v>367</v>
      </c>
      <c r="F276" s="151" t="s">
        <v>367</v>
      </c>
      <c r="G276" s="151"/>
      <c r="H276" s="151"/>
      <c r="I276" s="151"/>
      <c r="J276" s="151">
        <v>1899</v>
      </c>
      <c r="K276" s="151">
        <v>12</v>
      </c>
    </row>
    <row r="277" spans="1:11" ht="13.5" customHeight="1" x14ac:dyDescent="0.15">
      <c r="A277" s="141"/>
      <c r="B277" s="148">
        <v>274</v>
      </c>
      <c r="C277" s="164"/>
      <c r="D277" s="152"/>
      <c r="E277" s="152" t="s">
        <v>367</v>
      </c>
      <c r="F277" s="152" t="s">
        <v>367</v>
      </c>
      <c r="G277" s="152"/>
      <c r="H277" s="152"/>
      <c r="I277" s="152"/>
      <c r="J277" s="152">
        <v>1899</v>
      </c>
      <c r="K277" s="152">
        <v>12</v>
      </c>
    </row>
    <row r="278" spans="1:11" ht="13.5" customHeight="1" x14ac:dyDescent="0.15">
      <c r="A278" s="141"/>
      <c r="B278" s="148">
        <v>275</v>
      </c>
      <c r="C278" s="163"/>
      <c r="D278" s="151"/>
      <c r="E278" s="151" t="s">
        <v>367</v>
      </c>
      <c r="F278" s="151" t="s">
        <v>367</v>
      </c>
      <c r="G278" s="151"/>
      <c r="H278" s="151"/>
      <c r="I278" s="151"/>
      <c r="J278" s="151">
        <v>1899</v>
      </c>
      <c r="K278" s="151">
        <v>12</v>
      </c>
    </row>
    <row r="279" spans="1:11" ht="13.5" customHeight="1" x14ac:dyDescent="0.15">
      <c r="A279" s="141"/>
      <c r="B279" s="148">
        <v>276</v>
      </c>
      <c r="C279" s="164"/>
      <c r="D279" s="152"/>
      <c r="E279" s="152" t="s">
        <v>367</v>
      </c>
      <c r="F279" s="152" t="s">
        <v>367</v>
      </c>
      <c r="G279" s="152"/>
      <c r="H279" s="152"/>
      <c r="I279" s="152"/>
      <c r="J279" s="152">
        <v>1899</v>
      </c>
      <c r="K279" s="152">
        <v>12</v>
      </c>
    </row>
    <row r="280" spans="1:11" ht="13.5" customHeight="1" x14ac:dyDescent="0.15">
      <c r="A280" s="141"/>
      <c r="B280" s="148">
        <v>277</v>
      </c>
      <c r="C280" s="163"/>
      <c r="D280" s="151"/>
      <c r="E280" s="151" t="s">
        <v>367</v>
      </c>
      <c r="F280" s="151" t="s">
        <v>367</v>
      </c>
      <c r="G280" s="151"/>
      <c r="H280" s="151"/>
      <c r="I280" s="151"/>
      <c r="J280" s="151">
        <v>1899</v>
      </c>
      <c r="K280" s="151">
        <v>12</v>
      </c>
    </row>
    <row r="281" spans="1:11" ht="13.5" customHeight="1" x14ac:dyDescent="0.15">
      <c r="A281" s="141"/>
      <c r="B281" s="148">
        <v>278</v>
      </c>
      <c r="C281" s="164"/>
      <c r="D281" s="152"/>
      <c r="E281" s="152" t="s">
        <v>367</v>
      </c>
      <c r="F281" s="152" t="s">
        <v>367</v>
      </c>
      <c r="G281" s="152"/>
      <c r="H281" s="152"/>
      <c r="I281" s="152"/>
      <c r="J281" s="152">
        <v>1899</v>
      </c>
      <c r="K281" s="152">
        <v>12</v>
      </c>
    </row>
    <row r="282" spans="1:11" ht="13.5" customHeight="1" x14ac:dyDescent="0.15">
      <c r="A282" s="141"/>
      <c r="B282" s="148">
        <v>279</v>
      </c>
      <c r="C282" s="163"/>
      <c r="D282" s="151"/>
      <c r="E282" s="151" t="s">
        <v>367</v>
      </c>
      <c r="F282" s="151" t="s">
        <v>367</v>
      </c>
      <c r="G282" s="151"/>
      <c r="H282" s="151"/>
      <c r="I282" s="151"/>
      <c r="J282" s="151">
        <v>1899</v>
      </c>
      <c r="K282" s="151">
        <v>12</v>
      </c>
    </row>
    <row r="283" spans="1:11" ht="13.5" customHeight="1" x14ac:dyDescent="0.15">
      <c r="A283" s="141"/>
      <c r="B283" s="148">
        <v>280</v>
      </c>
      <c r="C283" s="164"/>
      <c r="D283" s="152"/>
      <c r="E283" s="152" t="s">
        <v>367</v>
      </c>
      <c r="F283" s="152" t="s">
        <v>367</v>
      </c>
      <c r="G283" s="152"/>
      <c r="H283" s="152"/>
      <c r="I283" s="152"/>
      <c r="J283" s="152">
        <v>1899</v>
      </c>
      <c r="K283" s="152">
        <v>12</v>
      </c>
    </row>
    <row r="284" spans="1:11" ht="13.5" customHeight="1" x14ac:dyDescent="0.15">
      <c r="A284" s="141"/>
      <c r="B284" s="148">
        <v>281</v>
      </c>
      <c r="C284" s="163"/>
      <c r="D284" s="151"/>
      <c r="E284" s="151" t="s">
        <v>367</v>
      </c>
      <c r="F284" s="151" t="s">
        <v>367</v>
      </c>
      <c r="G284" s="151"/>
      <c r="H284" s="151"/>
      <c r="I284" s="151"/>
      <c r="J284" s="151">
        <v>1899</v>
      </c>
      <c r="K284" s="151">
        <v>12</v>
      </c>
    </row>
    <row r="285" spans="1:11" ht="13.5" customHeight="1" x14ac:dyDescent="0.15">
      <c r="A285" s="141"/>
      <c r="B285" s="148">
        <v>282</v>
      </c>
      <c r="C285" s="164"/>
      <c r="D285" s="152"/>
      <c r="E285" s="152" t="s">
        <v>367</v>
      </c>
      <c r="F285" s="152" t="s">
        <v>367</v>
      </c>
      <c r="G285" s="152"/>
      <c r="H285" s="152"/>
      <c r="I285" s="152"/>
      <c r="J285" s="152">
        <v>1899</v>
      </c>
      <c r="K285" s="152">
        <v>12</v>
      </c>
    </row>
    <row r="286" spans="1:11" ht="13.5" customHeight="1" x14ac:dyDescent="0.15">
      <c r="A286" s="141"/>
      <c r="B286" s="148">
        <v>283</v>
      </c>
      <c r="C286" s="163"/>
      <c r="D286" s="151"/>
      <c r="E286" s="151" t="s">
        <v>367</v>
      </c>
      <c r="F286" s="151" t="s">
        <v>367</v>
      </c>
      <c r="G286" s="151"/>
      <c r="H286" s="151"/>
      <c r="I286" s="151"/>
      <c r="J286" s="151">
        <v>1899</v>
      </c>
      <c r="K286" s="151">
        <v>12</v>
      </c>
    </row>
    <row r="287" spans="1:11" ht="13.5" customHeight="1" x14ac:dyDescent="0.15">
      <c r="A287" s="141"/>
      <c r="B287" s="148">
        <v>284</v>
      </c>
      <c r="C287" s="164"/>
      <c r="D287" s="152"/>
      <c r="E287" s="152" t="s">
        <v>367</v>
      </c>
      <c r="F287" s="152" t="s">
        <v>367</v>
      </c>
      <c r="G287" s="152"/>
      <c r="H287" s="152"/>
      <c r="I287" s="152"/>
      <c r="J287" s="152">
        <v>1899</v>
      </c>
      <c r="K287" s="152">
        <v>12</v>
      </c>
    </row>
    <row r="288" spans="1:11" ht="13.5" customHeight="1" x14ac:dyDescent="0.15">
      <c r="A288" s="141"/>
      <c r="B288" s="148">
        <v>285</v>
      </c>
      <c r="C288" s="163"/>
      <c r="D288" s="151"/>
      <c r="E288" s="151" t="s">
        <v>367</v>
      </c>
      <c r="F288" s="151" t="s">
        <v>367</v>
      </c>
      <c r="G288" s="151"/>
      <c r="H288" s="151"/>
      <c r="I288" s="151"/>
      <c r="J288" s="151">
        <v>1899</v>
      </c>
      <c r="K288" s="151">
        <v>12</v>
      </c>
    </row>
    <row r="289" spans="1:11" ht="13.5" customHeight="1" x14ac:dyDescent="0.15">
      <c r="A289" s="141"/>
      <c r="B289" s="148">
        <v>286</v>
      </c>
      <c r="C289" s="164"/>
      <c r="D289" s="152"/>
      <c r="E289" s="152" t="s">
        <v>367</v>
      </c>
      <c r="F289" s="152" t="s">
        <v>367</v>
      </c>
      <c r="G289" s="152"/>
      <c r="H289" s="152"/>
      <c r="I289" s="152"/>
      <c r="J289" s="152">
        <v>1899</v>
      </c>
      <c r="K289" s="152">
        <v>12</v>
      </c>
    </row>
    <row r="290" spans="1:11" ht="13.5" customHeight="1" x14ac:dyDescent="0.15">
      <c r="A290" s="141"/>
      <c r="B290" s="148">
        <v>287</v>
      </c>
      <c r="C290" s="163"/>
      <c r="D290" s="151"/>
      <c r="E290" s="151" t="s">
        <v>367</v>
      </c>
      <c r="F290" s="151" t="s">
        <v>367</v>
      </c>
      <c r="G290" s="151"/>
      <c r="H290" s="151"/>
      <c r="I290" s="151"/>
      <c r="J290" s="151">
        <v>1899</v>
      </c>
      <c r="K290" s="151">
        <v>12</v>
      </c>
    </row>
    <row r="291" spans="1:11" ht="13.5" customHeight="1" x14ac:dyDescent="0.15">
      <c r="A291" s="141"/>
      <c r="B291" s="148">
        <v>288</v>
      </c>
      <c r="C291" s="164"/>
      <c r="D291" s="152"/>
      <c r="E291" s="152" t="s">
        <v>367</v>
      </c>
      <c r="F291" s="152" t="s">
        <v>367</v>
      </c>
      <c r="G291" s="152"/>
      <c r="H291" s="152"/>
      <c r="I291" s="152"/>
      <c r="J291" s="152">
        <v>1899</v>
      </c>
      <c r="K291" s="152">
        <v>12</v>
      </c>
    </row>
    <row r="292" spans="1:11" ht="13.5" customHeight="1" x14ac:dyDescent="0.15">
      <c r="A292" s="141"/>
      <c r="B292" s="148">
        <v>289</v>
      </c>
      <c r="C292" s="163"/>
      <c r="D292" s="151"/>
      <c r="E292" s="151" t="s">
        <v>367</v>
      </c>
      <c r="F292" s="151" t="s">
        <v>367</v>
      </c>
      <c r="G292" s="151"/>
      <c r="H292" s="151"/>
      <c r="I292" s="151"/>
      <c r="J292" s="151">
        <v>1899</v>
      </c>
      <c r="K292" s="151">
        <v>12</v>
      </c>
    </row>
    <row r="293" spans="1:11" ht="13.5" customHeight="1" x14ac:dyDescent="0.15">
      <c r="A293" s="141"/>
      <c r="B293" s="148">
        <v>290</v>
      </c>
      <c r="C293" s="164"/>
      <c r="D293" s="152"/>
      <c r="E293" s="152" t="s">
        <v>367</v>
      </c>
      <c r="F293" s="152" t="s">
        <v>367</v>
      </c>
      <c r="G293" s="152"/>
      <c r="H293" s="152"/>
      <c r="I293" s="152"/>
      <c r="J293" s="152">
        <v>1899</v>
      </c>
      <c r="K293" s="152">
        <v>12</v>
      </c>
    </row>
    <row r="294" spans="1:11" ht="13.5" customHeight="1" x14ac:dyDescent="0.15">
      <c r="A294" s="141"/>
      <c r="B294" s="148">
        <v>291</v>
      </c>
      <c r="C294" s="163"/>
      <c r="D294" s="151"/>
      <c r="E294" s="151" t="s">
        <v>367</v>
      </c>
      <c r="F294" s="151" t="s">
        <v>367</v>
      </c>
      <c r="G294" s="151"/>
      <c r="H294" s="151"/>
      <c r="I294" s="151"/>
      <c r="J294" s="151">
        <v>1899</v>
      </c>
      <c r="K294" s="151">
        <v>12</v>
      </c>
    </row>
    <row r="295" spans="1:11" ht="13.5" customHeight="1" x14ac:dyDescent="0.15">
      <c r="A295" s="141"/>
      <c r="B295" s="148">
        <v>292</v>
      </c>
      <c r="C295" s="164"/>
      <c r="D295" s="152"/>
      <c r="E295" s="152" t="s">
        <v>367</v>
      </c>
      <c r="F295" s="152" t="s">
        <v>367</v>
      </c>
      <c r="G295" s="152"/>
      <c r="H295" s="152"/>
      <c r="I295" s="152"/>
      <c r="J295" s="152">
        <v>1899</v>
      </c>
      <c r="K295" s="152">
        <v>12</v>
      </c>
    </row>
    <row r="296" spans="1:11" ht="13.5" customHeight="1" x14ac:dyDescent="0.15">
      <c r="A296" s="141"/>
      <c r="B296" s="148">
        <v>293</v>
      </c>
      <c r="C296" s="163"/>
      <c r="D296" s="151"/>
      <c r="E296" s="151" t="s">
        <v>367</v>
      </c>
      <c r="F296" s="151" t="s">
        <v>367</v>
      </c>
      <c r="G296" s="151"/>
      <c r="H296" s="151"/>
      <c r="I296" s="151"/>
      <c r="J296" s="151">
        <v>1899</v>
      </c>
      <c r="K296" s="151">
        <v>12</v>
      </c>
    </row>
    <row r="297" spans="1:11" ht="13.5" customHeight="1" x14ac:dyDescent="0.15">
      <c r="A297" s="141"/>
      <c r="B297" s="148">
        <v>294</v>
      </c>
      <c r="C297" s="164"/>
      <c r="D297" s="152"/>
      <c r="E297" s="152" t="s">
        <v>367</v>
      </c>
      <c r="F297" s="152" t="s">
        <v>367</v>
      </c>
      <c r="G297" s="152"/>
      <c r="H297" s="152"/>
      <c r="I297" s="152"/>
      <c r="J297" s="152">
        <v>1899</v>
      </c>
      <c r="K297" s="152">
        <v>12</v>
      </c>
    </row>
    <row r="298" spans="1:11" ht="13.5" customHeight="1" x14ac:dyDescent="0.15">
      <c r="A298" s="141"/>
      <c r="B298" s="148">
        <v>295</v>
      </c>
      <c r="C298" s="163"/>
      <c r="D298" s="151"/>
      <c r="E298" s="151" t="s">
        <v>367</v>
      </c>
      <c r="F298" s="151" t="s">
        <v>367</v>
      </c>
      <c r="G298" s="151"/>
      <c r="H298" s="151"/>
      <c r="I298" s="151"/>
      <c r="J298" s="151">
        <v>1899</v>
      </c>
      <c r="K298" s="151">
        <v>12</v>
      </c>
    </row>
    <row r="299" spans="1:11" ht="13.5" customHeight="1" x14ac:dyDescent="0.15">
      <c r="A299" s="141"/>
      <c r="B299" s="148">
        <v>296</v>
      </c>
      <c r="C299" s="164"/>
      <c r="D299" s="152"/>
      <c r="E299" s="152" t="s">
        <v>367</v>
      </c>
      <c r="F299" s="152" t="s">
        <v>367</v>
      </c>
      <c r="G299" s="152"/>
      <c r="H299" s="152"/>
      <c r="I299" s="152"/>
      <c r="J299" s="152">
        <v>1899</v>
      </c>
      <c r="K299" s="152">
        <v>12</v>
      </c>
    </row>
    <row r="300" spans="1:11" ht="13.5" customHeight="1" x14ac:dyDescent="0.15">
      <c r="A300" s="141"/>
      <c r="B300" s="148">
        <v>297</v>
      </c>
      <c r="C300" s="163"/>
      <c r="D300" s="151"/>
      <c r="E300" s="151" t="s">
        <v>367</v>
      </c>
      <c r="F300" s="151" t="s">
        <v>367</v>
      </c>
      <c r="G300" s="151"/>
      <c r="H300" s="151"/>
      <c r="I300" s="151"/>
      <c r="J300" s="151">
        <v>1899</v>
      </c>
      <c r="K300" s="151">
        <v>12</v>
      </c>
    </row>
    <row r="301" spans="1:11" ht="13.5" customHeight="1" x14ac:dyDescent="0.15">
      <c r="A301" s="141"/>
      <c r="B301" s="148">
        <v>298</v>
      </c>
      <c r="C301" s="164"/>
      <c r="D301" s="152"/>
      <c r="E301" s="152" t="s">
        <v>367</v>
      </c>
      <c r="F301" s="152" t="s">
        <v>367</v>
      </c>
      <c r="G301" s="152"/>
      <c r="H301" s="152"/>
      <c r="I301" s="152"/>
      <c r="J301" s="152">
        <v>1899</v>
      </c>
      <c r="K301" s="152">
        <v>12</v>
      </c>
    </row>
    <row r="302" spans="1:11" ht="13.5" customHeight="1" x14ac:dyDescent="0.15">
      <c r="A302" s="141"/>
      <c r="B302" s="148">
        <v>299</v>
      </c>
      <c r="C302" s="163"/>
      <c r="D302" s="151"/>
      <c r="E302" s="151" t="s">
        <v>367</v>
      </c>
      <c r="F302" s="151" t="s">
        <v>367</v>
      </c>
      <c r="G302" s="151"/>
      <c r="H302" s="151"/>
      <c r="I302" s="151"/>
      <c r="J302" s="151">
        <v>1899</v>
      </c>
      <c r="K302" s="151">
        <v>12</v>
      </c>
    </row>
    <row r="303" spans="1:11" ht="13.5" customHeight="1" x14ac:dyDescent="0.15">
      <c r="A303" s="141"/>
      <c r="B303" s="148">
        <v>300</v>
      </c>
      <c r="C303" s="164"/>
      <c r="D303" s="152"/>
      <c r="E303" s="152" t="s">
        <v>367</v>
      </c>
      <c r="F303" s="152" t="s">
        <v>367</v>
      </c>
      <c r="G303" s="152"/>
      <c r="H303" s="152"/>
      <c r="I303" s="152"/>
      <c r="J303" s="152">
        <v>1899</v>
      </c>
      <c r="K303" s="152">
        <v>12</v>
      </c>
    </row>
    <row r="304" spans="1:11" ht="13.5" customHeight="1" x14ac:dyDescent="0.15">
      <c r="A304" s="141"/>
      <c r="B304" s="148">
        <v>301</v>
      </c>
      <c r="C304" s="163"/>
      <c r="D304" s="151"/>
      <c r="E304" s="151" t="s">
        <v>367</v>
      </c>
      <c r="F304" s="151" t="s">
        <v>367</v>
      </c>
      <c r="G304" s="151"/>
      <c r="H304" s="151"/>
      <c r="I304" s="151"/>
      <c r="J304" s="151">
        <v>1899</v>
      </c>
      <c r="K304" s="151">
        <v>12</v>
      </c>
    </row>
    <row r="305" spans="1:11" ht="13.5" customHeight="1" x14ac:dyDescent="0.15">
      <c r="A305" s="141"/>
      <c r="B305" s="148">
        <v>302</v>
      </c>
      <c r="C305" s="164"/>
      <c r="D305" s="152"/>
      <c r="E305" s="152" t="s">
        <v>367</v>
      </c>
      <c r="F305" s="152" t="s">
        <v>367</v>
      </c>
      <c r="G305" s="152"/>
      <c r="H305" s="152"/>
      <c r="I305" s="152"/>
      <c r="J305" s="152">
        <v>1899</v>
      </c>
      <c r="K305" s="152">
        <v>12</v>
      </c>
    </row>
    <row r="306" spans="1:11" ht="13.5" customHeight="1" x14ac:dyDescent="0.15">
      <c r="A306" s="141"/>
      <c r="B306" s="148">
        <v>303</v>
      </c>
      <c r="C306" s="163"/>
      <c r="D306" s="151"/>
      <c r="E306" s="151" t="s">
        <v>367</v>
      </c>
      <c r="F306" s="151" t="s">
        <v>367</v>
      </c>
      <c r="G306" s="151"/>
      <c r="H306" s="151"/>
      <c r="I306" s="151"/>
      <c r="J306" s="151">
        <v>1899</v>
      </c>
      <c r="K306" s="151">
        <v>12</v>
      </c>
    </row>
    <row r="307" spans="1:11" ht="13.5" customHeight="1" x14ac:dyDescent="0.15">
      <c r="A307" s="141"/>
      <c r="B307" s="148">
        <v>304</v>
      </c>
      <c r="C307" s="164"/>
      <c r="D307" s="152"/>
      <c r="E307" s="152" t="s">
        <v>367</v>
      </c>
      <c r="F307" s="152" t="s">
        <v>367</v>
      </c>
      <c r="G307" s="152"/>
      <c r="H307" s="152"/>
      <c r="I307" s="152"/>
      <c r="J307" s="152">
        <v>1899</v>
      </c>
      <c r="K307" s="152">
        <v>12</v>
      </c>
    </row>
    <row r="308" spans="1:11" ht="13.5" customHeight="1" x14ac:dyDescent="0.15">
      <c r="A308" s="141"/>
      <c r="B308" s="148">
        <v>305</v>
      </c>
      <c r="C308" s="163"/>
      <c r="D308" s="151"/>
      <c r="E308" s="151" t="s">
        <v>367</v>
      </c>
      <c r="F308" s="151" t="s">
        <v>367</v>
      </c>
      <c r="G308" s="151"/>
      <c r="H308" s="151"/>
      <c r="I308" s="151"/>
      <c r="J308" s="151">
        <v>1899</v>
      </c>
      <c r="K308" s="151">
        <v>12</v>
      </c>
    </row>
    <row r="309" spans="1:11" ht="13.5" customHeight="1" x14ac:dyDescent="0.15">
      <c r="A309" s="141"/>
      <c r="B309" s="148">
        <v>306</v>
      </c>
      <c r="C309" s="164"/>
      <c r="D309" s="152"/>
      <c r="E309" s="152" t="s">
        <v>367</v>
      </c>
      <c r="F309" s="152" t="s">
        <v>367</v>
      </c>
      <c r="G309" s="152"/>
      <c r="H309" s="152"/>
      <c r="I309" s="152"/>
      <c r="J309" s="152">
        <v>1899</v>
      </c>
      <c r="K309" s="152">
        <v>12</v>
      </c>
    </row>
    <row r="310" spans="1:11" ht="13.5" customHeight="1" x14ac:dyDescent="0.15">
      <c r="A310" s="141"/>
      <c r="B310" s="148">
        <v>307</v>
      </c>
      <c r="C310" s="163"/>
      <c r="D310" s="151"/>
      <c r="E310" s="151" t="s">
        <v>367</v>
      </c>
      <c r="F310" s="151" t="s">
        <v>367</v>
      </c>
      <c r="G310" s="151"/>
      <c r="H310" s="151"/>
      <c r="I310" s="151"/>
      <c r="J310" s="151">
        <v>1899</v>
      </c>
      <c r="K310" s="151">
        <v>12</v>
      </c>
    </row>
    <row r="311" spans="1:11" ht="13.5" customHeight="1" x14ac:dyDescent="0.15">
      <c r="A311" s="141"/>
      <c r="B311" s="148">
        <v>308</v>
      </c>
      <c r="C311" s="164"/>
      <c r="D311" s="152"/>
      <c r="E311" s="152" t="s">
        <v>367</v>
      </c>
      <c r="F311" s="152" t="s">
        <v>367</v>
      </c>
      <c r="G311" s="152"/>
      <c r="H311" s="152"/>
      <c r="I311" s="152"/>
      <c r="J311" s="152">
        <v>1899</v>
      </c>
      <c r="K311" s="152">
        <v>12</v>
      </c>
    </row>
    <row r="312" spans="1:11" ht="13.5" customHeight="1" x14ac:dyDescent="0.15">
      <c r="A312" s="141"/>
      <c r="B312" s="148">
        <v>309</v>
      </c>
      <c r="C312" s="163"/>
      <c r="D312" s="151"/>
      <c r="E312" s="151" t="s">
        <v>367</v>
      </c>
      <c r="F312" s="151" t="s">
        <v>367</v>
      </c>
      <c r="G312" s="151"/>
      <c r="H312" s="151"/>
      <c r="I312" s="151"/>
      <c r="J312" s="151">
        <v>1899</v>
      </c>
      <c r="K312" s="151">
        <v>12</v>
      </c>
    </row>
    <row r="313" spans="1:11" ht="13.5" customHeight="1" x14ac:dyDescent="0.15">
      <c r="A313" s="141"/>
      <c r="B313" s="148">
        <v>310</v>
      </c>
      <c r="C313" s="164"/>
      <c r="D313" s="152"/>
      <c r="E313" s="152" t="s">
        <v>367</v>
      </c>
      <c r="F313" s="152" t="s">
        <v>367</v>
      </c>
      <c r="G313" s="152"/>
      <c r="H313" s="152"/>
      <c r="I313" s="152"/>
      <c r="J313" s="152">
        <v>1899</v>
      </c>
      <c r="K313" s="152">
        <v>12</v>
      </c>
    </row>
    <row r="314" spans="1:11" ht="13.5" customHeight="1" x14ac:dyDescent="0.15">
      <c r="A314" s="141"/>
      <c r="B314" s="148">
        <v>311</v>
      </c>
      <c r="C314" s="163"/>
      <c r="D314" s="151"/>
      <c r="E314" s="151" t="s">
        <v>367</v>
      </c>
      <c r="F314" s="151" t="s">
        <v>367</v>
      </c>
      <c r="G314" s="151"/>
      <c r="H314" s="151"/>
      <c r="I314" s="151"/>
      <c r="J314" s="151">
        <v>1899</v>
      </c>
      <c r="K314" s="151">
        <v>12</v>
      </c>
    </row>
    <row r="315" spans="1:11" ht="13.5" customHeight="1" x14ac:dyDescent="0.15">
      <c r="A315" s="141"/>
      <c r="B315" s="148">
        <v>312</v>
      </c>
      <c r="C315" s="164"/>
      <c r="D315" s="152"/>
      <c r="E315" s="152" t="s">
        <v>367</v>
      </c>
      <c r="F315" s="152" t="s">
        <v>367</v>
      </c>
      <c r="G315" s="152"/>
      <c r="H315" s="152"/>
      <c r="I315" s="152"/>
      <c r="J315" s="152">
        <v>1899</v>
      </c>
      <c r="K315" s="152">
        <v>12</v>
      </c>
    </row>
    <row r="316" spans="1:11" ht="13.5" customHeight="1" x14ac:dyDescent="0.15">
      <c r="A316" s="141"/>
      <c r="B316" s="148">
        <v>313</v>
      </c>
      <c r="C316" s="163"/>
      <c r="D316" s="151"/>
      <c r="E316" s="151" t="s">
        <v>367</v>
      </c>
      <c r="F316" s="151" t="s">
        <v>367</v>
      </c>
      <c r="G316" s="151"/>
      <c r="H316" s="151"/>
      <c r="I316" s="151"/>
      <c r="J316" s="151">
        <v>1899</v>
      </c>
      <c r="K316" s="151">
        <v>12</v>
      </c>
    </row>
    <row r="317" spans="1:11" ht="13.5" customHeight="1" x14ac:dyDescent="0.15">
      <c r="A317" s="141"/>
      <c r="B317" s="148">
        <v>314</v>
      </c>
      <c r="C317" s="164"/>
      <c r="D317" s="152"/>
      <c r="E317" s="152" t="s">
        <v>367</v>
      </c>
      <c r="F317" s="152" t="s">
        <v>367</v>
      </c>
      <c r="G317" s="152"/>
      <c r="H317" s="152"/>
      <c r="I317" s="152"/>
      <c r="J317" s="152">
        <v>1899</v>
      </c>
      <c r="K317" s="152">
        <v>12</v>
      </c>
    </row>
    <row r="318" spans="1:11" ht="13.5" customHeight="1" x14ac:dyDescent="0.15">
      <c r="A318" s="141"/>
      <c r="B318" s="148">
        <v>315</v>
      </c>
      <c r="C318" s="163"/>
      <c r="D318" s="151"/>
      <c r="E318" s="151" t="s">
        <v>367</v>
      </c>
      <c r="F318" s="151" t="s">
        <v>367</v>
      </c>
      <c r="G318" s="151"/>
      <c r="H318" s="151"/>
      <c r="I318" s="151"/>
      <c r="J318" s="151">
        <v>1899</v>
      </c>
      <c r="K318" s="151">
        <v>12</v>
      </c>
    </row>
    <row r="319" spans="1:11" ht="13.5" customHeight="1" x14ac:dyDescent="0.15">
      <c r="A319" s="141"/>
      <c r="B319" s="148">
        <v>316</v>
      </c>
      <c r="C319" s="164"/>
      <c r="D319" s="152"/>
      <c r="E319" s="152" t="s">
        <v>367</v>
      </c>
      <c r="F319" s="152" t="s">
        <v>367</v>
      </c>
      <c r="G319" s="152"/>
      <c r="H319" s="152"/>
      <c r="I319" s="152"/>
      <c r="J319" s="152">
        <v>1899</v>
      </c>
      <c r="K319" s="152">
        <v>12</v>
      </c>
    </row>
    <row r="320" spans="1:11" ht="13.5" customHeight="1" x14ac:dyDescent="0.15">
      <c r="A320" s="141"/>
      <c r="B320" s="148">
        <v>317</v>
      </c>
      <c r="C320" s="163"/>
      <c r="D320" s="151"/>
      <c r="E320" s="151" t="s">
        <v>367</v>
      </c>
      <c r="F320" s="151" t="s">
        <v>367</v>
      </c>
      <c r="G320" s="151"/>
      <c r="H320" s="151"/>
      <c r="I320" s="151"/>
      <c r="J320" s="151">
        <v>1899</v>
      </c>
      <c r="K320" s="151">
        <v>12</v>
      </c>
    </row>
    <row r="321" spans="1:11" ht="13.5" customHeight="1" x14ac:dyDescent="0.15">
      <c r="A321" s="141"/>
      <c r="B321" s="148">
        <v>318</v>
      </c>
      <c r="C321" s="164"/>
      <c r="D321" s="152"/>
      <c r="E321" s="152" t="s">
        <v>367</v>
      </c>
      <c r="F321" s="152" t="s">
        <v>367</v>
      </c>
      <c r="G321" s="152"/>
      <c r="H321" s="152"/>
      <c r="I321" s="152"/>
      <c r="J321" s="152">
        <v>1899</v>
      </c>
      <c r="K321" s="152">
        <v>12</v>
      </c>
    </row>
    <row r="322" spans="1:11" ht="13.5" customHeight="1" x14ac:dyDescent="0.15">
      <c r="A322" s="141"/>
      <c r="B322" s="148">
        <v>319</v>
      </c>
      <c r="C322" s="163"/>
      <c r="D322" s="151"/>
      <c r="E322" s="151" t="s">
        <v>367</v>
      </c>
      <c r="F322" s="151" t="s">
        <v>367</v>
      </c>
      <c r="G322" s="151"/>
      <c r="H322" s="151"/>
      <c r="I322" s="151"/>
      <c r="J322" s="151">
        <v>1899</v>
      </c>
      <c r="K322" s="151">
        <v>12</v>
      </c>
    </row>
    <row r="323" spans="1:11" ht="13.5" customHeight="1" x14ac:dyDescent="0.15">
      <c r="A323" s="141"/>
      <c r="B323" s="148">
        <v>320</v>
      </c>
      <c r="C323" s="164"/>
      <c r="D323" s="152"/>
      <c r="E323" s="152" t="s">
        <v>367</v>
      </c>
      <c r="F323" s="152" t="s">
        <v>367</v>
      </c>
      <c r="G323" s="152"/>
      <c r="H323" s="152"/>
      <c r="I323" s="152"/>
      <c r="J323" s="152">
        <v>1899</v>
      </c>
      <c r="K323" s="152">
        <v>12</v>
      </c>
    </row>
    <row r="324" spans="1:11" ht="13.5" customHeight="1" x14ac:dyDescent="0.15">
      <c r="A324" s="141"/>
      <c r="B324" s="148">
        <v>321</v>
      </c>
      <c r="C324" s="163"/>
      <c r="D324" s="151"/>
      <c r="E324" s="151" t="s">
        <v>367</v>
      </c>
      <c r="F324" s="151" t="s">
        <v>367</v>
      </c>
      <c r="G324" s="151"/>
      <c r="H324" s="151"/>
      <c r="I324" s="151"/>
      <c r="J324" s="151">
        <v>1899</v>
      </c>
      <c r="K324" s="151">
        <v>12</v>
      </c>
    </row>
    <row r="325" spans="1:11" ht="13.5" customHeight="1" x14ac:dyDescent="0.15">
      <c r="A325" s="141"/>
      <c r="B325" s="148">
        <v>322</v>
      </c>
      <c r="C325" s="164"/>
      <c r="D325" s="152"/>
      <c r="E325" s="152" t="s">
        <v>367</v>
      </c>
      <c r="F325" s="152" t="s">
        <v>367</v>
      </c>
      <c r="G325" s="152"/>
      <c r="H325" s="152"/>
      <c r="I325" s="152"/>
      <c r="J325" s="152">
        <v>1899</v>
      </c>
      <c r="K325" s="152">
        <v>12</v>
      </c>
    </row>
    <row r="326" spans="1:11" ht="13.5" customHeight="1" x14ac:dyDescent="0.15">
      <c r="A326" s="141"/>
      <c r="B326" s="148">
        <v>323</v>
      </c>
      <c r="C326" s="163"/>
      <c r="D326" s="151"/>
      <c r="E326" s="151" t="s">
        <v>367</v>
      </c>
      <c r="F326" s="151" t="s">
        <v>367</v>
      </c>
      <c r="G326" s="151"/>
      <c r="H326" s="151"/>
      <c r="I326" s="151"/>
      <c r="J326" s="151">
        <v>1899</v>
      </c>
      <c r="K326" s="151">
        <v>12</v>
      </c>
    </row>
    <row r="327" spans="1:11" ht="13.5" customHeight="1" x14ac:dyDescent="0.15">
      <c r="A327" s="141"/>
      <c r="B327" s="148">
        <v>324</v>
      </c>
      <c r="C327" s="164"/>
      <c r="D327" s="152"/>
      <c r="E327" s="152" t="s">
        <v>367</v>
      </c>
      <c r="F327" s="152" t="s">
        <v>367</v>
      </c>
      <c r="G327" s="152"/>
      <c r="H327" s="152"/>
      <c r="I327" s="152"/>
      <c r="J327" s="152">
        <v>1899</v>
      </c>
      <c r="K327" s="152">
        <v>12</v>
      </c>
    </row>
    <row r="328" spans="1:11" ht="13.5" customHeight="1" x14ac:dyDescent="0.15">
      <c r="A328" s="141"/>
      <c r="B328" s="148">
        <v>325</v>
      </c>
      <c r="C328" s="163"/>
      <c r="D328" s="151"/>
      <c r="E328" s="151" t="s">
        <v>367</v>
      </c>
      <c r="F328" s="151" t="s">
        <v>367</v>
      </c>
      <c r="G328" s="151"/>
      <c r="H328" s="151"/>
      <c r="I328" s="151"/>
      <c r="J328" s="151">
        <v>1899</v>
      </c>
      <c r="K328" s="151">
        <v>12</v>
      </c>
    </row>
    <row r="329" spans="1:11" ht="13.5" customHeight="1" x14ac:dyDescent="0.15">
      <c r="A329" s="141"/>
      <c r="B329" s="148">
        <v>326</v>
      </c>
      <c r="C329" s="164"/>
      <c r="D329" s="152"/>
      <c r="E329" s="152" t="s">
        <v>367</v>
      </c>
      <c r="F329" s="152" t="s">
        <v>367</v>
      </c>
      <c r="G329" s="152"/>
      <c r="H329" s="152"/>
      <c r="I329" s="152"/>
      <c r="J329" s="152">
        <v>1899</v>
      </c>
      <c r="K329" s="152">
        <v>12</v>
      </c>
    </row>
    <row r="330" spans="1:11" ht="13.5" customHeight="1" x14ac:dyDescent="0.15">
      <c r="A330" s="141"/>
      <c r="B330" s="148">
        <v>327</v>
      </c>
      <c r="C330" s="163"/>
      <c r="D330" s="151"/>
      <c r="E330" s="151" t="s">
        <v>367</v>
      </c>
      <c r="F330" s="151" t="s">
        <v>367</v>
      </c>
      <c r="G330" s="151"/>
      <c r="H330" s="151"/>
      <c r="I330" s="151"/>
      <c r="J330" s="151">
        <v>1899</v>
      </c>
      <c r="K330" s="151">
        <v>12</v>
      </c>
    </row>
    <row r="331" spans="1:11" ht="13.5" customHeight="1" x14ac:dyDescent="0.15">
      <c r="A331" s="141"/>
      <c r="B331" s="148">
        <v>328</v>
      </c>
      <c r="C331" s="164"/>
      <c r="D331" s="152"/>
      <c r="E331" s="152" t="s">
        <v>367</v>
      </c>
      <c r="F331" s="152" t="s">
        <v>367</v>
      </c>
      <c r="G331" s="152"/>
      <c r="H331" s="152"/>
      <c r="I331" s="152"/>
      <c r="J331" s="152">
        <v>1899</v>
      </c>
      <c r="K331" s="152">
        <v>12</v>
      </c>
    </row>
    <row r="332" spans="1:11" ht="13.5" customHeight="1" x14ac:dyDescent="0.15">
      <c r="A332" s="141"/>
      <c r="B332" s="148">
        <v>329</v>
      </c>
      <c r="C332" s="163"/>
      <c r="D332" s="151"/>
      <c r="E332" s="151" t="s">
        <v>367</v>
      </c>
      <c r="F332" s="151" t="s">
        <v>367</v>
      </c>
      <c r="G332" s="151"/>
      <c r="H332" s="151"/>
      <c r="I332" s="151"/>
      <c r="J332" s="151">
        <v>1899</v>
      </c>
      <c r="K332" s="151">
        <v>12</v>
      </c>
    </row>
    <row r="333" spans="1:11" ht="13.5" customHeight="1" x14ac:dyDescent="0.15">
      <c r="A333" s="141"/>
      <c r="B333" s="148">
        <v>330</v>
      </c>
      <c r="C333" s="164"/>
      <c r="D333" s="152"/>
      <c r="E333" s="152" t="s">
        <v>367</v>
      </c>
      <c r="F333" s="152" t="s">
        <v>367</v>
      </c>
      <c r="G333" s="152"/>
      <c r="H333" s="152"/>
      <c r="I333" s="152"/>
      <c r="J333" s="152">
        <v>1899</v>
      </c>
      <c r="K333" s="152">
        <v>12</v>
      </c>
    </row>
    <row r="334" spans="1:11" ht="13.5" customHeight="1" x14ac:dyDescent="0.15">
      <c r="A334" s="141"/>
      <c r="B334" s="148">
        <v>331</v>
      </c>
      <c r="C334" s="163"/>
      <c r="D334" s="151"/>
      <c r="E334" s="151" t="s">
        <v>367</v>
      </c>
      <c r="F334" s="151" t="s">
        <v>367</v>
      </c>
      <c r="G334" s="151"/>
      <c r="H334" s="151"/>
      <c r="I334" s="151"/>
      <c r="J334" s="151">
        <v>1899</v>
      </c>
      <c r="K334" s="151">
        <v>12</v>
      </c>
    </row>
    <row r="335" spans="1:11" ht="13.5" customHeight="1" x14ac:dyDescent="0.15">
      <c r="A335" s="141"/>
      <c r="B335" s="148">
        <v>332</v>
      </c>
      <c r="C335" s="164"/>
      <c r="D335" s="152"/>
      <c r="E335" s="152" t="s">
        <v>367</v>
      </c>
      <c r="F335" s="152" t="s">
        <v>367</v>
      </c>
      <c r="G335" s="152"/>
      <c r="H335" s="152"/>
      <c r="I335" s="152"/>
      <c r="J335" s="152">
        <v>1899</v>
      </c>
      <c r="K335" s="152">
        <v>12</v>
      </c>
    </row>
    <row r="336" spans="1:11" ht="13.5" customHeight="1" x14ac:dyDescent="0.15">
      <c r="A336" s="141"/>
      <c r="B336" s="148">
        <v>333</v>
      </c>
      <c r="C336" s="163"/>
      <c r="D336" s="151"/>
      <c r="E336" s="151" t="s">
        <v>367</v>
      </c>
      <c r="F336" s="151" t="s">
        <v>367</v>
      </c>
      <c r="G336" s="151"/>
      <c r="H336" s="151"/>
      <c r="I336" s="151"/>
      <c r="J336" s="151">
        <v>1899</v>
      </c>
      <c r="K336" s="151">
        <v>12</v>
      </c>
    </row>
    <row r="337" spans="1:11" ht="13.5" customHeight="1" x14ac:dyDescent="0.15">
      <c r="A337" s="141"/>
      <c r="B337" s="148">
        <v>334</v>
      </c>
      <c r="C337" s="164"/>
      <c r="D337" s="152"/>
      <c r="E337" s="152" t="s">
        <v>367</v>
      </c>
      <c r="F337" s="152" t="s">
        <v>367</v>
      </c>
      <c r="G337" s="152"/>
      <c r="H337" s="152"/>
      <c r="I337" s="152"/>
      <c r="J337" s="152">
        <v>1899</v>
      </c>
      <c r="K337" s="152">
        <v>12</v>
      </c>
    </row>
    <row r="338" spans="1:11" ht="13.5" customHeight="1" x14ac:dyDescent="0.15">
      <c r="A338" s="141"/>
      <c r="B338" s="148">
        <v>335</v>
      </c>
      <c r="C338" s="163"/>
      <c r="D338" s="151"/>
      <c r="E338" s="151" t="s">
        <v>367</v>
      </c>
      <c r="F338" s="151" t="s">
        <v>367</v>
      </c>
      <c r="G338" s="151"/>
      <c r="H338" s="151"/>
      <c r="I338" s="151"/>
      <c r="J338" s="151">
        <v>1899</v>
      </c>
      <c r="K338" s="151">
        <v>12</v>
      </c>
    </row>
    <row r="339" spans="1:11" ht="13.5" customHeight="1" x14ac:dyDescent="0.15">
      <c r="A339" s="141"/>
      <c r="B339" s="148">
        <v>336</v>
      </c>
      <c r="C339" s="164"/>
      <c r="D339" s="152"/>
      <c r="E339" s="152" t="s">
        <v>367</v>
      </c>
      <c r="F339" s="152" t="s">
        <v>367</v>
      </c>
      <c r="G339" s="152"/>
      <c r="H339" s="152"/>
      <c r="I339" s="152"/>
      <c r="J339" s="152">
        <v>1899</v>
      </c>
      <c r="K339" s="152">
        <v>12</v>
      </c>
    </row>
    <row r="340" spans="1:11" ht="13.5" customHeight="1" x14ac:dyDescent="0.15">
      <c r="A340" s="141"/>
      <c r="B340" s="148">
        <v>337</v>
      </c>
      <c r="C340" s="163"/>
      <c r="D340" s="151"/>
      <c r="E340" s="151" t="s">
        <v>367</v>
      </c>
      <c r="F340" s="151" t="s">
        <v>367</v>
      </c>
      <c r="G340" s="151"/>
      <c r="H340" s="151"/>
      <c r="I340" s="151"/>
      <c r="J340" s="151">
        <v>1899</v>
      </c>
      <c r="K340" s="151">
        <v>12</v>
      </c>
    </row>
    <row r="341" spans="1:11" ht="13.5" customHeight="1" x14ac:dyDescent="0.15">
      <c r="A341" s="141"/>
      <c r="B341" s="148">
        <v>338</v>
      </c>
      <c r="C341" s="164"/>
      <c r="D341" s="152"/>
      <c r="E341" s="152" t="s">
        <v>367</v>
      </c>
      <c r="F341" s="152" t="s">
        <v>367</v>
      </c>
      <c r="G341" s="152"/>
      <c r="H341" s="152"/>
      <c r="I341" s="152"/>
      <c r="J341" s="152">
        <v>1899</v>
      </c>
      <c r="K341" s="152">
        <v>12</v>
      </c>
    </row>
    <row r="342" spans="1:11" ht="13.5" customHeight="1" x14ac:dyDescent="0.15">
      <c r="A342" s="141"/>
      <c r="B342" s="148">
        <v>339</v>
      </c>
      <c r="C342" s="163"/>
      <c r="D342" s="151"/>
      <c r="E342" s="151" t="s">
        <v>367</v>
      </c>
      <c r="F342" s="151" t="s">
        <v>367</v>
      </c>
      <c r="G342" s="151"/>
      <c r="H342" s="151"/>
      <c r="I342" s="151"/>
      <c r="J342" s="151">
        <v>1899</v>
      </c>
      <c r="K342" s="151">
        <v>12</v>
      </c>
    </row>
    <row r="343" spans="1:11" ht="13.5" customHeight="1" x14ac:dyDescent="0.15">
      <c r="A343" s="141"/>
      <c r="B343" s="148">
        <v>340</v>
      </c>
      <c r="C343" s="164"/>
      <c r="D343" s="152"/>
      <c r="E343" s="152" t="s">
        <v>367</v>
      </c>
      <c r="F343" s="152" t="s">
        <v>367</v>
      </c>
      <c r="G343" s="152"/>
      <c r="H343" s="152"/>
      <c r="I343" s="152"/>
      <c r="J343" s="152">
        <v>1899</v>
      </c>
      <c r="K343" s="152">
        <v>12</v>
      </c>
    </row>
    <row r="344" spans="1:11" ht="13.5" customHeight="1" x14ac:dyDescent="0.15">
      <c r="A344" s="141"/>
      <c r="B344" s="148">
        <v>341</v>
      </c>
      <c r="C344" s="163"/>
      <c r="D344" s="151"/>
      <c r="E344" s="151" t="s">
        <v>367</v>
      </c>
      <c r="F344" s="151" t="s">
        <v>367</v>
      </c>
      <c r="G344" s="151"/>
      <c r="H344" s="151"/>
      <c r="I344" s="151"/>
      <c r="J344" s="151">
        <v>1899</v>
      </c>
      <c r="K344" s="151">
        <v>12</v>
      </c>
    </row>
    <row r="345" spans="1:11" ht="13.5" customHeight="1" x14ac:dyDescent="0.15">
      <c r="A345" s="141"/>
      <c r="B345" s="148">
        <v>342</v>
      </c>
      <c r="C345" s="164"/>
      <c r="D345" s="152"/>
      <c r="E345" s="152" t="s">
        <v>367</v>
      </c>
      <c r="F345" s="152" t="s">
        <v>367</v>
      </c>
      <c r="G345" s="152"/>
      <c r="H345" s="152"/>
      <c r="I345" s="152"/>
      <c r="J345" s="152">
        <v>1899</v>
      </c>
      <c r="K345" s="152">
        <v>12</v>
      </c>
    </row>
    <row r="346" spans="1:11" ht="13.5" customHeight="1" x14ac:dyDescent="0.15">
      <c r="A346" s="141"/>
      <c r="B346" s="148">
        <v>343</v>
      </c>
      <c r="C346" s="163"/>
      <c r="D346" s="151"/>
      <c r="E346" s="151" t="s">
        <v>367</v>
      </c>
      <c r="F346" s="151" t="s">
        <v>367</v>
      </c>
      <c r="G346" s="151"/>
      <c r="H346" s="151"/>
      <c r="I346" s="151"/>
      <c r="J346" s="151">
        <v>1899</v>
      </c>
      <c r="K346" s="151">
        <v>12</v>
      </c>
    </row>
    <row r="347" spans="1:11" ht="13.5" customHeight="1" x14ac:dyDescent="0.15">
      <c r="A347" s="141"/>
      <c r="B347" s="148">
        <v>344</v>
      </c>
      <c r="C347" s="164"/>
      <c r="D347" s="152"/>
      <c r="E347" s="152" t="s">
        <v>367</v>
      </c>
      <c r="F347" s="152" t="s">
        <v>367</v>
      </c>
      <c r="G347" s="152"/>
      <c r="H347" s="152"/>
      <c r="I347" s="152"/>
      <c r="J347" s="152">
        <v>1899</v>
      </c>
      <c r="K347" s="152">
        <v>12</v>
      </c>
    </row>
    <row r="348" spans="1:11" ht="13.5" customHeight="1" x14ac:dyDescent="0.15">
      <c r="A348" s="141"/>
      <c r="B348" s="148">
        <v>345</v>
      </c>
      <c r="C348" s="163"/>
      <c r="D348" s="151"/>
      <c r="E348" s="151" t="s">
        <v>367</v>
      </c>
      <c r="F348" s="151" t="s">
        <v>367</v>
      </c>
      <c r="G348" s="151"/>
      <c r="H348" s="151"/>
      <c r="I348" s="151"/>
      <c r="J348" s="151">
        <v>1899</v>
      </c>
      <c r="K348" s="151">
        <v>12</v>
      </c>
    </row>
    <row r="349" spans="1:11" ht="13.5" customHeight="1" x14ac:dyDescent="0.15">
      <c r="A349" s="141"/>
      <c r="B349" s="148">
        <v>346</v>
      </c>
      <c r="C349" s="164"/>
      <c r="D349" s="152"/>
      <c r="E349" s="152" t="s">
        <v>367</v>
      </c>
      <c r="F349" s="152" t="s">
        <v>367</v>
      </c>
      <c r="G349" s="152"/>
      <c r="H349" s="152"/>
      <c r="I349" s="152"/>
      <c r="J349" s="152">
        <v>1899</v>
      </c>
      <c r="K349" s="152">
        <v>12</v>
      </c>
    </row>
    <row r="350" spans="1:11" ht="13.5" customHeight="1" x14ac:dyDescent="0.15">
      <c r="A350" s="141"/>
      <c r="B350" s="148">
        <v>347</v>
      </c>
      <c r="C350" s="163"/>
      <c r="D350" s="151"/>
      <c r="E350" s="151" t="s">
        <v>367</v>
      </c>
      <c r="F350" s="151" t="s">
        <v>367</v>
      </c>
      <c r="G350" s="151"/>
      <c r="H350" s="151"/>
      <c r="I350" s="151"/>
      <c r="J350" s="151">
        <v>1899</v>
      </c>
      <c r="K350" s="151">
        <v>12</v>
      </c>
    </row>
    <row r="351" spans="1:11" ht="13.5" customHeight="1" x14ac:dyDescent="0.15">
      <c r="A351" s="141"/>
      <c r="B351" s="148">
        <v>348</v>
      </c>
      <c r="C351" s="164"/>
      <c r="D351" s="152"/>
      <c r="E351" s="152" t="s">
        <v>367</v>
      </c>
      <c r="F351" s="152" t="s">
        <v>367</v>
      </c>
      <c r="G351" s="152"/>
      <c r="H351" s="152"/>
      <c r="I351" s="152"/>
      <c r="J351" s="152">
        <v>1899</v>
      </c>
      <c r="K351" s="152">
        <v>12</v>
      </c>
    </row>
    <row r="352" spans="1:11" ht="13.5" customHeight="1" x14ac:dyDescent="0.15">
      <c r="A352" s="141"/>
      <c r="B352" s="148">
        <v>349</v>
      </c>
      <c r="C352" s="163"/>
      <c r="D352" s="151"/>
      <c r="E352" s="151" t="s">
        <v>367</v>
      </c>
      <c r="F352" s="151" t="s">
        <v>367</v>
      </c>
      <c r="G352" s="151"/>
      <c r="H352" s="151"/>
      <c r="I352" s="151"/>
      <c r="J352" s="151">
        <v>1899</v>
      </c>
      <c r="K352" s="151">
        <v>12</v>
      </c>
    </row>
    <row r="353" spans="1:11" ht="13.5" customHeight="1" x14ac:dyDescent="0.15">
      <c r="A353" s="141"/>
      <c r="B353" s="148">
        <v>350</v>
      </c>
      <c r="C353" s="164"/>
      <c r="D353" s="152"/>
      <c r="E353" s="152" t="s">
        <v>367</v>
      </c>
      <c r="F353" s="152" t="s">
        <v>367</v>
      </c>
      <c r="G353" s="152"/>
      <c r="H353" s="152"/>
      <c r="I353" s="152"/>
      <c r="J353" s="152">
        <v>1899</v>
      </c>
      <c r="K353" s="152">
        <v>12</v>
      </c>
    </row>
    <row r="354" spans="1:11" ht="13.5" customHeight="1" x14ac:dyDescent="0.15">
      <c r="A354" s="141"/>
      <c r="B354" s="148">
        <v>351</v>
      </c>
      <c r="C354" s="163"/>
      <c r="D354" s="151"/>
      <c r="E354" s="151" t="s">
        <v>367</v>
      </c>
      <c r="F354" s="151" t="s">
        <v>367</v>
      </c>
      <c r="G354" s="151"/>
      <c r="H354" s="151"/>
      <c r="I354" s="151"/>
      <c r="J354" s="151">
        <v>1899</v>
      </c>
      <c r="K354" s="151">
        <v>12</v>
      </c>
    </row>
    <row r="355" spans="1:11" ht="13.5" customHeight="1" x14ac:dyDescent="0.15">
      <c r="A355" s="141"/>
      <c r="B355" s="148">
        <v>352</v>
      </c>
      <c r="C355" s="164"/>
      <c r="D355" s="152"/>
      <c r="E355" s="152" t="s">
        <v>367</v>
      </c>
      <c r="F355" s="152" t="s">
        <v>367</v>
      </c>
      <c r="G355" s="152"/>
      <c r="H355" s="152"/>
      <c r="I355" s="152"/>
      <c r="J355" s="152">
        <v>1899</v>
      </c>
      <c r="K355" s="152">
        <v>12</v>
      </c>
    </row>
    <row r="356" spans="1:11" ht="13.5" customHeight="1" x14ac:dyDescent="0.15">
      <c r="A356" s="141"/>
      <c r="B356" s="148">
        <v>353</v>
      </c>
      <c r="C356" s="163"/>
      <c r="D356" s="151"/>
      <c r="E356" s="151" t="s">
        <v>367</v>
      </c>
      <c r="F356" s="151" t="s">
        <v>367</v>
      </c>
      <c r="G356" s="151"/>
      <c r="H356" s="151"/>
      <c r="I356" s="151"/>
      <c r="J356" s="151">
        <v>1899</v>
      </c>
      <c r="K356" s="151">
        <v>12</v>
      </c>
    </row>
    <row r="357" spans="1:11" ht="13.5" customHeight="1" x14ac:dyDescent="0.15">
      <c r="A357" s="141"/>
      <c r="B357" s="148">
        <v>354</v>
      </c>
      <c r="C357" s="164"/>
      <c r="D357" s="152"/>
      <c r="E357" s="152" t="s">
        <v>367</v>
      </c>
      <c r="F357" s="152" t="s">
        <v>367</v>
      </c>
      <c r="G357" s="152"/>
      <c r="H357" s="152"/>
      <c r="I357" s="152"/>
      <c r="J357" s="152">
        <v>1899</v>
      </c>
      <c r="K357" s="152">
        <v>12</v>
      </c>
    </row>
    <row r="358" spans="1:11" ht="13.5" customHeight="1" x14ac:dyDescent="0.15">
      <c r="A358" s="141"/>
      <c r="B358" s="148">
        <v>355</v>
      </c>
      <c r="C358" s="163"/>
      <c r="D358" s="151"/>
      <c r="E358" s="151" t="s">
        <v>367</v>
      </c>
      <c r="F358" s="151" t="s">
        <v>367</v>
      </c>
      <c r="G358" s="151"/>
      <c r="H358" s="151"/>
      <c r="I358" s="151"/>
      <c r="J358" s="151">
        <v>1899</v>
      </c>
      <c r="K358" s="151">
        <v>12</v>
      </c>
    </row>
    <row r="359" spans="1:11" ht="13.5" customHeight="1" x14ac:dyDescent="0.15">
      <c r="A359" s="141"/>
      <c r="B359" s="148">
        <v>356</v>
      </c>
      <c r="C359" s="164"/>
      <c r="D359" s="152"/>
      <c r="E359" s="152" t="s">
        <v>367</v>
      </c>
      <c r="F359" s="152" t="s">
        <v>367</v>
      </c>
      <c r="G359" s="152"/>
      <c r="H359" s="152"/>
      <c r="I359" s="152"/>
      <c r="J359" s="152">
        <v>1899</v>
      </c>
      <c r="K359" s="152">
        <v>12</v>
      </c>
    </row>
    <row r="360" spans="1:11" ht="13.5" customHeight="1" x14ac:dyDescent="0.15">
      <c r="A360" s="141"/>
      <c r="B360" s="148">
        <v>357</v>
      </c>
      <c r="C360" s="163"/>
      <c r="D360" s="151"/>
      <c r="E360" s="151" t="s">
        <v>367</v>
      </c>
      <c r="F360" s="151" t="s">
        <v>367</v>
      </c>
      <c r="G360" s="151"/>
      <c r="H360" s="151"/>
      <c r="I360" s="151"/>
      <c r="J360" s="151">
        <v>1899</v>
      </c>
      <c r="K360" s="151">
        <v>12</v>
      </c>
    </row>
    <row r="361" spans="1:11" ht="13.5" customHeight="1" x14ac:dyDescent="0.15">
      <c r="A361" s="141"/>
      <c r="B361" s="148">
        <v>358</v>
      </c>
      <c r="C361" s="164"/>
      <c r="D361" s="152"/>
      <c r="E361" s="152" t="s">
        <v>367</v>
      </c>
      <c r="F361" s="152" t="s">
        <v>367</v>
      </c>
      <c r="G361" s="152"/>
      <c r="H361" s="152"/>
      <c r="I361" s="152"/>
      <c r="J361" s="152">
        <v>1899</v>
      </c>
      <c r="K361" s="152">
        <v>12</v>
      </c>
    </row>
    <row r="362" spans="1:11" ht="13.5" customHeight="1" x14ac:dyDescent="0.15">
      <c r="A362" s="141"/>
      <c r="B362" s="148">
        <v>359</v>
      </c>
      <c r="C362" s="163"/>
      <c r="D362" s="151"/>
      <c r="E362" s="151" t="s">
        <v>367</v>
      </c>
      <c r="F362" s="151" t="s">
        <v>367</v>
      </c>
      <c r="G362" s="151"/>
      <c r="H362" s="151"/>
      <c r="I362" s="151"/>
      <c r="J362" s="151">
        <v>1899</v>
      </c>
      <c r="K362" s="151">
        <v>12</v>
      </c>
    </row>
    <row r="363" spans="1:11" ht="13.5" customHeight="1" x14ac:dyDescent="0.15">
      <c r="A363" s="141"/>
      <c r="B363" s="148">
        <v>360</v>
      </c>
      <c r="C363" s="164"/>
      <c r="D363" s="152"/>
      <c r="E363" s="152" t="s">
        <v>367</v>
      </c>
      <c r="F363" s="152" t="s">
        <v>367</v>
      </c>
      <c r="G363" s="152"/>
      <c r="H363" s="152"/>
      <c r="I363" s="152"/>
      <c r="J363" s="152">
        <v>1899</v>
      </c>
      <c r="K363" s="152">
        <v>12</v>
      </c>
    </row>
    <row r="364" spans="1:11" ht="13.5" customHeight="1" x14ac:dyDescent="0.15">
      <c r="A364" s="141"/>
      <c r="B364" s="148">
        <v>361</v>
      </c>
      <c r="C364" s="163"/>
      <c r="D364" s="151"/>
      <c r="E364" s="151" t="s">
        <v>367</v>
      </c>
      <c r="F364" s="151" t="s">
        <v>367</v>
      </c>
      <c r="G364" s="151"/>
      <c r="H364" s="151"/>
      <c r="I364" s="151"/>
      <c r="J364" s="151">
        <v>1899</v>
      </c>
      <c r="K364" s="151">
        <v>12</v>
      </c>
    </row>
    <row r="365" spans="1:11" ht="13.5" customHeight="1" x14ac:dyDescent="0.15">
      <c r="A365" s="141"/>
      <c r="B365" s="148">
        <v>362</v>
      </c>
      <c r="C365" s="164"/>
      <c r="D365" s="152"/>
      <c r="E365" s="152" t="s">
        <v>367</v>
      </c>
      <c r="F365" s="152" t="s">
        <v>367</v>
      </c>
      <c r="G365" s="152"/>
      <c r="H365" s="152"/>
      <c r="I365" s="152"/>
      <c r="J365" s="152">
        <v>1899</v>
      </c>
      <c r="K365" s="152">
        <v>12</v>
      </c>
    </row>
    <row r="366" spans="1:11" ht="13.5" customHeight="1" x14ac:dyDescent="0.15">
      <c r="A366" s="141"/>
      <c r="B366" s="148">
        <v>363</v>
      </c>
      <c r="C366" s="163"/>
      <c r="D366" s="151"/>
      <c r="E366" s="151" t="s">
        <v>367</v>
      </c>
      <c r="F366" s="151" t="s">
        <v>367</v>
      </c>
      <c r="G366" s="151"/>
      <c r="H366" s="151"/>
      <c r="I366" s="151"/>
      <c r="J366" s="151">
        <v>1899</v>
      </c>
      <c r="K366" s="151">
        <v>12</v>
      </c>
    </row>
    <row r="367" spans="1:11" ht="13.5" customHeight="1" x14ac:dyDescent="0.15">
      <c r="A367" s="141"/>
      <c r="B367" s="148">
        <v>364</v>
      </c>
      <c r="C367" s="164"/>
      <c r="D367" s="152"/>
      <c r="E367" s="152" t="s">
        <v>367</v>
      </c>
      <c r="F367" s="152" t="s">
        <v>367</v>
      </c>
      <c r="G367" s="152"/>
      <c r="H367" s="152"/>
      <c r="I367" s="152"/>
      <c r="J367" s="152">
        <v>1899</v>
      </c>
      <c r="K367" s="152">
        <v>12</v>
      </c>
    </row>
    <row r="368" spans="1:11" ht="13.5" customHeight="1" x14ac:dyDescent="0.15">
      <c r="A368" s="141"/>
      <c r="B368" s="148">
        <v>365</v>
      </c>
      <c r="C368" s="163"/>
      <c r="D368" s="151"/>
      <c r="E368" s="151" t="s">
        <v>367</v>
      </c>
      <c r="F368" s="151" t="s">
        <v>367</v>
      </c>
      <c r="G368" s="151"/>
      <c r="H368" s="151"/>
      <c r="I368" s="151"/>
      <c r="J368" s="151">
        <v>1899</v>
      </c>
      <c r="K368" s="151">
        <v>12</v>
      </c>
    </row>
    <row r="369" spans="1:11" ht="13.5" customHeight="1" x14ac:dyDescent="0.15">
      <c r="A369" s="141"/>
      <c r="B369" s="148">
        <v>366</v>
      </c>
      <c r="C369" s="164"/>
      <c r="D369" s="152"/>
      <c r="E369" s="152" t="s">
        <v>367</v>
      </c>
      <c r="F369" s="152" t="s">
        <v>367</v>
      </c>
      <c r="G369" s="152"/>
      <c r="H369" s="152"/>
      <c r="I369" s="152"/>
      <c r="J369" s="152">
        <v>1899</v>
      </c>
      <c r="K369" s="152">
        <v>12</v>
      </c>
    </row>
    <row r="370" spans="1:11" ht="13.5" customHeight="1" x14ac:dyDescent="0.15">
      <c r="A370" s="141"/>
      <c r="B370" s="148">
        <v>367</v>
      </c>
      <c r="C370" s="163"/>
      <c r="D370" s="151"/>
      <c r="E370" s="151" t="s">
        <v>367</v>
      </c>
      <c r="F370" s="151" t="s">
        <v>367</v>
      </c>
      <c r="G370" s="151"/>
      <c r="H370" s="151"/>
      <c r="I370" s="151"/>
      <c r="J370" s="151">
        <v>1899</v>
      </c>
      <c r="K370" s="151">
        <v>12</v>
      </c>
    </row>
    <row r="371" spans="1:11" ht="13.5" customHeight="1" x14ac:dyDescent="0.15">
      <c r="A371" s="141"/>
      <c r="B371" s="148">
        <v>368</v>
      </c>
      <c r="C371" s="164"/>
      <c r="D371" s="152"/>
      <c r="E371" s="152" t="s">
        <v>367</v>
      </c>
      <c r="F371" s="152" t="s">
        <v>367</v>
      </c>
      <c r="G371" s="152"/>
      <c r="H371" s="152"/>
      <c r="I371" s="152"/>
      <c r="J371" s="152">
        <v>1899</v>
      </c>
      <c r="K371" s="152">
        <v>12</v>
      </c>
    </row>
    <row r="372" spans="1:11" ht="13.5" customHeight="1" x14ac:dyDescent="0.15">
      <c r="A372" s="141"/>
      <c r="B372" s="148">
        <v>369</v>
      </c>
      <c r="C372" s="163"/>
      <c r="D372" s="151"/>
      <c r="E372" s="151" t="s">
        <v>367</v>
      </c>
      <c r="F372" s="151" t="s">
        <v>367</v>
      </c>
      <c r="G372" s="151"/>
      <c r="H372" s="151"/>
      <c r="I372" s="151"/>
      <c r="J372" s="151">
        <v>1899</v>
      </c>
      <c r="K372" s="151">
        <v>12</v>
      </c>
    </row>
    <row r="373" spans="1:11" ht="13.5" customHeight="1" x14ac:dyDescent="0.15">
      <c r="A373" s="141"/>
      <c r="B373" s="148">
        <v>370</v>
      </c>
      <c r="C373" s="164"/>
      <c r="D373" s="152"/>
      <c r="E373" s="152" t="s">
        <v>367</v>
      </c>
      <c r="F373" s="152" t="s">
        <v>367</v>
      </c>
      <c r="G373" s="152"/>
      <c r="H373" s="152"/>
      <c r="I373" s="152"/>
      <c r="J373" s="152">
        <v>1899</v>
      </c>
      <c r="K373" s="152">
        <v>12</v>
      </c>
    </row>
    <row r="374" spans="1:11" ht="13.5" customHeight="1" x14ac:dyDescent="0.15">
      <c r="A374" s="141"/>
      <c r="B374" s="148">
        <v>371</v>
      </c>
      <c r="C374" s="163"/>
      <c r="D374" s="151"/>
      <c r="E374" s="151" t="s">
        <v>367</v>
      </c>
      <c r="F374" s="151" t="s">
        <v>367</v>
      </c>
      <c r="G374" s="151"/>
      <c r="H374" s="151"/>
      <c r="I374" s="151"/>
      <c r="J374" s="151">
        <v>1899</v>
      </c>
      <c r="K374" s="151">
        <v>12</v>
      </c>
    </row>
    <row r="375" spans="1:11" ht="13.5" customHeight="1" x14ac:dyDescent="0.15">
      <c r="A375" s="141"/>
      <c r="B375" s="148">
        <v>372</v>
      </c>
      <c r="C375" s="164"/>
      <c r="D375" s="152"/>
      <c r="E375" s="152" t="s">
        <v>367</v>
      </c>
      <c r="F375" s="152" t="s">
        <v>367</v>
      </c>
      <c r="G375" s="152"/>
      <c r="H375" s="152"/>
      <c r="I375" s="152"/>
      <c r="J375" s="152">
        <v>1899</v>
      </c>
      <c r="K375" s="152">
        <v>12</v>
      </c>
    </row>
    <row r="376" spans="1:11" ht="13.5" customHeight="1" x14ac:dyDescent="0.15">
      <c r="A376" s="141"/>
      <c r="B376" s="148">
        <v>373</v>
      </c>
      <c r="C376" s="163"/>
      <c r="D376" s="151"/>
      <c r="E376" s="151" t="s">
        <v>367</v>
      </c>
      <c r="F376" s="151" t="s">
        <v>367</v>
      </c>
      <c r="G376" s="151"/>
      <c r="H376" s="151"/>
      <c r="I376" s="151"/>
      <c r="J376" s="151">
        <v>1899</v>
      </c>
      <c r="K376" s="151">
        <v>12</v>
      </c>
    </row>
    <row r="377" spans="1:11" ht="13.5" customHeight="1" x14ac:dyDescent="0.15">
      <c r="A377" s="141"/>
      <c r="B377" s="148">
        <v>374</v>
      </c>
      <c r="C377" s="164"/>
      <c r="D377" s="152"/>
      <c r="E377" s="152" t="s">
        <v>367</v>
      </c>
      <c r="F377" s="152" t="s">
        <v>367</v>
      </c>
      <c r="G377" s="152"/>
      <c r="H377" s="152"/>
      <c r="I377" s="152"/>
      <c r="J377" s="152">
        <v>1899</v>
      </c>
      <c r="K377" s="152">
        <v>12</v>
      </c>
    </row>
    <row r="378" spans="1:11" ht="13.5" customHeight="1" x14ac:dyDescent="0.15">
      <c r="A378" s="141"/>
      <c r="B378" s="148">
        <v>375</v>
      </c>
      <c r="C378" s="163"/>
      <c r="D378" s="151"/>
      <c r="E378" s="151" t="s">
        <v>367</v>
      </c>
      <c r="F378" s="151" t="s">
        <v>367</v>
      </c>
      <c r="G378" s="151"/>
      <c r="H378" s="151"/>
      <c r="I378" s="151"/>
      <c r="J378" s="151">
        <v>1899</v>
      </c>
      <c r="K378" s="151">
        <v>12</v>
      </c>
    </row>
    <row r="379" spans="1:11" ht="13.5" customHeight="1" x14ac:dyDescent="0.15">
      <c r="A379" s="141"/>
      <c r="B379" s="148">
        <v>376</v>
      </c>
      <c r="C379" s="164"/>
      <c r="D379" s="152"/>
      <c r="E379" s="152" t="s">
        <v>367</v>
      </c>
      <c r="F379" s="152" t="s">
        <v>367</v>
      </c>
      <c r="G379" s="152"/>
      <c r="H379" s="152"/>
      <c r="I379" s="152"/>
      <c r="J379" s="152">
        <v>1899</v>
      </c>
      <c r="K379" s="152">
        <v>12</v>
      </c>
    </row>
    <row r="380" spans="1:11" ht="13.5" customHeight="1" x14ac:dyDescent="0.15">
      <c r="A380" s="141"/>
      <c r="B380" s="148">
        <v>377</v>
      </c>
      <c r="C380" s="163"/>
      <c r="D380" s="151"/>
      <c r="E380" s="151" t="s">
        <v>367</v>
      </c>
      <c r="F380" s="151" t="s">
        <v>367</v>
      </c>
      <c r="G380" s="151"/>
      <c r="H380" s="151"/>
      <c r="I380" s="151"/>
      <c r="J380" s="151">
        <v>1899</v>
      </c>
      <c r="K380" s="151">
        <v>12</v>
      </c>
    </row>
    <row r="381" spans="1:11" ht="13.5" customHeight="1" x14ac:dyDescent="0.15">
      <c r="A381" s="141"/>
      <c r="B381" s="148">
        <v>378</v>
      </c>
      <c r="C381" s="164"/>
      <c r="D381" s="152"/>
      <c r="E381" s="152" t="s">
        <v>367</v>
      </c>
      <c r="F381" s="152" t="s">
        <v>367</v>
      </c>
      <c r="G381" s="152"/>
      <c r="H381" s="152"/>
      <c r="I381" s="152"/>
      <c r="J381" s="152">
        <v>1899</v>
      </c>
      <c r="K381" s="152">
        <v>12</v>
      </c>
    </row>
    <row r="382" spans="1:11" ht="13.5" customHeight="1" x14ac:dyDescent="0.15">
      <c r="A382" s="141"/>
      <c r="B382" s="148">
        <v>379</v>
      </c>
      <c r="C382" s="163"/>
      <c r="D382" s="151"/>
      <c r="E382" s="151" t="s">
        <v>367</v>
      </c>
      <c r="F382" s="151" t="s">
        <v>367</v>
      </c>
      <c r="G382" s="151"/>
      <c r="H382" s="151"/>
      <c r="I382" s="151"/>
      <c r="J382" s="151">
        <v>1899</v>
      </c>
      <c r="K382" s="151">
        <v>12</v>
      </c>
    </row>
    <row r="383" spans="1:11" ht="13.5" customHeight="1" x14ac:dyDescent="0.15">
      <c r="A383" s="141"/>
      <c r="B383" s="148">
        <v>380</v>
      </c>
      <c r="C383" s="164"/>
      <c r="D383" s="152"/>
      <c r="E383" s="152" t="s">
        <v>367</v>
      </c>
      <c r="F383" s="152" t="s">
        <v>367</v>
      </c>
      <c r="G383" s="152"/>
      <c r="H383" s="152"/>
      <c r="I383" s="152"/>
      <c r="J383" s="152">
        <v>1899</v>
      </c>
      <c r="K383" s="152">
        <v>12</v>
      </c>
    </row>
    <row r="384" spans="1:11" ht="13.5" customHeight="1" x14ac:dyDescent="0.15">
      <c r="A384" s="141"/>
      <c r="B384" s="148">
        <v>381</v>
      </c>
      <c r="C384" s="163"/>
      <c r="D384" s="151"/>
      <c r="E384" s="151" t="s">
        <v>367</v>
      </c>
      <c r="F384" s="151" t="s">
        <v>367</v>
      </c>
      <c r="G384" s="151"/>
      <c r="H384" s="151"/>
      <c r="I384" s="151"/>
      <c r="J384" s="151">
        <v>1899</v>
      </c>
      <c r="K384" s="151">
        <v>12</v>
      </c>
    </row>
    <row r="385" spans="1:11" ht="13.5" customHeight="1" x14ac:dyDescent="0.15">
      <c r="A385" s="141"/>
      <c r="B385" s="148">
        <v>382</v>
      </c>
      <c r="C385" s="164"/>
      <c r="D385" s="152"/>
      <c r="E385" s="152" t="s">
        <v>367</v>
      </c>
      <c r="F385" s="152" t="s">
        <v>367</v>
      </c>
      <c r="G385" s="152"/>
      <c r="H385" s="152"/>
      <c r="I385" s="152"/>
      <c r="J385" s="152">
        <v>1899</v>
      </c>
      <c r="K385" s="152">
        <v>12</v>
      </c>
    </row>
    <row r="386" spans="1:11" ht="13.5" customHeight="1" x14ac:dyDescent="0.15">
      <c r="A386" s="141"/>
      <c r="B386" s="148">
        <v>383</v>
      </c>
      <c r="C386" s="163"/>
      <c r="D386" s="151"/>
      <c r="E386" s="151" t="s">
        <v>367</v>
      </c>
      <c r="F386" s="151" t="s">
        <v>367</v>
      </c>
      <c r="G386" s="151"/>
      <c r="H386" s="151"/>
      <c r="I386" s="151"/>
      <c r="J386" s="151">
        <v>1899</v>
      </c>
      <c r="K386" s="151">
        <v>12</v>
      </c>
    </row>
    <row r="387" spans="1:11" ht="13.5" customHeight="1" x14ac:dyDescent="0.15">
      <c r="A387" s="141"/>
      <c r="B387" s="148">
        <v>384</v>
      </c>
      <c r="C387" s="164"/>
      <c r="D387" s="152"/>
      <c r="E387" s="152" t="s">
        <v>367</v>
      </c>
      <c r="F387" s="152" t="s">
        <v>367</v>
      </c>
      <c r="G387" s="152"/>
      <c r="H387" s="152"/>
      <c r="I387" s="152"/>
      <c r="J387" s="152">
        <v>1899</v>
      </c>
      <c r="K387" s="152">
        <v>12</v>
      </c>
    </row>
    <row r="388" spans="1:11" ht="13.5" customHeight="1" x14ac:dyDescent="0.15">
      <c r="A388" s="141"/>
      <c r="B388" s="148">
        <v>385</v>
      </c>
      <c r="C388" s="163"/>
      <c r="D388" s="151"/>
      <c r="E388" s="151" t="s">
        <v>367</v>
      </c>
      <c r="F388" s="151" t="s">
        <v>367</v>
      </c>
      <c r="G388" s="151"/>
      <c r="H388" s="151"/>
      <c r="I388" s="151"/>
      <c r="J388" s="151">
        <v>1899</v>
      </c>
      <c r="K388" s="151">
        <v>12</v>
      </c>
    </row>
    <row r="389" spans="1:11" ht="13.5" customHeight="1" x14ac:dyDescent="0.15">
      <c r="A389" s="141"/>
      <c r="B389" s="148">
        <v>386</v>
      </c>
      <c r="C389" s="164"/>
      <c r="D389" s="152"/>
      <c r="E389" s="152" t="s">
        <v>367</v>
      </c>
      <c r="F389" s="152" t="s">
        <v>367</v>
      </c>
      <c r="G389" s="152"/>
      <c r="H389" s="152"/>
      <c r="I389" s="152"/>
      <c r="J389" s="152">
        <v>1899</v>
      </c>
      <c r="K389" s="152">
        <v>12</v>
      </c>
    </row>
    <row r="390" spans="1:11" ht="13.5" customHeight="1" x14ac:dyDescent="0.15">
      <c r="A390" s="141"/>
      <c r="B390" s="148">
        <v>387</v>
      </c>
      <c r="C390" s="163"/>
      <c r="D390" s="151"/>
      <c r="E390" s="151" t="s">
        <v>367</v>
      </c>
      <c r="F390" s="151" t="s">
        <v>367</v>
      </c>
      <c r="G390" s="151"/>
      <c r="H390" s="151"/>
      <c r="I390" s="151"/>
      <c r="J390" s="151">
        <v>1899</v>
      </c>
      <c r="K390" s="151">
        <v>12</v>
      </c>
    </row>
    <row r="391" spans="1:11" ht="13.5" customHeight="1" x14ac:dyDescent="0.15">
      <c r="A391" s="141"/>
      <c r="B391" s="148">
        <v>388</v>
      </c>
      <c r="C391" s="164"/>
      <c r="D391" s="152"/>
      <c r="E391" s="152" t="s">
        <v>367</v>
      </c>
      <c r="F391" s="152" t="s">
        <v>367</v>
      </c>
      <c r="G391" s="152"/>
      <c r="H391" s="152"/>
      <c r="I391" s="152"/>
      <c r="J391" s="152">
        <v>1899</v>
      </c>
      <c r="K391" s="152">
        <v>12</v>
      </c>
    </row>
    <row r="392" spans="1:11" ht="13.5" customHeight="1" x14ac:dyDescent="0.15">
      <c r="A392" s="141"/>
      <c r="B392" s="148">
        <v>389</v>
      </c>
      <c r="C392" s="163"/>
      <c r="D392" s="151"/>
      <c r="E392" s="151" t="s">
        <v>367</v>
      </c>
      <c r="F392" s="151" t="s">
        <v>367</v>
      </c>
      <c r="G392" s="151"/>
      <c r="H392" s="151"/>
      <c r="I392" s="151"/>
      <c r="J392" s="151">
        <v>1899</v>
      </c>
      <c r="K392" s="151">
        <v>12</v>
      </c>
    </row>
    <row r="393" spans="1:11" ht="13.5" customHeight="1" x14ac:dyDescent="0.15">
      <c r="A393" s="141"/>
      <c r="B393" s="148">
        <v>390</v>
      </c>
      <c r="C393" s="164"/>
      <c r="D393" s="152"/>
      <c r="E393" s="152" t="s">
        <v>367</v>
      </c>
      <c r="F393" s="152" t="s">
        <v>367</v>
      </c>
      <c r="G393" s="152"/>
      <c r="H393" s="152"/>
      <c r="I393" s="152"/>
      <c r="J393" s="152">
        <v>1899</v>
      </c>
      <c r="K393" s="152">
        <v>12</v>
      </c>
    </row>
    <row r="394" spans="1:11" ht="13.5" customHeight="1" x14ac:dyDescent="0.15">
      <c r="A394" s="141"/>
      <c r="B394" s="148">
        <v>391</v>
      </c>
      <c r="C394" s="163"/>
      <c r="D394" s="151"/>
      <c r="E394" s="151" t="s">
        <v>367</v>
      </c>
      <c r="F394" s="151" t="s">
        <v>367</v>
      </c>
      <c r="G394" s="151"/>
      <c r="H394" s="151"/>
      <c r="I394" s="151"/>
      <c r="J394" s="151">
        <v>1899</v>
      </c>
      <c r="K394" s="151">
        <v>12</v>
      </c>
    </row>
    <row r="395" spans="1:11" ht="13.5" customHeight="1" x14ac:dyDescent="0.15">
      <c r="A395" s="141"/>
      <c r="B395" s="148">
        <v>392</v>
      </c>
      <c r="C395" s="164"/>
      <c r="D395" s="152"/>
      <c r="E395" s="152" t="s">
        <v>367</v>
      </c>
      <c r="F395" s="152" t="s">
        <v>367</v>
      </c>
      <c r="G395" s="152"/>
      <c r="H395" s="152"/>
      <c r="I395" s="152"/>
      <c r="J395" s="152">
        <v>1899</v>
      </c>
      <c r="K395" s="152">
        <v>12</v>
      </c>
    </row>
    <row r="396" spans="1:11" ht="13.5" customHeight="1" x14ac:dyDescent="0.15">
      <c r="A396" s="141"/>
      <c r="B396" s="148">
        <v>393</v>
      </c>
      <c r="C396" s="163"/>
      <c r="D396" s="151"/>
      <c r="E396" s="151" t="s">
        <v>367</v>
      </c>
      <c r="F396" s="151" t="s">
        <v>367</v>
      </c>
      <c r="G396" s="151"/>
      <c r="H396" s="151"/>
      <c r="I396" s="151"/>
      <c r="J396" s="151">
        <v>1899</v>
      </c>
      <c r="K396" s="151">
        <v>12</v>
      </c>
    </row>
    <row r="397" spans="1:11" ht="13.5" customHeight="1" x14ac:dyDescent="0.15">
      <c r="A397" s="141"/>
      <c r="B397" s="148">
        <v>394</v>
      </c>
      <c r="C397" s="164"/>
      <c r="D397" s="152"/>
      <c r="E397" s="152" t="s">
        <v>367</v>
      </c>
      <c r="F397" s="152" t="s">
        <v>367</v>
      </c>
      <c r="G397" s="152"/>
      <c r="H397" s="152"/>
      <c r="I397" s="152"/>
      <c r="J397" s="152">
        <v>1899</v>
      </c>
      <c r="K397" s="152">
        <v>12</v>
      </c>
    </row>
    <row r="398" spans="1:11" ht="13.5" customHeight="1" x14ac:dyDescent="0.15">
      <c r="A398" s="141"/>
      <c r="B398" s="148">
        <v>395</v>
      </c>
      <c r="C398" s="163"/>
      <c r="D398" s="151"/>
      <c r="E398" s="151" t="s">
        <v>367</v>
      </c>
      <c r="F398" s="151" t="s">
        <v>367</v>
      </c>
      <c r="G398" s="151"/>
      <c r="H398" s="151"/>
      <c r="I398" s="151"/>
      <c r="J398" s="151">
        <v>1899</v>
      </c>
      <c r="K398" s="151">
        <v>12</v>
      </c>
    </row>
    <row r="399" spans="1:11" ht="13.5" customHeight="1" x14ac:dyDescent="0.15">
      <c r="A399" s="141"/>
      <c r="B399" s="148">
        <v>396</v>
      </c>
      <c r="C399" s="164"/>
      <c r="D399" s="152"/>
      <c r="E399" s="152" t="s">
        <v>367</v>
      </c>
      <c r="F399" s="152" t="s">
        <v>367</v>
      </c>
      <c r="G399" s="152"/>
      <c r="H399" s="152"/>
      <c r="I399" s="152"/>
      <c r="J399" s="152">
        <v>1899</v>
      </c>
      <c r="K399" s="152">
        <v>12</v>
      </c>
    </row>
    <row r="400" spans="1:11" ht="13.5" customHeight="1" x14ac:dyDescent="0.15">
      <c r="A400" s="141"/>
      <c r="B400" s="148">
        <v>397</v>
      </c>
      <c r="C400" s="163"/>
      <c r="D400" s="151"/>
      <c r="E400" s="151" t="s">
        <v>367</v>
      </c>
      <c r="F400" s="151" t="s">
        <v>367</v>
      </c>
      <c r="G400" s="151"/>
      <c r="H400" s="151"/>
      <c r="I400" s="151"/>
      <c r="J400" s="151">
        <v>1899</v>
      </c>
      <c r="K400" s="151">
        <v>12</v>
      </c>
    </row>
    <row r="401" spans="1:11" ht="13.5" customHeight="1" x14ac:dyDescent="0.15">
      <c r="A401" s="141"/>
      <c r="B401" s="148">
        <v>398</v>
      </c>
      <c r="C401" s="164"/>
      <c r="D401" s="152"/>
      <c r="E401" s="152" t="s">
        <v>367</v>
      </c>
      <c r="F401" s="152" t="s">
        <v>367</v>
      </c>
      <c r="G401" s="152"/>
      <c r="H401" s="152"/>
      <c r="I401" s="152"/>
      <c r="J401" s="152">
        <v>1899</v>
      </c>
      <c r="K401" s="152">
        <v>12</v>
      </c>
    </row>
    <row r="402" spans="1:11" ht="13.5" customHeight="1" x14ac:dyDescent="0.15">
      <c r="A402" s="141"/>
      <c r="B402" s="148">
        <v>399</v>
      </c>
      <c r="C402" s="163"/>
      <c r="D402" s="151"/>
      <c r="E402" s="151" t="s">
        <v>367</v>
      </c>
      <c r="F402" s="151" t="s">
        <v>367</v>
      </c>
      <c r="G402" s="151"/>
      <c r="H402" s="151"/>
      <c r="I402" s="151"/>
      <c r="J402" s="151">
        <v>1899</v>
      </c>
      <c r="K402" s="151">
        <v>12</v>
      </c>
    </row>
    <row r="403" spans="1:11" ht="13.5" customHeight="1" x14ac:dyDescent="0.15">
      <c r="A403" s="141"/>
      <c r="B403" s="148">
        <v>400</v>
      </c>
      <c r="C403" s="164"/>
      <c r="D403" s="152"/>
      <c r="E403" s="152" t="s">
        <v>367</v>
      </c>
      <c r="F403" s="152" t="s">
        <v>367</v>
      </c>
      <c r="G403" s="152"/>
      <c r="H403" s="152"/>
      <c r="I403" s="152"/>
      <c r="J403" s="152">
        <v>1899</v>
      </c>
      <c r="K403" s="152">
        <v>12</v>
      </c>
    </row>
    <row r="404" spans="1:11" ht="13.5" customHeight="1" x14ac:dyDescent="0.15">
      <c r="A404" s="141"/>
      <c r="B404" s="148">
        <v>401</v>
      </c>
      <c r="C404" s="163"/>
      <c r="D404" s="151"/>
      <c r="E404" s="151" t="s">
        <v>367</v>
      </c>
      <c r="F404" s="151" t="s">
        <v>367</v>
      </c>
      <c r="G404" s="151"/>
      <c r="H404" s="151"/>
      <c r="I404" s="151"/>
      <c r="J404" s="151">
        <v>1899</v>
      </c>
      <c r="K404" s="151">
        <v>12</v>
      </c>
    </row>
    <row r="405" spans="1:11" ht="13.5" customHeight="1" x14ac:dyDescent="0.15">
      <c r="A405" s="141"/>
      <c r="B405" s="148">
        <v>402</v>
      </c>
      <c r="C405" s="164"/>
      <c r="D405" s="152"/>
      <c r="E405" s="152" t="s">
        <v>367</v>
      </c>
      <c r="F405" s="152" t="s">
        <v>367</v>
      </c>
      <c r="G405" s="152"/>
      <c r="H405" s="152"/>
      <c r="I405" s="152"/>
      <c r="J405" s="152">
        <v>1899</v>
      </c>
      <c r="K405" s="152">
        <v>12</v>
      </c>
    </row>
    <row r="406" spans="1:11" ht="13.5" customHeight="1" x14ac:dyDescent="0.15">
      <c r="A406" s="141"/>
      <c r="B406" s="148">
        <v>403</v>
      </c>
      <c r="C406" s="163"/>
      <c r="D406" s="151"/>
      <c r="E406" s="151" t="s">
        <v>367</v>
      </c>
      <c r="F406" s="151" t="s">
        <v>367</v>
      </c>
      <c r="G406" s="151"/>
      <c r="H406" s="151"/>
      <c r="I406" s="151"/>
      <c r="J406" s="151">
        <v>1899</v>
      </c>
      <c r="K406" s="151">
        <v>12</v>
      </c>
    </row>
    <row r="407" spans="1:11" ht="13.5" customHeight="1" x14ac:dyDescent="0.15">
      <c r="A407" s="141"/>
      <c r="B407" s="148">
        <v>404</v>
      </c>
      <c r="C407" s="164"/>
      <c r="D407" s="152"/>
      <c r="E407" s="152" t="s">
        <v>367</v>
      </c>
      <c r="F407" s="152" t="s">
        <v>367</v>
      </c>
      <c r="G407" s="152"/>
      <c r="H407" s="152"/>
      <c r="I407" s="152"/>
      <c r="J407" s="152">
        <v>1899</v>
      </c>
      <c r="K407" s="152">
        <v>12</v>
      </c>
    </row>
    <row r="408" spans="1:11" ht="13.5" customHeight="1" x14ac:dyDescent="0.15">
      <c r="A408" s="141"/>
      <c r="B408" s="148">
        <v>405</v>
      </c>
      <c r="C408" s="163"/>
      <c r="D408" s="151"/>
      <c r="E408" s="151" t="s">
        <v>367</v>
      </c>
      <c r="F408" s="151" t="s">
        <v>367</v>
      </c>
      <c r="G408" s="151"/>
      <c r="H408" s="151"/>
      <c r="I408" s="151"/>
      <c r="J408" s="151">
        <v>1899</v>
      </c>
      <c r="K408" s="151">
        <v>12</v>
      </c>
    </row>
    <row r="409" spans="1:11" ht="13.5" customHeight="1" x14ac:dyDescent="0.15">
      <c r="A409" s="141"/>
      <c r="B409" s="148">
        <v>406</v>
      </c>
      <c r="C409" s="164"/>
      <c r="D409" s="152"/>
      <c r="E409" s="152" t="s">
        <v>367</v>
      </c>
      <c r="F409" s="152" t="s">
        <v>367</v>
      </c>
      <c r="G409" s="152"/>
      <c r="H409" s="152"/>
      <c r="I409" s="152"/>
      <c r="J409" s="152">
        <v>1899</v>
      </c>
      <c r="K409" s="152">
        <v>12</v>
      </c>
    </row>
    <row r="410" spans="1:11" ht="13.5" customHeight="1" x14ac:dyDescent="0.15">
      <c r="A410" s="141"/>
      <c r="B410" s="148">
        <v>407</v>
      </c>
      <c r="C410" s="163"/>
      <c r="D410" s="151"/>
      <c r="E410" s="151" t="s">
        <v>367</v>
      </c>
      <c r="F410" s="151" t="s">
        <v>367</v>
      </c>
      <c r="G410" s="151"/>
      <c r="H410" s="151"/>
      <c r="I410" s="151"/>
      <c r="J410" s="151">
        <v>1899</v>
      </c>
      <c r="K410" s="151">
        <v>12</v>
      </c>
    </row>
    <row r="411" spans="1:11" ht="13.5" customHeight="1" x14ac:dyDescent="0.15">
      <c r="A411" s="141"/>
      <c r="B411" s="148">
        <v>408</v>
      </c>
      <c r="C411" s="164"/>
      <c r="D411" s="152"/>
      <c r="E411" s="152" t="s">
        <v>367</v>
      </c>
      <c r="F411" s="152" t="s">
        <v>367</v>
      </c>
      <c r="G411" s="152"/>
      <c r="H411" s="152"/>
      <c r="I411" s="152"/>
      <c r="J411" s="152">
        <v>1899</v>
      </c>
      <c r="K411" s="152">
        <v>12</v>
      </c>
    </row>
    <row r="412" spans="1:11" ht="13.5" customHeight="1" x14ac:dyDescent="0.15">
      <c r="A412" s="141"/>
      <c r="B412" s="148">
        <v>409</v>
      </c>
      <c r="C412" s="163"/>
      <c r="D412" s="151"/>
      <c r="E412" s="151" t="s">
        <v>367</v>
      </c>
      <c r="F412" s="151" t="s">
        <v>367</v>
      </c>
      <c r="G412" s="151"/>
      <c r="H412" s="151"/>
      <c r="I412" s="151"/>
      <c r="J412" s="151">
        <v>1899</v>
      </c>
      <c r="K412" s="151">
        <v>12</v>
      </c>
    </row>
    <row r="413" spans="1:11" ht="13.5" customHeight="1" x14ac:dyDescent="0.15">
      <c r="A413" s="141"/>
      <c r="B413" s="148">
        <v>410</v>
      </c>
      <c r="C413" s="164"/>
      <c r="D413" s="152"/>
      <c r="E413" s="152" t="s">
        <v>367</v>
      </c>
      <c r="F413" s="152" t="s">
        <v>367</v>
      </c>
      <c r="G413" s="152"/>
      <c r="H413" s="152"/>
      <c r="I413" s="152"/>
      <c r="J413" s="152">
        <v>1899</v>
      </c>
      <c r="K413" s="152">
        <v>12</v>
      </c>
    </row>
    <row r="414" spans="1:11" ht="13.5" customHeight="1" x14ac:dyDescent="0.15">
      <c r="A414" s="141"/>
      <c r="B414" s="148">
        <v>411</v>
      </c>
      <c r="C414" s="163"/>
      <c r="D414" s="151"/>
      <c r="E414" s="151" t="s">
        <v>367</v>
      </c>
      <c r="F414" s="151" t="s">
        <v>367</v>
      </c>
      <c r="G414" s="151"/>
      <c r="H414" s="151"/>
      <c r="I414" s="151"/>
      <c r="J414" s="151">
        <v>1899</v>
      </c>
      <c r="K414" s="151">
        <v>12</v>
      </c>
    </row>
    <row r="415" spans="1:11" ht="13.5" customHeight="1" x14ac:dyDescent="0.15">
      <c r="A415" s="141"/>
      <c r="B415" s="148">
        <v>412</v>
      </c>
      <c r="C415" s="164"/>
      <c r="D415" s="152"/>
      <c r="E415" s="152" t="s">
        <v>367</v>
      </c>
      <c r="F415" s="152" t="s">
        <v>367</v>
      </c>
      <c r="G415" s="152"/>
      <c r="H415" s="152"/>
      <c r="I415" s="152"/>
      <c r="J415" s="152">
        <v>1899</v>
      </c>
      <c r="K415" s="152">
        <v>12</v>
      </c>
    </row>
    <row r="416" spans="1:11" ht="13.5" customHeight="1" x14ac:dyDescent="0.15">
      <c r="A416" s="141"/>
      <c r="B416" s="148">
        <v>413</v>
      </c>
      <c r="C416" s="163"/>
      <c r="D416" s="151"/>
      <c r="E416" s="151" t="s">
        <v>367</v>
      </c>
      <c r="F416" s="151" t="s">
        <v>367</v>
      </c>
      <c r="G416" s="151"/>
      <c r="H416" s="151"/>
      <c r="I416" s="151"/>
      <c r="J416" s="151">
        <v>1899</v>
      </c>
      <c r="K416" s="151">
        <v>12</v>
      </c>
    </row>
    <row r="417" spans="1:11" ht="13.5" customHeight="1" x14ac:dyDescent="0.15">
      <c r="A417" s="141"/>
      <c r="B417" s="148">
        <v>414</v>
      </c>
      <c r="C417" s="164"/>
      <c r="D417" s="152"/>
      <c r="E417" s="152" t="s">
        <v>367</v>
      </c>
      <c r="F417" s="152" t="s">
        <v>367</v>
      </c>
      <c r="G417" s="152"/>
      <c r="H417" s="152"/>
      <c r="I417" s="152"/>
      <c r="J417" s="152">
        <v>1899</v>
      </c>
      <c r="K417" s="152">
        <v>12</v>
      </c>
    </row>
    <row r="418" spans="1:11" ht="13.5" customHeight="1" x14ac:dyDescent="0.15">
      <c r="A418" s="141"/>
      <c r="B418" s="148">
        <v>415</v>
      </c>
      <c r="C418" s="163"/>
      <c r="D418" s="151"/>
      <c r="E418" s="151" t="s">
        <v>367</v>
      </c>
      <c r="F418" s="151" t="s">
        <v>367</v>
      </c>
      <c r="G418" s="151"/>
      <c r="H418" s="151"/>
      <c r="I418" s="151"/>
      <c r="J418" s="151">
        <v>1899</v>
      </c>
      <c r="K418" s="151">
        <v>12</v>
      </c>
    </row>
    <row r="419" spans="1:11" ht="13.5" customHeight="1" x14ac:dyDescent="0.15">
      <c r="A419" s="141"/>
      <c r="B419" s="148">
        <v>416</v>
      </c>
      <c r="C419" s="164"/>
      <c r="D419" s="152"/>
      <c r="E419" s="152" t="s">
        <v>367</v>
      </c>
      <c r="F419" s="152" t="s">
        <v>367</v>
      </c>
      <c r="G419" s="152"/>
      <c r="H419" s="152"/>
      <c r="I419" s="152"/>
      <c r="J419" s="152">
        <v>1899</v>
      </c>
      <c r="K419" s="152">
        <v>12</v>
      </c>
    </row>
    <row r="420" spans="1:11" ht="13.5" customHeight="1" x14ac:dyDescent="0.15">
      <c r="A420" s="141"/>
      <c r="B420" s="148">
        <v>417</v>
      </c>
      <c r="C420" s="163"/>
      <c r="D420" s="151"/>
      <c r="E420" s="151" t="s">
        <v>367</v>
      </c>
      <c r="F420" s="151" t="s">
        <v>367</v>
      </c>
      <c r="G420" s="151"/>
      <c r="H420" s="151"/>
      <c r="I420" s="151"/>
      <c r="J420" s="151">
        <v>1899</v>
      </c>
      <c r="K420" s="151">
        <v>12</v>
      </c>
    </row>
    <row r="421" spans="1:11" ht="13.5" customHeight="1" x14ac:dyDescent="0.15">
      <c r="A421" s="141"/>
      <c r="B421" s="148">
        <v>418</v>
      </c>
      <c r="C421" s="164"/>
      <c r="D421" s="152"/>
      <c r="E421" s="152" t="s">
        <v>367</v>
      </c>
      <c r="F421" s="152" t="s">
        <v>367</v>
      </c>
      <c r="G421" s="152"/>
      <c r="H421" s="152"/>
      <c r="I421" s="152"/>
      <c r="J421" s="152">
        <v>1899</v>
      </c>
      <c r="K421" s="152">
        <v>12</v>
      </c>
    </row>
    <row r="422" spans="1:11" ht="13.5" customHeight="1" x14ac:dyDescent="0.15">
      <c r="A422" s="141"/>
      <c r="B422" s="148">
        <v>419</v>
      </c>
      <c r="C422" s="163"/>
      <c r="D422" s="151"/>
      <c r="E422" s="151" t="s">
        <v>367</v>
      </c>
      <c r="F422" s="151" t="s">
        <v>367</v>
      </c>
      <c r="G422" s="151"/>
      <c r="H422" s="151"/>
      <c r="I422" s="151"/>
      <c r="J422" s="151">
        <v>1899</v>
      </c>
      <c r="K422" s="151">
        <v>12</v>
      </c>
    </row>
    <row r="423" spans="1:11" ht="13.5" customHeight="1" x14ac:dyDescent="0.15">
      <c r="A423" s="141"/>
      <c r="B423" s="148">
        <v>420</v>
      </c>
      <c r="C423" s="164"/>
      <c r="D423" s="152"/>
      <c r="E423" s="152" t="s">
        <v>367</v>
      </c>
      <c r="F423" s="152" t="s">
        <v>367</v>
      </c>
      <c r="G423" s="152"/>
      <c r="H423" s="152"/>
      <c r="I423" s="152"/>
      <c r="J423" s="152">
        <v>1899</v>
      </c>
      <c r="K423" s="152">
        <v>12</v>
      </c>
    </row>
    <row r="424" spans="1:11" ht="13.5" customHeight="1" x14ac:dyDescent="0.15">
      <c r="A424" s="141"/>
      <c r="B424" s="148">
        <v>421</v>
      </c>
      <c r="C424" s="163"/>
      <c r="D424" s="151"/>
      <c r="E424" s="151" t="s">
        <v>367</v>
      </c>
      <c r="F424" s="151" t="s">
        <v>367</v>
      </c>
      <c r="G424" s="151"/>
      <c r="H424" s="151"/>
      <c r="I424" s="151"/>
      <c r="J424" s="151">
        <v>1899</v>
      </c>
      <c r="K424" s="151">
        <v>12</v>
      </c>
    </row>
    <row r="425" spans="1:11" ht="13.5" customHeight="1" x14ac:dyDescent="0.15">
      <c r="A425" s="141"/>
      <c r="B425" s="148">
        <v>422</v>
      </c>
      <c r="C425" s="164"/>
      <c r="D425" s="152"/>
      <c r="E425" s="152" t="s">
        <v>367</v>
      </c>
      <c r="F425" s="152" t="s">
        <v>367</v>
      </c>
      <c r="G425" s="152"/>
      <c r="H425" s="152"/>
      <c r="I425" s="152"/>
      <c r="J425" s="152">
        <v>1899</v>
      </c>
      <c r="K425" s="152">
        <v>12</v>
      </c>
    </row>
    <row r="426" spans="1:11" ht="13.5" customHeight="1" x14ac:dyDescent="0.15">
      <c r="A426" s="141"/>
      <c r="B426" s="148">
        <v>423</v>
      </c>
      <c r="C426" s="163"/>
      <c r="D426" s="151"/>
      <c r="E426" s="151" t="s">
        <v>367</v>
      </c>
      <c r="F426" s="151" t="s">
        <v>367</v>
      </c>
      <c r="G426" s="151"/>
      <c r="H426" s="151"/>
      <c r="I426" s="151"/>
      <c r="J426" s="151">
        <v>1899</v>
      </c>
      <c r="K426" s="151">
        <v>12</v>
      </c>
    </row>
    <row r="427" spans="1:11" ht="13.5" customHeight="1" x14ac:dyDescent="0.15">
      <c r="A427" s="141"/>
      <c r="B427" s="148">
        <v>424</v>
      </c>
      <c r="C427" s="164"/>
      <c r="D427" s="152"/>
      <c r="E427" s="152" t="s">
        <v>367</v>
      </c>
      <c r="F427" s="152" t="s">
        <v>367</v>
      </c>
      <c r="G427" s="152"/>
      <c r="H427" s="152"/>
      <c r="I427" s="152"/>
      <c r="J427" s="152">
        <v>1899</v>
      </c>
      <c r="K427" s="152">
        <v>12</v>
      </c>
    </row>
    <row r="428" spans="1:11" ht="13.5" customHeight="1" x14ac:dyDescent="0.15">
      <c r="A428" s="141"/>
      <c r="B428" s="148">
        <v>425</v>
      </c>
      <c r="C428" s="163"/>
      <c r="D428" s="151"/>
      <c r="E428" s="151" t="s">
        <v>367</v>
      </c>
      <c r="F428" s="151" t="s">
        <v>367</v>
      </c>
      <c r="G428" s="151"/>
      <c r="H428" s="151"/>
      <c r="I428" s="151"/>
      <c r="J428" s="151">
        <v>1899</v>
      </c>
      <c r="K428" s="151">
        <v>12</v>
      </c>
    </row>
    <row r="429" spans="1:11" ht="13.5" customHeight="1" x14ac:dyDescent="0.15">
      <c r="A429" s="141"/>
      <c r="B429" s="148">
        <v>426</v>
      </c>
      <c r="C429" s="164"/>
      <c r="D429" s="152"/>
      <c r="E429" s="152" t="s">
        <v>367</v>
      </c>
      <c r="F429" s="152" t="s">
        <v>367</v>
      </c>
      <c r="G429" s="152"/>
      <c r="H429" s="152"/>
      <c r="I429" s="152"/>
      <c r="J429" s="152">
        <v>1899</v>
      </c>
      <c r="K429" s="152">
        <v>12</v>
      </c>
    </row>
    <row r="430" spans="1:11" ht="13.5" customHeight="1" x14ac:dyDescent="0.15">
      <c r="A430" s="141"/>
      <c r="B430" s="148">
        <v>427</v>
      </c>
      <c r="C430" s="163"/>
      <c r="D430" s="151"/>
      <c r="E430" s="151" t="s">
        <v>367</v>
      </c>
      <c r="F430" s="151" t="s">
        <v>367</v>
      </c>
      <c r="G430" s="151"/>
      <c r="H430" s="151"/>
      <c r="I430" s="151"/>
      <c r="J430" s="151">
        <v>1899</v>
      </c>
      <c r="K430" s="151">
        <v>12</v>
      </c>
    </row>
    <row r="431" spans="1:11" ht="13.5" customHeight="1" x14ac:dyDescent="0.15">
      <c r="A431" s="141"/>
      <c r="B431" s="148">
        <v>428</v>
      </c>
      <c r="C431" s="164"/>
      <c r="D431" s="152"/>
      <c r="E431" s="152" t="s">
        <v>367</v>
      </c>
      <c r="F431" s="152" t="s">
        <v>367</v>
      </c>
      <c r="G431" s="152"/>
      <c r="H431" s="152"/>
      <c r="I431" s="152"/>
      <c r="J431" s="152">
        <v>1899</v>
      </c>
      <c r="K431" s="152">
        <v>12</v>
      </c>
    </row>
    <row r="432" spans="1:11" ht="13.5" customHeight="1" x14ac:dyDescent="0.15">
      <c r="A432" s="141"/>
      <c r="B432" s="148">
        <v>429</v>
      </c>
      <c r="C432" s="163"/>
      <c r="D432" s="151"/>
      <c r="E432" s="151" t="s">
        <v>367</v>
      </c>
      <c r="F432" s="151" t="s">
        <v>367</v>
      </c>
      <c r="G432" s="151"/>
      <c r="H432" s="151"/>
      <c r="I432" s="151"/>
      <c r="J432" s="151">
        <v>1899</v>
      </c>
      <c r="K432" s="151">
        <v>12</v>
      </c>
    </row>
    <row r="433" spans="1:11" ht="13.5" customHeight="1" x14ac:dyDescent="0.15">
      <c r="A433" s="141"/>
      <c r="B433" s="148">
        <v>430</v>
      </c>
      <c r="C433" s="164"/>
      <c r="D433" s="152"/>
      <c r="E433" s="152" t="s">
        <v>367</v>
      </c>
      <c r="F433" s="152" t="s">
        <v>367</v>
      </c>
      <c r="G433" s="152"/>
      <c r="H433" s="152"/>
      <c r="I433" s="152"/>
      <c r="J433" s="152">
        <v>1899</v>
      </c>
      <c r="K433" s="152">
        <v>12</v>
      </c>
    </row>
    <row r="434" spans="1:11" ht="13.5" customHeight="1" x14ac:dyDescent="0.15">
      <c r="A434" s="141"/>
      <c r="B434" s="148">
        <v>431</v>
      </c>
      <c r="C434" s="163"/>
      <c r="D434" s="151"/>
      <c r="E434" s="151" t="s">
        <v>367</v>
      </c>
      <c r="F434" s="151" t="s">
        <v>367</v>
      </c>
      <c r="G434" s="151"/>
      <c r="H434" s="151"/>
      <c r="I434" s="151"/>
      <c r="J434" s="151">
        <v>1899</v>
      </c>
      <c r="K434" s="151">
        <v>12</v>
      </c>
    </row>
    <row r="435" spans="1:11" ht="13.5" customHeight="1" x14ac:dyDescent="0.15">
      <c r="A435" s="141"/>
      <c r="B435" s="148">
        <v>432</v>
      </c>
      <c r="C435" s="164"/>
      <c r="D435" s="152"/>
      <c r="E435" s="152" t="s">
        <v>367</v>
      </c>
      <c r="F435" s="152" t="s">
        <v>367</v>
      </c>
      <c r="G435" s="152"/>
      <c r="H435" s="152"/>
      <c r="I435" s="152"/>
      <c r="J435" s="152">
        <v>1899</v>
      </c>
      <c r="K435" s="152">
        <v>12</v>
      </c>
    </row>
    <row r="436" spans="1:11" ht="13.5" customHeight="1" x14ac:dyDescent="0.15">
      <c r="A436" s="141"/>
      <c r="B436" s="148">
        <v>433</v>
      </c>
      <c r="C436" s="163"/>
      <c r="D436" s="151"/>
      <c r="E436" s="151" t="s">
        <v>367</v>
      </c>
      <c r="F436" s="151" t="s">
        <v>367</v>
      </c>
      <c r="G436" s="151"/>
      <c r="H436" s="151"/>
      <c r="I436" s="151"/>
      <c r="J436" s="151">
        <v>1899</v>
      </c>
      <c r="K436" s="151">
        <v>12</v>
      </c>
    </row>
    <row r="437" spans="1:11" ht="13.5" customHeight="1" x14ac:dyDescent="0.15">
      <c r="A437" s="141"/>
      <c r="B437" s="148">
        <v>434</v>
      </c>
      <c r="C437" s="164"/>
      <c r="D437" s="152"/>
      <c r="E437" s="152" t="s">
        <v>367</v>
      </c>
      <c r="F437" s="152" t="s">
        <v>367</v>
      </c>
      <c r="G437" s="152"/>
      <c r="H437" s="152"/>
      <c r="I437" s="152"/>
      <c r="J437" s="152">
        <v>1899</v>
      </c>
      <c r="K437" s="152">
        <v>12</v>
      </c>
    </row>
    <row r="438" spans="1:11" ht="13.5" customHeight="1" x14ac:dyDescent="0.15">
      <c r="A438" s="141"/>
      <c r="B438" s="148">
        <v>435</v>
      </c>
      <c r="C438" s="163"/>
      <c r="D438" s="151"/>
      <c r="E438" s="151" t="s">
        <v>367</v>
      </c>
      <c r="F438" s="151" t="s">
        <v>367</v>
      </c>
      <c r="G438" s="151"/>
      <c r="H438" s="151"/>
      <c r="I438" s="151"/>
      <c r="J438" s="151">
        <v>1899</v>
      </c>
      <c r="K438" s="151">
        <v>12</v>
      </c>
    </row>
    <row r="439" spans="1:11" ht="13.5" customHeight="1" x14ac:dyDescent="0.15">
      <c r="A439" s="141"/>
      <c r="B439" s="148">
        <v>436</v>
      </c>
      <c r="C439" s="164"/>
      <c r="D439" s="152"/>
      <c r="E439" s="152" t="s">
        <v>367</v>
      </c>
      <c r="F439" s="152" t="s">
        <v>367</v>
      </c>
      <c r="G439" s="152"/>
      <c r="H439" s="152"/>
      <c r="I439" s="152"/>
      <c r="J439" s="152">
        <v>1899</v>
      </c>
      <c r="K439" s="152">
        <v>12</v>
      </c>
    </row>
    <row r="440" spans="1:11" ht="13.5" customHeight="1" x14ac:dyDescent="0.15">
      <c r="A440" s="141"/>
      <c r="B440" s="148">
        <v>437</v>
      </c>
      <c r="C440" s="163"/>
      <c r="D440" s="151"/>
      <c r="E440" s="151" t="s">
        <v>367</v>
      </c>
      <c r="F440" s="151" t="s">
        <v>367</v>
      </c>
      <c r="G440" s="151"/>
      <c r="H440" s="151"/>
      <c r="I440" s="151"/>
      <c r="J440" s="151">
        <v>1899</v>
      </c>
      <c r="K440" s="151">
        <v>12</v>
      </c>
    </row>
    <row r="441" spans="1:11" ht="13.5" customHeight="1" x14ac:dyDescent="0.15">
      <c r="A441" s="141"/>
      <c r="B441" s="148">
        <v>438</v>
      </c>
      <c r="C441" s="164"/>
      <c r="D441" s="152"/>
      <c r="E441" s="152" t="s">
        <v>367</v>
      </c>
      <c r="F441" s="152" t="s">
        <v>367</v>
      </c>
      <c r="G441" s="152"/>
      <c r="H441" s="152"/>
      <c r="I441" s="152"/>
      <c r="J441" s="152">
        <v>1899</v>
      </c>
      <c r="K441" s="152">
        <v>12</v>
      </c>
    </row>
    <row r="442" spans="1:11" ht="13.5" customHeight="1" x14ac:dyDescent="0.15">
      <c r="A442" s="141"/>
      <c r="B442" s="148">
        <v>439</v>
      </c>
      <c r="C442" s="163"/>
      <c r="D442" s="151"/>
      <c r="E442" s="151" t="s">
        <v>367</v>
      </c>
      <c r="F442" s="151" t="s">
        <v>367</v>
      </c>
      <c r="G442" s="151"/>
      <c r="H442" s="151"/>
      <c r="I442" s="151"/>
      <c r="J442" s="151">
        <v>1899</v>
      </c>
      <c r="K442" s="151">
        <v>12</v>
      </c>
    </row>
    <row r="443" spans="1:11" ht="13.5" customHeight="1" x14ac:dyDescent="0.15">
      <c r="A443" s="141"/>
      <c r="B443" s="148">
        <v>440</v>
      </c>
      <c r="C443" s="164"/>
      <c r="D443" s="152"/>
      <c r="E443" s="152" t="s">
        <v>367</v>
      </c>
      <c r="F443" s="152" t="s">
        <v>367</v>
      </c>
      <c r="G443" s="152"/>
      <c r="H443" s="152"/>
      <c r="I443" s="152"/>
      <c r="J443" s="152">
        <v>1899</v>
      </c>
      <c r="K443" s="152">
        <v>12</v>
      </c>
    </row>
    <row r="444" spans="1:11" ht="13.5" customHeight="1" x14ac:dyDescent="0.15">
      <c r="A444" s="141"/>
      <c r="B444" s="148">
        <v>441</v>
      </c>
      <c r="C444" s="163"/>
      <c r="D444" s="151"/>
      <c r="E444" s="151" t="s">
        <v>367</v>
      </c>
      <c r="F444" s="151" t="s">
        <v>367</v>
      </c>
      <c r="G444" s="151"/>
      <c r="H444" s="151"/>
      <c r="I444" s="151"/>
      <c r="J444" s="151">
        <v>1899</v>
      </c>
      <c r="K444" s="151">
        <v>12</v>
      </c>
    </row>
    <row r="445" spans="1:11" ht="13.5" customHeight="1" x14ac:dyDescent="0.15">
      <c r="A445" s="141"/>
      <c r="B445" s="148">
        <v>442</v>
      </c>
      <c r="C445" s="164"/>
      <c r="D445" s="152"/>
      <c r="E445" s="152" t="s">
        <v>367</v>
      </c>
      <c r="F445" s="152" t="s">
        <v>367</v>
      </c>
      <c r="G445" s="152"/>
      <c r="H445" s="152"/>
      <c r="I445" s="152"/>
      <c r="J445" s="152">
        <v>1899</v>
      </c>
      <c r="K445" s="152">
        <v>12</v>
      </c>
    </row>
    <row r="446" spans="1:11" ht="13.5" customHeight="1" x14ac:dyDescent="0.15">
      <c r="A446" s="141"/>
      <c r="B446" s="148">
        <v>443</v>
      </c>
      <c r="C446" s="163"/>
      <c r="D446" s="151"/>
      <c r="E446" s="151" t="s">
        <v>367</v>
      </c>
      <c r="F446" s="151" t="s">
        <v>367</v>
      </c>
      <c r="G446" s="151"/>
      <c r="H446" s="151"/>
      <c r="I446" s="151"/>
      <c r="J446" s="151">
        <v>1899</v>
      </c>
      <c r="K446" s="151">
        <v>12</v>
      </c>
    </row>
    <row r="447" spans="1:11" ht="13.5" customHeight="1" x14ac:dyDescent="0.15">
      <c r="A447" s="141"/>
      <c r="B447" s="148">
        <v>444</v>
      </c>
      <c r="C447" s="164"/>
      <c r="D447" s="152"/>
      <c r="E447" s="152" t="s">
        <v>367</v>
      </c>
      <c r="F447" s="152" t="s">
        <v>367</v>
      </c>
      <c r="G447" s="152"/>
      <c r="H447" s="152"/>
      <c r="I447" s="152"/>
      <c r="J447" s="152">
        <v>1899</v>
      </c>
      <c r="K447" s="152">
        <v>12</v>
      </c>
    </row>
    <row r="448" spans="1:11" ht="13.5" customHeight="1" x14ac:dyDescent="0.15">
      <c r="A448" s="141"/>
      <c r="B448" s="148">
        <v>445</v>
      </c>
      <c r="C448" s="163"/>
      <c r="D448" s="151"/>
      <c r="E448" s="151" t="s">
        <v>367</v>
      </c>
      <c r="F448" s="151" t="s">
        <v>367</v>
      </c>
      <c r="G448" s="151"/>
      <c r="H448" s="151"/>
      <c r="I448" s="151"/>
      <c r="J448" s="151">
        <v>1899</v>
      </c>
      <c r="K448" s="151">
        <v>12</v>
      </c>
    </row>
    <row r="449" spans="1:11" ht="13.5" customHeight="1" x14ac:dyDescent="0.15">
      <c r="A449" s="141"/>
      <c r="B449" s="148">
        <v>446</v>
      </c>
      <c r="C449" s="164"/>
      <c r="D449" s="152"/>
      <c r="E449" s="152" t="s">
        <v>367</v>
      </c>
      <c r="F449" s="152" t="s">
        <v>367</v>
      </c>
      <c r="G449" s="152"/>
      <c r="H449" s="152"/>
      <c r="I449" s="152"/>
      <c r="J449" s="152">
        <v>1899</v>
      </c>
      <c r="K449" s="152">
        <v>12</v>
      </c>
    </row>
    <row r="450" spans="1:11" ht="13.5" customHeight="1" x14ac:dyDescent="0.15">
      <c r="A450" s="141"/>
      <c r="B450" s="148">
        <v>447</v>
      </c>
      <c r="C450" s="163"/>
      <c r="D450" s="151"/>
      <c r="E450" s="151" t="s">
        <v>367</v>
      </c>
      <c r="F450" s="151" t="s">
        <v>367</v>
      </c>
      <c r="G450" s="151"/>
      <c r="H450" s="151"/>
      <c r="I450" s="151"/>
      <c r="J450" s="151">
        <v>1899</v>
      </c>
      <c r="K450" s="151">
        <v>12</v>
      </c>
    </row>
    <row r="451" spans="1:11" ht="13.5" customHeight="1" x14ac:dyDescent="0.15">
      <c r="A451" s="141"/>
      <c r="B451" s="148">
        <v>448</v>
      </c>
      <c r="C451" s="164"/>
      <c r="D451" s="152"/>
      <c r="E451" s="152" t="s">
        <v>367</v>
      </c>
      <c r="F451" s="152" t="s">
        <v>367</v>
      </c>
      <c r="G451" s="152"/>
      <c r="H451" s="152"/>
      <c r="I451" s="152"/>
      <c r="J451" s="152">
        <v>1899</v>
      </c>
      <c r="K451" s="152">
        <v>12</v>
      </c>
    </row>
    <row r="452" spans="1:11" ht="13.5" customHeight="1" x14ac:dyDescent="0.15">
      <c r="A452" s="141"/>
      <c r="B452" s="148">
        <v>449</v>
      </c>
      <c r="C452" s="163"/>
      <c r="D452" s="151"/>
      <c r="E452" s="151" t="s">
        <v>367</v>
      </c>
      <c r="F452" s="151" t="s">
        <v>367</v>
      </c>
      <c r="G452" s="151"/>
      <c r="H452" s="151"/>
      <c r="I452" s="151"/>
      <c r="J452" s="151">
        <v>1899</v>
      </c>
      <c r="K452" s="151">
        <v>12</v>
      </c>
    </row>
    <row r="453" spans="1:11" ht="13.5" customHeight="1" x14ac:dyDescent="0.15">
      <c r="A453" s="141"/>
      <c r="B453" s="148">
        <v>450</v>
      </c>
      <c r="C453" s="164"/>
      <c r="D453" s="152"/>
      <c r="E453" s="152" t="s">
        <v>367</v>
      </c>
      <c r="F453" s="152" t="s">
        <v>367</v>
      </c>
      <c r="G453" s="152"/>
      <c r="H453" s="152"/>
      <c r="I453" s="152"/>
      <c r="J453" s="152">
        <v>1899</v>
      </c>
      <c r="K453" s="152">
        <v>12</v>
      </c>
    </row>
    <row r="454" spans="1:11" ht="13.5" customHeight="1" x14ac:dyDescent="0.15">
      <c r="A454" s="141"/>
      <c r="B454" s="148">
        <v>451</v>
      </c>
      <c r="C454" s="163"/>
      <c r="D454" s="151"/>
      <c r="E454" s="151" t="s">
        <v>367</v>
      </c>
      <c r="F454" s="151" t="s">
        <v>367</v>
      </c>
      <c r="G454" s="151"/>
      <c r="H454" s="151"/>
      <c r="I454" s="151"/>
      <c r="J454" s="151">
        <v>1899</v>
      </c>
      <c r="K454" s="151">
        <v>12</v>
      </c>
    </row>
    <row r="455" spans="1:11" ht="13.5" customHeight="1" x14ac:dyDescent="0.15">
      <c r="A455" s="141"/>
      <c r="B455" s="148">
        <v>452</v>
      </c>
      <c r="C455" s="164"/>
      <c r="D455" s="152"/>
      <c r="E455" s="152" t="s">
        <v>367</v>
      </c>
      <c r="F455" s="152" t="s">
        <v>367</v>
      </c>
      <c r="G455" s="152"/>
      <c r="H455" s="152"/>
      <c r="I455" s="152"/>
      <c r="J455" s="152">
        <v>1899</v>
      </c>
      <c r="K455" s="152">
        <v>12</v>
      </c>
    </row>
    <row r="456" spans="1:11" ht="13.5" customHeight="1" x14ac:dyDescent="0.15">
      <c r="A456" s="141"/>
      <c r="B456" s="148">
        <v>453</v>
      </c>
      <c r="C456" s="163"/>
      <c r="D456" s="151"/>
      <c r="E456" s="151" t="s">
        <v>367</v>
      </c>
      <c r="F456" s="151" t="s">
        <v>367</v>
      </c>
      <c r="G456" s="151"/>
      <c r="H456" s="151"/>
      <c r="I456" s="151"/>
      <c r="J456" s="151">
        <v>1899</v>
      </c>
      <c r="K456" s="151">
        <v>12</v>
      </c>
    </row>
    <row r="457" spans="1:11" ht="13.5" customHeight="1" x14ac:dyDescent="0.15">
      <c r="A457" s="141"/>
      <c r="B457" s="148">
        <v>454</v>
      </c>
      <c r="C457" s="164"/>
      <c r="D457" s="152"/>
      <c r="E457" s="152" t="s">
        <v>367</v>
      </c>
      <c r="F457" s="152" t="s">
        <v>367</v>
      </c>
      <c r="G457" s="152"/>
      <c r="H457" s="152"/>
      <c r="I457" s="152"/>
      <c r="J457" s="152">
        <v>1899</v>
      </c>
      <c r="K457" s="152">
        <v>12</v>
      </c>
    </row>
    <row r="458" spans="1:11" ht="13.5" customHeight="1" x14ac:dyDescent="0.15">
      <c r="A458" s="141"/>
      <c r="B458" s="148">
        <v>455</v>
      </c>
      <c r="C458" s="163"/>
      <c r="D458" s="151"/>
      <c r="E458" s="151" t="s">
        <v>367</v>
      </c>
      <c r="F458" s="151" t="s">
        <v>367</v>
      </c>
      <c r="G458" s="151"/>
      <c r="H458" s="151"/>
      <c r="I458" s="151"/>
      <c r="J458" s="151">
        <v>1899</v>
      </c>
      <c r="K458" s="151">
        <v>12</v>
      </c>
    </row>
    <row r="459" spans="1:11" ht="13.5" customHeight="1" x14ac:dyDescent="0.15">
      <c r="A459" s="141"/>
      <c r="B459" s="148">
        <v>456</v>
      </c>
      <c r="C459" s="164"/>
      <c r="D459" s="152"/>
      <c r="E459" s="152" t="s">
        <v>367</v>
      </c>
      <c r="F459" s="152" t="s">
        <v>367</v>
      </c>
      <c r="G459" s="152"/>
      <c r="H459" s="152"/>
      <c r="I459" s="152"/>
      <c r="J459" s="152">
        <v>1899</v>
      </c>
      <c r="K459" s="152">
        <v>12</v>
      </c>
    </row>
    <row r="460" spans="1:11" ht="13.5" customHeight="1" x14ac:dyDescent="0.15">
      <c r="A460" s="141"/>
      <c r="B460" s="148">
        <v>457</v>
      </c>
      <c r="C460" s="163"/>
      <c r="D460" s="151"/>
      <c r="E460" s="151" t="s">
        <v>367</v>
      </c>
      <c r="F460" s="151" t="s">
        <v>367</v>
      </c>
      <c r="G460" s="151"/>
      <c r="H460" s="151"/>
      <c r="I460" s="151"/>
      <c r="J460" s="151">
        <v>1899</v>
      </c>
      <c r="K460" s="151">
        <v>12</v>
      </c>
    </row>
    <row r="461" spans="1:11" ht="13.5" customHeight="1" x14ac:dyDescent="0.15">
      <c r="A461" s="141"/>
      <c r="B461" s="148">
        <v>458</v>
      </c>
      <c r="C461" s="164"/>
      <c r="D461" s="152"/>
      <c r="E461" s="152" t="s">
        <v>367</v>
      </c>
      <c r="F461" s="152" t="s">
        <v>367</v>
      </c>
      <c r="G461" s="152"/>
      <c r="H461" s="152"/>
      <c r="I461" s="152"/>
      <c r="J461" s="152">
        <v>1899</v>
      </c>
      <c r="K461" s="152">
        <v>12</v>
      </c>
    </row>
    <row r="462" spans="1:11" ht="13.5" customHeight="1" x14ac:dyDescent="0.15">
      <c r="A462" s="141"/>
      <c r="B462" s="148">
        <v>459</v>
      </c>
      <c r="C462" s="163"/>
      <c r="D462" s="151"/>
      <c r="E462" s="151" t="s">
        <v>367</v>
      </c>
      <c r="F462" s="151" t="s">
        <v>367</v>
      </c>
      <c r="G462" s="151"/>
      <c r="H462" s="151"/>
      <c r="I462" s="151"/>
      <c r="J462" s="151">
        <v>1899</v>
      </c>
      <c r="K462" s="151">
        <v>12</v>
      </c>
    </row>
    <row r="463" spans="1:11" ht="13.5" customHeight="1" x14ac:dyDescent="0.15">
      <c r="A463" s="141"/>
      <c r="B463" s="148">
        <v>460</v>
      </c>
      <c r="C463" s="164"/>
      <c r="D463" s="152"/>
      <c r="E463" s="152" t="s">
        <v>367</v>
      </c>
      <c r="F463" s="152" t="s">
        <v>367</v>
      </c>
      <c r="G463" s="152"/>
      <c r="H463" s="152"/>
      <c r="I463" s="152"/>
      <c r="J463" s="152">
        <v>1899</v>
      </c>
      <c r="K463" s="152">
        <v>12</v>
      </c>
    </row>
    <row r="464" spans="1:11" ht="13.5" customHeight="1" x14ac:dyDescent="0.15">
      <c r="A464" s="141"/>
      <c r="B464" s="148">
        <v>461</v>
      </c>
      <c r="C464" s="163"/>
      <c r="D464" s="151"/>
      <c r="E464" s="151" t="s">
        <v>367</v>
      </c>
      <c r="F464" s="151" t="s">
        <v>367</v>
      </c>
      <c r="G464" s="151"/>
      <c r="H464" s="151"/>
      <c r="I464" s="151"/>
      <c r="J464" s="151">
        <v>1899</v>
      </c>
      <c r="K464" s="151">
        <v>12</v>
      </c>
    </row>
    <row r="465" spans="1:11" ht="13.5" customHeight="1" x14ac:dyDescent="0.15">
      <c r="A465" s="141"/>
      <c r="B465" s="148">
        <v>462</v>
      </c>
      <c r="C465" s="164"/>
      <c r="D465" s="152"/>
      <c r="E465" s="152" t="s">
        <v>367</v>
      </c>
      <c r="F465" s="152" t="s">
        <v>367</v>
      </c>
      <c r="G465" s="152"/>
      <c r="H465" s="152"/>
      <c r="I465" s="152"/>
      <c r="J465" s="152">
        <v>1899</v>
      </c>
      <c r="K465" s="152">
        <v>12</v>
      </c>
    </row>
    <row r="466" spans="1:11" ht="13.5" customHeight="1" x14ac:dyDescent="0.15">
      <c r="A466" s="141"/>
      <c r="B466" s="148">
        <v>463</v>
      </c>
      <c r="C466" s="163"/>
      <c r="D466" s="151"/>
      <c r="E466" s="151" t="s">
        <v>367</v>
      </c>
      <c r="F466" s="151" t="s">
        <v>367</v>
      </c>
      <c r="G466" s="151"/>
      <c r="H466" s="151"/>
      <c r="I466" s="151"/>
      <c r="J466" s="151">
        <v>1899</v>
      </c>
      <c r="K466" s="151">
        <v>12</v>
      </c>
    </row>
    <row r="467" spans="1:11" ht="13.5" customHeight="1" x14ac:dyDescent="0.15">
      <c r="A467" s="141"/>
      <c r="B467" s="148">
        <v>464</v>
      </c>
      <c r="C467" s="164"/>
      <c r="D467" s="152"/>
      <c r="E467" s="152" t="s">
        <v>367</v>
      </c>
      <c r="F467" s="152" t="s">
        <v>367</v>
      </c>
      <c r="G467" s="152"/>
      <c r="H467" s="152"/>
      <c r="I467" s="152"/>
      <c r="J467" s="152">
        <v>1899</v>
      </c>
      <c r="K467" s="152">
        <v>12</v>
      </c>
    </row>
    <row r="468" spans="1:11" ht="13.5" customHeight="1" x14ac:dyDescent="0.15">
      <c r="A468" s="141"/>
      <c r="B468" s="148">
        <v>465</v>
      </c>
      <c r="C468" s="163"/>
      <c r="D468" s="151"/>
      <c r="E468" s="151" t="s">
        <v>367</v>
      </c>
      <c r="F468" s="151" t="s">
        <v>367</v>
      </c>
      <c r="G468" s="151"/>
      <c r="H468" s="151"/>
      <c r="I468" s="151"/>
      <c r="J468" s="151">
        <v>1899</v>
      </c>
      <c r="K468" s="151">
        <v>12</v>
      </c>
    </row>
    <row r="469" spans="1:11" ht="13.5" customHeight="1" x14ac:dyDescent="0.15">
      <c r="A469" s="141"/>
      <c r="B469" s="148">
        <v>466</v>
      </c>
      <c r="C469" s="164"/>
      <c r="D469" s="152"/>
      <c r="E469" s="152" t="s">
        <v>367</v>
      </c>
      <c r="F469" s="152" t="s">
        <v>367</v>
      </c>
      <c r="G469" s="152"/>
      <c r="H469" s="152"/>
      <c r="I469" s="152"/>
      <c r="J469" s="152">
        <v>1899</v>
      </c>
      <c r="K469" s="152">
        <v>12</v>
      </c>
    </row>
    <row r="470" spans="1:11" ht="13.5" customHeight="1" x14ac:dyDescent="0.15">
      <c r="A470" s="141"/>
      <c r="B470" s="148">
        <v>467</v>
      </c>
      <c r="C470" s="163"/>
      <c r="D470" s="151"/>
      <c r="E470" s="151" t="s">
        <v>367</v>
      </c>
      <c r="F470" s="151" t="s">
        <v>367</v>
      </c>
      <c r="G470" s="151"/>
      <c r="H470" s="151"/>
      <c r="I470" s="151"/>
      <c r="J470" s="151">
        <v>1899</v>
      </c>
      <c r="K470" s="151">
        <v>12</v>
      </c>
    </row>
    <row r="471" spans="1:11" ht="13.5" customHeight="1" x14ac:dyDescent="0.15">
      <c r="A471" s="141"/>
      <c r="B471" s="148">
        <v>468</v>
      </c>
      <c r="C471" s="164"/>
      <c r="D471" s="152"/>
      <c r="E471" s="152" t="s">
        <v>367</v>
      </c>
      <c r="F471" s="152" t="s">
        <v>367</v>
      </c>
      <c r="G471" s="152"/>
      <c r="H471" s="152"/>
      <c r="I471" s="152"/>
      <c r="J471" s="152">
        <v>1899</v>
      </c>
      <c r="K471" s="152">
        <v>12</v>
      </c>
    </row>
    <row r="472" spans="1:11" ht="13.5" customHeight="1" x14ac:dyDescent="0.15">
      <c r="A472" s="141"/>
      <c r="B472" s="148">
        <v>469</v>
      </c>
      <c r="C472" s="163"/>
      <c r="D472" s="151"/>
      <c r="E472" s="151" t="s">
        <v>367</v>
      </c>
      <c r="F472" s="151" t="s">
        <v>367</v>
      </c>
      <c r="G472" s="151"/>
      <c r="H472" s="151"/>
      <c r="I472" s="151"/>
      <c r="J472" s="151">
        <v>1899</v>
      </c>
      <c r="K472" s="151">
        <v>12</v>
      </c>
    </row>
    <row r="473" spans="1:11" ht="13.5" customHeight="1" x14ac:dyDescent="0.15">
      <c r="A473" s="141"/>
      <c r="B473" s="148">
        <v>470</v>
      </c>
      <c r="C473" s="164"/>
      <c r="D473" s="152"/>
      <c r="E473" s="152" t="s">
        <v>367</v>
      </c>
      <c r="F473" s="152" t="s">
        <v>367</v>
      </c>
      <c r="G473" s="152"/>
      <c r="H473" s="152"/>
      <c r="I473" s="152"/>
      <c r="J473" s="152">
        <v>1899</v>
      </c>
      <c r="K473" s="152">
        <v>12</v>
      </c>
    </row>
    <row r="474" spans="1:11" ht="13.5" customHeight="1" x14ac:dyDescent="0.15">
      <c r="A474" s="141"/>
      <c r="B474" s="148">
        <v>471</v>
      </c>
      <c r="C474" s="163"/>
      <c r="D474" s="151"/>
      <c r="E474" s="151" t="s">
        <v>367</v>
      </c>
      <c r="F474" s="151" t="s">
        <v>367</v>
      </c>
      <c r="G474" s="151"/>
      <c r="H474" s="151"/>
      <c r="I474" s="151"/>
      <c r="J474" s="151">
        <v>1899</v>
      </c>
      <c r="K474" s="151">
        <v>12</v>
      </c>
    </row>
    <row r="475" spans="1:11" ht="13.5" customHeight="1" x14ac:dyDescent="0.15">
      <c r="A475" s="141"/>
      <c r="B475" s="148">
        <v>472</v>
      </c>
      <c r="C475" s="164"/>
      <c r="D475" s="152"/>
      <c r="E475" s="152" t="s">
        <v>367</v>
      </c>
      <c r="F475" s="152" t="s">
        <v>367</v>
      </c>
      <c r="G475" s="152"/>
      <c r="H475" s="152"/>
      <c r="I475" s="152"/>
      <c r="J475" s="152">
        <v>1899</v>
      </c>
      <c r="K475" s="152">
        <v>12</v>
      </c>
    </row>
    <row r="476" spans="1:11" ht="13.5" customHeight="1" x14ac:dyDescent="0.15">
      <c r="A476" s="141"/>
      <c r="B476" s="148">
        <v>473</v>
      </c>
      <c r="C476" s="163"/>
      <c r="D476" s="151"/>
      <c r="E476" s="151" t="s">
        <v>367</v>
      </c>
      <c r="F476" s="151" t="s">
        <v>367</v>
      </c>
      <c r="G476" s="151"/>
      <c r="H476" s="151"/>
      <c r="I476" s="151"/>
      <c r="J476" s="151">
        <v>1899</v>
      </c>
      <c r="K476" s="151">
        <v>12</v>
      </c>
    </row>
    <row r="477" spans="1:11" ht="13.5" customHeight="1" x14ac:dyDescent="0.15">
      <c r="A477" s="141"/>
      <c r="B477" s="148">
        <v>474</v>
      </c>
      <c r="C477" s="164"/>
      <c r="D477" s="152"/>
      <c r="E477" s="152" t="s">
        <v>367</v>
      </c>
      <c r="F477" s="152" t="s">
        <v>367</v>
      </c>
      <c r="G477" s="152"/>
      <c r="H477" s="152"/>
      <c r="I477" s="152"/>
      <c r="J477" s="152">
        <v>1899</v>
      </c>
      <c r="K477" s="152">
        <v>12</v>
      </c>
    </row>
    <row r="478" spans="1:11" ht="13.5" customHeight="1" x14ac:dyDescent="0.15">
      <c r="A478" s="141"/>
      <c r="B478" s="148">
        <v>475</v>
      </c>
      <c r="C478" s="163"/>
      <c r="D478" s="151"/>
      <c r="E478" s="151" t="s">
        <v>367</v>
      </c>
      <c r="F478" s="151" t="s">
        <v>367</v>
      </c>
      <c r="G478" s="151"/>
      <c r="H478" s="151"/>
      <c r="I478" s="151"/>
      <c r="J478" s="151">
        <v>1899</v>
      </c>
      <c r="K478" s="151">
        <v>12</v>
      </c>
    </row>
    <row r="479" spans="1:11" ht="13.5" customHeight="1" x14ac:dyDescent="0.15">
      <c r="A479" s="141"/>
      <c r="B479" s="148">
        <v>476</v>
      </c>
      <c r="C479" s="164"/>
      <c r="D479" s="152"/>
      <c r="E479" s="152" t="s">
        <v>367</v>
      </c>
      <c r="F479" s="152" t="s">
        <v>367</v>
      </c>
      <c r="G479" s="152"/>
      <c r="H479" s="152"/>
      <c r="I479" s="152"/>
      <c r="J479" s="152">
        <v>1899</v>
      </c>
      <c r="K479" s="152">
        <v>12</v>
      </c>
    </row>
    <row r="480" spans="1:11" ht="13.5" customHeight="1" x14ac:dyDescent="0.15">
      <c r="A480" s="141"/>
      <c r="B480" s="148">
        <v>477</v>
      </c>
      <c r="C480" s="163"/>
      <c r="D480" s="151"/>
      <c r="E480" s="151" t="s">
        <v>367</v>
      </c>
      <c r="F480" s="151" t="s">
        <v>367</v>
      </c>
      <c r="G480" s="151"/>
      <c r="H480" s="151"/>
      <c r="I480" s="151"/>
      <c r="J480" s="151">
        <v>1899</v>
      </c>
      <c r="K480" s="151">
        <v>12</v>
      </c>
    </row>
    <row r="481" spans="1:11" ht="13.5" customHeight="1" x14ac:dyDescent="0.15">
      <c r="A481" s="141"/>
      <c r="B481" s="148">
        <v>478</v>
      </c>
      <c r="C481" s="164"/>
      <c r="D481" s="152"/>
      <c r="E481" s="152" t="s">
        <v>367</v>
      </c>
      <c r="F481" s="152" t="s">
        <v>367</v>
      </c>
      <c r="G481" s="152"/>
      <c r="H481" s="152"/>
      <c r="I481" s="152"/>
      <c r="J481" s="152">
        <v>1899</v>
      </c>
      <c r="K481" s="152">
        <v>12</v>
      </c>
    </row>
    <row r="482" spans="1:11" ht="13.5" customHeight="1" x14ac:dyDescent="0.15">
      <c r="A482" s="141"/>
      <c r="B482" s="148">
        <v>479</v>
      </c>
      <c r="C482" s="163"/>
      <c r="D482" s="151"/>
      <c r="E482" s="151" t="s">
        <v>367</v>
      </c>
      <c r="F482" s="151" t="s">
        <v>367</v>
      </c>
      <c r="G482" s="151"/>
      <c r="H482" s="151"/>
      <c r="I482" s="151"/>
      <c r="J482" s="151">
        <v>1899</v>
      </c>
      <c r="K482" s="151">
        <v>12</v>
      </c>
    </row>
    <row r="483" spans="1:11" ht="13.5" customHeight="1" x14ac:dyDescent="0.15">
      <c r="A483" s="141"/>
      <c r="B483" s="148">
        <v>480</v>
      </c>
      <c r="C483" s="164"/>
      <c r="D483" s="152"/>
      <c r="E483" s="152" t="s">
        <v>367</v>
      </c>
      <c r="F483" s="152" t="s">
        <v>367</v>
      </c>
      <c r="G483" s="152"/>
      <c r="H483" s="152"/>
      <c r="I483" s="152"/>
      <c r="J483" s="152">
        <v>1899</v>
      </c>
      <c r="K483" s="152">
        <v>12</v>
      </c>
    </row>
    <row r="484" spans="1:11" ht="13.5" customHeight="1" x14ac:dyDescent="0.15">
      <c r="A484" s="141"/>
      <c r="B484" s="148">
        <v>481</v>
      </c>
      <c r="C484" s="163"/>
      <c r="D484" s="151"/>
      <c r="E484" s="151" t="s">
        <v>367</v>
      </c>
      <c r="F484" s="151" t="s">
        <v>367</v>
      </c>
      <c r="G484" s="151"/>
      <c r="H484" s="151"/>
      <c r="I484" s="151"/>
      <c r="J484" s="151">
        <v>1899</v>
      </c>
      <c r="K484" s="151">
        <v>12</v>
      </c>
    </row>
    <row r="485" spans="1:11" ht="13.5" customHeight="1" x14ac:dyDescent="0.15">
      <c r="A485" s="141"/>
      <c r="B485" s="148">
        <v>482</v>
      </c>
      <c r="C485" s="164"/>
      <c r="D485" s="152"/>
      <c r="E485" s="152" t="s">
        <v>367</v>
      </c>
      <c r="F485" s="152" t="s">
        <v>367</v>
      </c>
      <c r="G485" s="152"/>
      <c r="H485" s="152"/>
      <c r="I485" s="152"/>
      <c r="J485" s="152">
        <v>1899</v>
      </c>
      <c r="K485" s="152">
        <v>12</v>
      </c>
    </row>
    <row r="486" spans="1:11" ht="13.5" customHeight="1" x14ac:dyDescent="0.15">
      <c r="A486" s="141"/>
      <c r="B486" s="148">
        <v>483</v>
      </c>
      <c r="C486" s="163"/>
      <c r="D486" s="151"/>
      <c r="E486" s="151" t="s">
        <v>367</v>
      </c>
      <c r="F486" s="151" t="s">
        <v>367</v>
      </c>
      <c r="G486" s="151"/>
      <c r="H486" s="151"/>
      <c r="I486" s="151"/>
      <c r="J486" s="151">
        <v>1899</v>
      </c>
      <c r="K486" s="151">
        <v>12</v>
      </c>
    </row>
    <row r="487" spans="1:11" ht="13.5" customHeight="1" x14ac:dyDescent="0.15">
      <c r="A487" s="141"/>
      <c r="B487" s="148">
        <v>484</v>
      </c>
      <c r="C487" s="164"/>
      <c r="D487" s="152"/>
      <c r="E487" s="152" t="s">
        <v>367</v>
      </c>
      <c r="F487" s="152" t="s">
        <v>367</v>
      </c>
      <c r="G487" s="152"/>
      <c r="H487" s="152"/>
      <c r="I487" s="152"/>
      <c r="J487" s="152">
        <v>1899</v>
      </c>
      <c r="K487" s="152">
        <v>12</v>
      </c>
    </row>
    <row r="488" spans="1:11" ht="13.5" customHeight="1" x14ac:dyDescent="0.15">
      <c r="A488" s="141"/>
      <c r="B488" s="148">
        <v>485</v>
      </c>
      <c r="C488" s="163"/>
      <c r="D488" s="151"/>
      <c r="E488" s="151" t="s">
        <v>367</v>
      </c>
      <c r="F488" s="151" t="s">
        <v>367</v>
      </c>
      <c r="G488" s="151"/>
      <c r="H488" s="151"/>
      <c r="I488" s="151"/>
      <c r="J488" s="151">
        <v>1899</v>
      </c>
      <c r="K488" s="151">
        <v>12</v>
      </c>
    </row>
    <row r="489" spans="1:11" ht="13.5" customHeight="1" x14ac:dyDescent="0.15">
      <c r="A489" s="141"/>
      <c r="B489" s="148">
        <v>486</v>
      </c>
      <c r="C489" s="164"/>
      <c r="D489" s="152"/>
      <c r="E489" s="152" t="s">
        <v>367</v>
      </c>
      <c r="F489" s="152" t="s">
        <v>367</v>
      </c>
      <c r="G489" s="152"/>
      <c r="H489" s="152"/>
      <c r="I489" s="152"/>
      <c r="J489" s="152">
        <v>1899</v>
      </c>
      <c r="K489" s="152">
        <v>12</v>
      </c>
    </row>
    <row r="490" spans="1:11" ht="13.5" customHeight="1" x14ac:dyDescent="0.15">
      <c r="A490" s="141"/>
      <c r="B490" s="148">
        <v>487</v>
      </c>
      <c r="C490" s="163"/>
      <c r="D490" s="151"/>
      <c r="E490" s="151" t="s">
        <v>367</v>
      </c>
      <c r="F490" s="151" t="s">
        <v>367</v>
      </c>
      <c r="G490" s="151"/>
      <c r="H490" s="151"/>
      <c r="I490" s="151"/>
      <c r="J490" s="151">
        <v>1899</v>
      </c>
      <c r="K490" s="151">
        <v>12</v>
      </c>
    </row>
    <row r="491" spans="1:11" ht="13.5" customHeight="1" x14ac:dyDescent="0.15">
      <c r="A491" s="141"/>
      <c r="B491" s="148">
        <v>488</v>
      </c>
      <c r="C491" s="164"/>
      <c r="D491" s="152"/>
      <c r="E491" s="152" t="s">
        <v>367</v>
      </c>
      <c r="F491" s="152" t="s">
        <v>367</v>
      </c>
      <c r="G491" s="152"/>
      <c r="H491" s="152"/>
      <c r="I491" s="152"/>
      <c r="J491" s="152">
        <v>1899</v>
      </c>
      <c r="K491" s="152">
        <v>12</v>
      </c>
    </row>
    <row r="492" spans="1:11" ht="13.5" customHeight="1" x14ac:dyDescent="0.15">
      <c r="A492" s="141"/>
      <c r="B492" s="148">
        <v>489</v>
      </c>
      <c r="C492" s="163"/>
      <c r="D492" s="151"/>
      <c r="E492" s="151" t="s">
        <v>367</v>
      </c>
      <c r="F492" s="151" t="s">
        <v>367</v>
      </c>
      <c r="G492" s="151"/>
      <c r="H492" s="151"/>
      <c r="I492" s="151"/>
      <c r="J492" s="151">
        <v>1899</v>
      </c>
      <c r="K492" s="151">
        <v>12</v>
      </c>
    </row>
    <row r="493" spans="1:11" ht="13.5" customHeight="1" x14ac:dyDescent="0.15">
      <c r="A493" s="141"/>
      <c r="B493" s="148">
        <v>490</v>
      </c>
      <c r="C493" s="164"/>
      <c r="D493" s="152"/>
      <c r="E493" s="152" t="s">
        <v>367</v>
      </c>
      <c r="F493" s="152" t="s">
        <v>367</v>
      </c>
      <c r="G493" s="152"/>
      <c r="H493" s="152"/>
      <c r="I493" s="152"/>
      <c r="J493" s="152">
        <v>1899</v>
      </c>
      <c r="K493" s="152">
        <v>12</v>
      </c>
    </row>
    <row r="494" spans="1:11" ht="13.5" customHeight="1" x14ac:dyDescent="0.15">
      <c r="A494" s="141"/>
      <c r="B494" s="148">
        <v>491</v>
      </c>
      <c r="C494" s="163"/>
      <c r="D494" s="151"/>
      <c r="E494" s="151" t="s">
        <v>367</v>
      </c>
      <c r="F494" s="151" t="s">
        <v>367</v>
      </c>
      <c r="G494" s="151"/>
      <c r="H494" s="151"/>
      <c r="I494" s="151"/>
      <c r="J494" s="151">
        <v>1899</v>
      </c>
      <c r="K494" s="151">
        <v>12</v>
      </c>
    </row>
    <row r="495" spans="1:11" ht="13.5" customHeight="1" x14ac:dyDescent="0.15">
      <c r="A495" s="141"/>
      <c r="B495" s="148">
        <v>492</v>
      </c>
      <c r="C495" s="164"/>
      <c r="D495" s="152"/>
      <c r="E495" s="152" t="s">
        <v>367</v>
      </c>
      <c r="F495" s="152" t="s">
        <v>367</v>
      </c>
      <c r="G495" s="152"/>
      <c r="H495" s="152"/>
      <c r="I495" s="152"/>
      <c r="J495" s="152">
        <v>1899</v>
      </c>
      <c r="K495" s="152">
        <v>12</v>
      </c>
    </row>
    <row r="496" spans="1:11" ht="13.5" customHeight="1" x14ac:dyDescent="0.15">
      <c r="A496" s="141"/>
      <c r="B496" s="148">
        <v>493</v>
      </c>
      <c r="C496" s="163"/>
      <c r="D496" s="151"/>
      <c r="E496" s="151" t="s">
        <v>367</v>
      </c>
      <c r="F496" s="151" t="s">
        <v>367</v>
      </c>
      <c r="G496" s="151"/>
      <c r="H496" s="151"/>
      <c r="I496" s="151"/>
      <c r="J496" s="151">
        <v>1899</v>
      </c>
      <c r="K496" s="151">
        <v>12</v>
      </c>
    </row>
    <row r="497" spans="1:11" ht="13.5" customHeight="1" x14ac:dyDescent="0.15">
      <c r="A497" s="141"/>
      <c r="B497" s="148">
        <v>494</v>
      </c>
      <c r="C497" s="164"/>
      <c r="D497" s="152"/>
      <c r="E497" s="152" t="s">
        <v>367</v>
      </c>
      <c r="F497" s="152" t="s">
        <v>367</v>
      </c>
      <c r="G497" s="152"/>
      <c r="H497" s="152"/>
      <c r="I497" s="152"/>
      <c r="J497" s="152">
        <v>1899</v>
      </c>
      <c r="K497" s="152">
        <v>12</v>
      </c>
    </row>
    <row r="498" spans="1:11" ht="13.5" customHeight="1" x14ac:dyDescent="0.15">
      <c r="A498" s="141"/>
      <c r="B498" s="148">
        <v>495</v>
      </c>
      <c r="C498" s="163"/>
      <c r="D498" s="151"/>
      <c r="E498" s="151" t="s">
        <v>367</v>
      </c>
      <c r="F498" s="151" t="s">
        <v>367</v>
      </c>
      <c r="G498" s="151"/>
      <c r="H498" s="151"/>
      <c r="I498" s="151"/>
      <c r="J498" s="151">
        <v>1899</v>
      </c>
      <c r="K498" s="151">
        <v>12</v>
      </c>
    </row>
    <row r="499" spans="1:11" ht="13.5" customHeight="1" x14ac:dyDescent="0.15">
      <c r="A499" s="141"/>
      <c r="B499" s="148">
        <v>496</v>
      </c>
      <c r="C499" s="164"/>
      <c r="D499" s="152"/>
      <c r="E499" s="152" t="s">
        <v>367</v>
      </c>
      <c r="F499" s="152" t="s">
        <v>367</v>
      </c>
      <c r="G499" s="152"/>
      <c r="H499" s="152"/>
      <c r="I499" s="152"/>
      <c r="J499" s="152">
        <v>1899</v>
      </c>
      <c r="K499" s="152">
        <v>12</v>
      </c>
    </row>
    <row r="500" spans="1:11" ht="13.5" customHeight="1" x14ac:dyDescent="0.15">
      <c r="A500" s="141"/>
      <c r="B500" s="148">
        <v>497</v>
      </c>
      <c r="C500" s="163"/>
      <c r="D500" s="151"/>
      <c r="E500" s="151" t="s">
        <v>367</v>
      </c>
      <c r="F500" s="151" t="s">
        <v>367</v>
      </c>
      <c r="G500" s="151"/>
      <c r="H500" s="151"/>
      <c r="I500" s="151"/>
      <c r="J500" s="151">
        <v>1899</v>
      </c>
      <c r="K500" s="151">
        <v>12</v>
      </c>
    </row>
    <row r="501" spans="1:11" ht="13.5" customHeight="1" x14ac:dyDescent="0.15">
      <c r="A501" s="141"/>
      <c r="B501" s="148">
        <v>498</v>
      </c>
      <c r="C501" s="164"/>
      <c r="D501" s="152"/>
      <c r="E501" s="152" t="s">
        <v>367</v>
      </c>
      <c r="F501" s="152" t="s">
        <v>367</v>
      </c>
      <c r="G501" s="152"/>
      <c r="H501" s="152"/>
      <c r="I501" s="152"/>
      <c r="J501" s="152">
        <v>1899</v>
      </c>
      <c r="K501" s="152">
        <v>12</v>
      </c>
    </row>
    <row r="502" spans="1:11" ht="13.5" customHeight="1" x14ac:dyDescent="0.15">
      <c r="A502" s="141"/>
      <c r="B502" s="148">
        <v>499</v>
      </c>
      <c r="C502" s="163"/>
      <c r="D502" s="151"/>
      <c r="E502" s="151" t="s">
        <v>367</v>
      </c>
      <c r="F502" s="151" t="s">
        <v>367</v>
      </c>
      <c r="G502" s="151"/>
      <c r="H502" s="151"/>
      <c r="I502" s="151"/>
      <c r="J502" s="151">
        <v>1899</v>
      </c>
      <c r="K502" s="151">
        <v>12</v>
      </c>
    </row>
    <row r="503" spans="1:11" ht="13.5" customHeight="1" x14ac:dyDescent="0.15">
      <c r="A503" s="141"/>
      <c r="B503" s="148">
        <v>500</v>
      </c>
      <c r="C503" s="164"/>
      <c r="D503" s="152"/>
      <c r="E503" s="152" t="s">
        <v>367</v>
      </c>
      <c r="F503" s="152" t="s">
        <v>367</v>
      </c>
      <c r="G503" s="152"/>
      <c r="H503" s="152"/>
      <c r="I503" s="152"/>
      <c r="J503" s="152">
        <v>1899</v>
      </c>
      <c r="K503" s="152">
        <v>12</v>
      </c>
    </row>
    <row r="504" spans="1:11" ht="13.5" customHeight="1" x14ac:dyDescent="0.15">
      <c r="A504" s="141"/>
      <c r="B504" s="148">
        <v>501</v>
      </c>
      <c r="C504" s="163"/>
      <c r="D504" s="151"/>
      <c r="E504" s="151" t="s">
        <v>367</v>
      </c>
      <c r="F504" s="151" t="s">
        <v>367</v>
      </c>
      <c r="G504" s="151"/>
      <c r="H504" s="151"/>
      <c r="I504" s="151"/>
      <c r="J504" s="151">
        <v>1899</v>
      </c>
      <c r="K504" s="151">
        <v>12</v>
      </c>
    </row>
    <row r="505" spans="1:11" ht="13.5" customHeight="1" x14ac:dyDescent="0.15">
      <c r="A505" s="141"/>
      <c r="B505" s="148">
        <v>502</v>
      </c>
      <c r="C505" s="164"/>
      <c r="D505" s="152"/>
      <c r="E505" s="152" t="s">
        <v>367</v>
      </c>
      <c r="F505" s="152" t="s">
        <v>367</v>
      </c>
      <c r="G505" s="152"/>
      <c r="H505" s="152"/>
      <c r="I505" s="152"/>
      <c r="J505" s="152">
        <v>1899</v>
      </c>
      <c r="K505" s="152">
        <v>12</v>
      </c>
    </row>
    <row r="506" spans="1:11" ht="13.5" customHeight="1" x14ac:dyDescent="0.15">
      <c r="A506" s="141"/>
      <c r="B506" s="148">
        <v>503</v>
      </c>
      <c r="C506" s="163"/>
      <c r="D506" s="151"/>
      <c r="E506" s="151" t="s">
        <v>367</v>
      </c>
      <c r="F506" s="151" t="s">
        <v>367</v>
      </c>
      <c r="G506" s="151"/>
      <c r="H506" s="151"/>
      <c r="I506" s="151"/>
      <c r="J506" s="151">
        <v>1899</v>
      </c>
      <c r="K506" s="151">
        <v>12</v>
      </c>
    </row>
    <row r="507" spans="1:11" ht="13.5" customHeight="1" x14ac:dyDescent="0.15">
      <c r="A507" s="141"/>
      <c r="B507" s="148">
        <v>504</v>
      </c>
      <c r="C507" s="164"/>
      <c r="D507" s="152"/>
      <c r="E507" s="152" t="s">
        <v>367</v>
      </c>
      <c r="F507" s="152" t="s">
        <v>367</v>
      </c>
      <c r="G507" s="152"/>
      <c r="H507" s="152"/>
      <c r="I507" s="152"/>
      <c r="J507" s="152">
        <v>1899</v>
      </c>
      <c r="K507" s="152">
        <v>12</v>
      </c>
    </row>
    <row r="508" spans="1:11" ht="13.5" customHeight="1" x14ac:dyDescent="0.15">
      <c r="A508" s="141"/>
      <c r="B508" s="148">
        <v>505</v>
      </c>
      <c r="C508" s="163"/>
      <c r="D508" s="151"/>
      <c r="E508" s="151" t="s">
        <v>367</v>
      </c>
      <c r="F508" s="151" t="s">
        <v>367</v>
      </c>
      <c r="G508" s="151"/>
      <c r="H508" s="151"/>
      <c r="I508" s="151"/>
      <c r="J508" s="151">
        <v>1899</v>
      </c>
      <c r="K508" s="151">
        <v>12</v>
      </c>
    </row>
    <row r="509" spans="1:11" ht="13.5" customHeight="1" x14ac:dyDescent="0.15">
      <c r="A509" s="141"/>
      <c r="B509" s="148">
        <v>506</v>
      </c>
      <c r="C509" s="164"/>
      <c r="D509" s="152"/>
      <c r="E509" s="152" t="s">
        <v>367</v>
      </c>
      <c r="F509" s="152" t="s">
        <v>367</v>
      </c>
      <c r="G509" s="152"/>
      <c r="H509" s="152"/>
      <c r="I509" s="152"/>
      <c r="J509" s="152">
        <v>1899</v>
      </c>
      <c r="K509" s="152">
        <v>12</v>
      </c>
    </row>
    <row r="510" spans="1:11" ht="13.5" customHeight="1" x14ac:dyDescent="0.15">
      <c r="A510" s="141"/>
      <c r="B510" s="148">
        <v>507</v>
      </c>
      <c r="C510" s="163"/>
      <c r="D510" s="151"/>
      <c r="E510" s="151" t="s">
        <v>367</v>
      </c>
      <c r="F510" s="151" t="s">
        <v>367</v>
      </c>
      <c r="G510" s="151"/>
      <c r="H510" s="151"/>
      <c r="I510" s="151"/>
      <c r="J510" s="151">
        <v>1899</v>
      </c>
      <c r="K510" s="151">
        <v>12</v>
      </c>
    </row>
    <row r="511" spans="1:11" ht="13.5" customHeight="1" x14ac:dyDescent="0.15">
      <c r="A511" s="141"/>
      <c r="B511" s="148">
        <v>508</v>
      </c>
      <c r="C511" s="164"/>
      <c r="D511" s="152"/>
      <c r="E511" s="152" t="s">
        <v>367</v>
      </c>
      <c r="F511" s="152" t="s">
        <v>367</v>
      </c>
      <c r="G511" s="152"/>
      <c r="H511" s="152"/>
      <c r="I511" s="152"/>
      <c r="J511" s="152">
        <v>1899</v>
      </c>
      <c r="K511" s="152">
        <v>12</v>
      </c>
    </row>
    <row r="512" spans="1:11" ht="13.5" customHeight="1" x14ac:dyDescent="0.15">
      <c r="A512" s="141"/>
      <c r="B512" s="148">
        <v>509</v>
      </c>
      <c r="C512" s="163"/>
      <c r="D512" s="151"/>
      <c r="E512" s="151" t="s">
        <v>367</v>
      </c>
      <c r="F512" s="151" t="s">
        <v>367</v>
      </c>
      <c r="G512" s="151"/>
      <c r="H512" s="151"/>
      <c r="I512" s="151"/>
      <c r="J512" s="151">
        <v>1899</v>
      </c>
      <c r="K512" s="151">
        <v>12</v>
      </c>
    </row>
    <row r="513" spans="1:11" ht="13.5" customHeight="1" x14ac:dyDescent="0.15">
      <c r="A513" s="141"/>
      <c r="B513" s="148">
        <v>510</v>
      </c>
      <c r="C513" s="164"/>
      <c r="D513" s="152"/>
      <c r="E513" s="152" t="s">
        <v>367</v>
      </c>
      <c r="F513" s="152" t="s">
        <v>367</v>
      </c>
      <c r="G513" s="152"/>
      <c r="H513" s="152"/>
      <c r="I513" s="152"/>
      <c r="J513" s="152">
        <v>1899</v>
      </c>
      <c r="K513" s="152">
        <v>12</v>
      </c>
    </row>
    <row r="514" spans="1:11" ht="13.5" customHeight="1" x14ac:dyDescent="0.15">
      <c r="A514" s="141"/>
      <c r="B514" s="148">
        <v>511</v>
      </c>
      <c r="C514" s="163"/>
      <c r="D514" s="151"/>
      <c r="E514" s="151" t="s">
        <v>367</v>
      </c>
      <c r="F514" s="151" t="s">
        <v>367</v>
      </c>
      <c r="G514" s="151"/>
      <c r="H514" s="151"/>
      <c r="I514" s="151"/>
      <c r="J514" s="151">
        <v>1899</v>
      </c>
      <c r="K514" s="151">
        <v>12</v>
      </c>
    </row>
    <row r="515" spans="1:11" ht="13.5" customHeight="1" x14ac:dyDescent="0.15">
      <c r="A515" s="141"/>
      <c r="B515" s="148">
        <v>512</v>
      </c>
      <c r="C515" s="164"/>
      <c r="D515" s="152"/>
      <c r="E515" s="152" t="s">
        <v>367</v>
      </c>
      <c r="F515" s="152" t="s">
        <v>367</v>
      </c>
      <c r="G515" s="152"/>
      <c r="H515" s="152"/>
      <c r="I515" s="152"/>
      <c r="J515" s="152">
        <v>1899</v>
      </c>
      <c r="K515" s="152">
        <v>12</v>
      </c>
    </row>
    <row r="516" spans="1:11" ht="13.5" customHeight="1" x14ac:dyDescent="0.15">
      <c r="A516" s="141"/>
      <c r="B516" s="148">
        <v>513</v>
      </c>
      <c r="C516" s="163"/>
      <c r="D516" s="151"/>
      <c r="E516" s="151" t="s">
        <v>367</v>
      </c>
      <c r="F516" s="151" t="s">
        <v>367</v>
      </c>
      <c r="G516" s="151"/>
      <c r="H516" s="151"/>
      <c r="I516" s="151"/>
      <c r="J516" s="151">
        <v>1899</v>
      </c>
      <c r="K516" s="151">
        <v>12</v>
      </c>
    </row>
    <row r="517" spans="1:11" ht="13.5" customHeight="1" x14ac:dyDescent="0.15">
      <c r="A517" s="141"/>
      <c r="B517" s="148">
        <v>514</v>
      </c>
      <c r="C517" s="164"/>
      <c r="D517" s="152"/>
      <c r="E517" s="152" t="s">
        <v>367</v>
      </c>
      <c r="F517" s="152" t="s">
        <v>367</v>
      </c>
      <c r="G517" s="152"/>
      <c r="H517" s="152"/>
      <c r="I517" s="152"/>
      <c r="J517" s="152">
        <v>1899</v>
      </c>
      <c r="K517" s="152">
        <v>12</v>
      </c>
    </row>
    <row r="518" spans="1:11" ht="13.5" customHeight="1" x14ac:dyDescent="0.15">
      <c r="A518" s="141"/>
      <c r="B518" s="148">
        <v>515</v>
      </c>
      <c r="C518" s="163"/>
      <c r="D518" s="151"/>
      <c r="E518" s="151" t="s">
        <v>367</v>
      </c>
      <c r="F518" s="151" t="s">
        <v>367</v>
      </c>
      <c r="G518" s="151"/>
      <c r="H518" s="151"/>
      <c r="I518" s="151"/>
      <c r="J518" s="151">
        <v>1899</v>
      </c>
      <c r="K518" s="151">
        <v>12</v>
      </c>
    </row>
    <row r="519" spans="1:11" ht="13.5" customHeight="1" x14ac:dyDescent="0.15">
      <c r="A519" s="141"/>
      <c r="B519" s="148">
        <v>516</v>
      </c>
      <c r="C519" s="164"/>
      <c r="D519" s="152"/>
      <c r="E519" s="152" t="s">
        <v>367</v>
      </c>
      <c r="F519" s="152" t="s">
        <v>367</v>
      </c>
      <c r="G519" s="152"/>
      <c r="H519" s="152"/>
      <c r="I519" s="152"/>
      <c r="J519" s="152">
        <v>1899</v>
      </c>
      <c r="K519" s="152">
        <v>12</v>
      </c>
    </row>
    <row r="520" spans="1:11" ht="13.5" customHeight="1" x14ac:dyDescent="0.15">
      <c r="A520" s="141"/>
      <c r="B520" s="148">
        <v>517</v>
      </c>
      <c r="C520" s="163"/>
      <c r="D520" s="151"/>
      <c r="E520" s="151" t="s">
        <v>367</v>
      </c>
      <c r="F520" s="151" t="s">
        <v>367</v>
      </c>
      <c r="G520" s="151"/>
      <c r="H520" s="151"/>
      <c r="I520" s="151"/>
      <c r="J520" s="151">
        <v>1899</v>
      </c>
      <c r="K520" s="151">
        <v>12</v>
      </c>
    </row>
    <row r="521" spans="1:11" ht="13.5" customHeight="1" x14ac:dyDescent="0.15">
      <c r="A521" s="141"/>
      <c r="B521" s="148">
        <v>518</v>
      </c>
      <c r="C521" s="164"/>
      <c r="D521" s="152"/>
      <c r="E521" s="152" t="s">
        <v>367</v>
      </c>
      <c r="F521" s="152" t="s">
        <v>367</v>
      </c>
      <c r="G521" s="152"/>
      <c r="H521" s="152"/>
      <c r="I521" s="152"/>
      <c r="J521" s="152">
        <v>1899</v>
      </c>
      <c r="K521" s="152">
        <v>12</v>
      </c>
    </row>
    <row r="522" spans="1:11" ht="13.5" customHeight="1" x14ac:dyDescent="0.15">
      <c r="A522" s="141"/>
      <c r="B522" s="148">
        <v>519</v>
      </c>
      <c r="C522" s="163"/>
      <c r="D522" s="151"/>
      <c r="E522" s="151" t="s">
        <v>367</v>
      </c>
      <c r="F522" s="151" t="s">
        <v>367</v>
      </c>
      <c r="G522" s="151"/>
      <c r="H522" s="151"/>
      <c r="I522" s="151"/>
      <c r="J522" s="151">
        <v>1899</v>
      </c>
      <c r="K522" s="151">
        <v>12</v>
      </c>
    </row>
    <row r="523" spans="1:11" ht="13.5" customHeight="1" x14ac:dyDescent="0.15">
      <c r="A523" s="141"/>
      <c r="B523" s="148">
        <v>520</v>
      </c>
      <c r="C523" s="164"/>
      <c r="D523" s="152"/>
      <c r="E523" s="152" t="s">
        <v>367</v>
      </c>
      <c r="F523" s="152" t="s">
        <v>367</v>
      </c>
      <c r="G523" s="152"/>
      <c r="H523" s="152"/>
      <c r="I523" s="152"/>
      <c r="J523" s="152">
        <v>1899</v>
      </c>
      <c r="K523" s="152">
        <v>12</v>
      </c>
    </row>
    <row r="524" spans="1:11" ht="13.5" customHeight="1" x14ac:dyDescent="0.15">
      <c r="A524" s="141"/>
      <c r="B524" s="148">
        <v>521</v>
      </c>
      <c r="C524" s="163"/>
      <c r="D524" s="151"/>
      <c r="E524" s="151" t="s">
        <v>367</v>
      </c>
      <c r="F524" s="151" t="s">
        <v>367</v>
      </c>
      <c r="G524" s="151"/>
      <c r="H524" s="151"/>
      <c r="I524" s="151"/>
      <c r="J524" s="151">
        <v>1899</v>
      </c>
      <c r="K524" s="151">
        <v>12</v>
      </c>
    </row>
    <row r="525" spans="1:11" ht="13.5" customHeight="1" x14ac:dyDescent="0.15">
      <c r="A525" s="141"/>
      <c r="B525" s="148">
        <v>522</v>
      </c>
      <c r="C525" s="164"/>
      <c r="D525" s="152"/>
      <c r="E525" s="152" t="s">
        <v>367</v>
      </c>
      <c r="F525" s="152" t="s">
        <v>367</v>
      </c>
      <c r="G525" s="152"/>
      <c r="H525" s="152"/>
      <c r="I525" s="152"/>
      <c r="J525" s="152">
        <v>1899</v>
      </c>
      <c r="K525" s="152">
        <v>12</v>
      </c>
    </row>
    <row r="526" spans="1:11" ht="13.5" customHeight="1" x14ac:dyDescent="0.15">
      <c r="A526" s="141"/>
      <c r="B526" s="148">
        <v>523</v>
      </c>
      <c r="C526" s="163"/>
      <c r="D526" s="151"/>
      <c r="E526" s="151" t="s">
        <v>367</v>
      </c>
      <c r="F526" s="151" t="s">
        <v>367</v>
      </c>
      <c r="G526" s="151"/>
      <c r="H526" s="151"/>
      <c r="I526" s="151"/>
      <c r="J526" s="151">
        <v>1899</v>
      </c>
      <c r="K526" s="151">
        <v>12</v>
      </c>
    </row>
    <row r="527" spans="1:11" ht="13.5" customHeight="1" x14ac:dyDescent="0.15">
      <c r="A527" s="141"/>
      <c r="B527" s="148">
        <v>524</v>
      </c>
      <c r="C527" s="164"/>
      <c r="D527" s="152"/>
      <c r="E527" s="152" t="s">
        <v>367</v>
      </c>
      <c r="F527" s="152" t="s">
        <v>367</v>
      </c>
      <c r="G527" s="152"/>
      <c r="H527" s="152"/>
      <c r="I527" s="152"/>
      <c r="J527" s="152">
        <v>1899</v>
      </c>
      <c r="K527" s="152">
        <v>12</v>
      </c>
    </row>
    <row r="528" spans="1:11" ht="13.5" customHeight="1" x14ac:dyDescent="0.15">
      <c r="A528" s="141"/>
      <c r="B528" s="148">
        <v>525</v>
      </c>
      <c r="C528" s="163"/>
      <c r="D528" s="151"/>
      <c r="E528" s="151" t="s">
        <v>367</v>
      </c>
      <c r="F528" s="151" t="s">
        <v>367</v>
      </c>
      <c r="G528" s="151"/>
      <c r="H528" s="151"/>
      <c r="I528" s="151"/>
      <c r="J528" s="151">
        <v>1899</v>
      </c>
      <c r="K528" s="151">
        <v>12</v>
      </c>
    </row>
    <row r="529" spans="1:11" ht="13.5" customHeight="1" x14ac:dyDescent="0.15">
      <c r="A529" s="141"/>
      <c r="B529" s="148">
        <v>526</v>
      </c>
      <c r="C529" s="164"/>
      <c r="D529" s="152"/>
      <c r="E529" s="152" t="s">
        <v>367</v>
      </c>
      <c r="F529" s="152" t="s">
        <v>367</v>
      </c>
      <c r="G529" s="152"/>
      <c r="H529" s="152"/>
      <c r="I529" s="152"/>
      <c r="J529" s="152">
        <v>1899</v>
      </c>
      <c r="K529" s="152">
        <v>12</v>
      </c>
    </row>
    <row r="530" spans="1:11" ht="13.5" customHeight="1" x14ac:dyDescent="0.15">
      <c r="A530" s="141"/>
      <c r="B530" s="148">
        <v>527</v>
      </c>
      <c r="C530" s="163"/>
      <c r="D530" s="151"/>
      <c r="E530" s="151" t="s">
        <v>367</v>
      </c>
      <c r="F530" s="151" t="s">
        <v>367</v>
      </c>
      <c r="G530" s="151"/>
      <c r="H530" s="151"/>
      <c r="I530" s="151"/>
      <c r="J530" s="151">
        <v>1899</v>
      </c>
      <c r="K530" s="151">
        <v>12</v>
      </c>
    </row>
    <row r="531" spans="1:11" ht="13.5" customHeight="1" x14ac:dyDescent="0.15">
      <c r="A531" s="141"/>
      <c r="B531" s="148">
        <v>528</v>
      </c>
      <c r="C531" s="164"/>
      <c r="D531" s="152"/>
      <c r="E531" s="152" t="s">
        <v>367</v>
      </c>
      <c r="F531" s="152" t="s">
        <v>367</v>
      </c>
      <c r="G531" s="152"/>
      <c r="H531" s="152"/>
      <c r="I531" s="152"/>
      <c r="J531" s="152">
        <v>1899</v>
      </c>
      <c r="K531" s="152">
        <v>12</v>
      </c>
    </row>
    <row r="532" spans="1:11" ht="13.5" customHeight="1" x14ac:dyDescent="0.15">
      <c r="A532" s="141"/>
      <c r="B532" s="148">
        <v>529</v>
      </c>
      <c r="C532" s="163"/>
      <c r="D532" s="151"/>
      <c r="E532" s="151" t="s">
        <v>367</v>
      </c>
      <c r="F532" s="151" t="s">
        <v>367</v>
      </c>
      <c r="G532" s="151"/>
      <c r="H532" s="151"/>
      <c r="I532" s="151"/>
      <c r="J532" s="151">
        <v>1899</v>
      </c>
      <c r="K532" s="151">
        <v>12</v>
      </c>
    </row>
    <row r="533" spans="1:11" ht="13.5" customHeight="1" x14ac:dyDescent="0.15">
      <c r="A533" s="141"/>
      <c r="B533" s="148">
        <v>530</v>
      </c>
      <c r="C533" s="164"/>
      <c r="D533" s="152"/>
      <c r="E533" s="152" t="s">
        <v>367</v>
      </c>
      <c r="F533" s="152" t="s">
        <v>367</v>
      </c>
      <c r="G533" s="152"/>
      <c r="H533" s="152"/>
      <c r="I533" s="152"/>
      <c r="J533" s="152">
        <v>1899</v>
      </c>
      <c r="K533" s="152">
        <v>12</v>
      </c>
    </row>
    <row r="534" spans="1:11" ht="13.5" customHeight="1" x14ac:dyDescent="0.15">
      <c r="A534" s="141"/>
      <c r="B534" s="148">
        <v>531</v>
      </c>
      <c r="C534" s="163"/>
      <c r="D534" s="151"/>
      <c r="E534" s="151" t="s">
        <v>367</v>
      </c>
      <c r="F534" s="151" t="s">
        <v>367</v>
      </c>
      <c r="G534" s="151"/>
      <c r="H534" s="151"/>
      <c r="I534" s="151"/>
      <c r="J534" s="151">
        <v>1899</v>
      </c>
      <c r="K534" s="151">
        <v>12</v>
      </c>
    </row>
    <row r="535" spans="1:11" ht="13.5" customHeight="1" x14ac:dyDescent="0.15">
      <c r="A535" s="141"/>
      <c r="B535" s="148">
        <v>532</v>
      </c>
      <c r="C535" s="164"/>
      <c r="D535" s="152"/>
      <c r="E535" s="152" t="s">
        <v>367</v>
      </c>
      <c r="F535" s="152" t="s">
        <v>367</v>
      </c>
      <c r="G535" s="152"/>
      <c r="H535" s="152"/>
      <c r="I535" s="152"/>
      <c r="J535" s="152">
        <v>1899</v>
      </c>
      <c r="K535" s="152">
        <v>12</v>
      </c>
    </row>
    <row r="536" spans="1:11" ht="13.5" customHeight="1" x14ac:dyDescent="0.15">
      <c r="A536" s="141"/>
      <c r="B536" s="148">
        <v>533</v>
      </c>
      <c r="C536" s="163"/>
      <c r="D536" s="151"/>
      <c r="E536" s="151" t="s">
        <v>367</v>
      </c>
      <c r="F536" s="151" t="s">
        <v>367</v>
      </c>
      <c r="G536" s="151"/>
      <c r="H536" s="151"/>
      <c r="I536" s="151"/>
      <c r="J536" s="151">
        <v>1899</v>
      </c>
      <c r="K536" s="151">
        <v>12</v>
      </c>
    </row>
    <row r="537" spans="1:11" ht="13.5" customHeight="1" x14ac:dyDescent="0.15">
      <c r="A537" s="141"/>
      <c r="B537" s="148">
        <v>534</v>
      </c>
      <c r="C537" s="164"/>
      <c r="D537" s="152"/>
      <c r="E537" s="152" t="s">
        <v>367</v>
      </c>
      <c r="F537" s="152" t="s">
        <v>367</v>
      </c>
      <c r="G537" s="152"/>
      <c r="H537" s="152"/>
      <c r="I537" s="152"/>
      <c r="J537" s="152">
        <v>1899</v>
      </c>
      <c r="K537" s="152">
        <v>12</v>
      </c>
    </row>
    <row r="538" spans="1:11" ht="13.5" customHeight="1" x14ac:dyDescent="0.15">
      <c r="A538" s="141"/>
      <c r="B538" s="148">
        <v>535</v>
      </c>
      <c r="C538" s="163"/>
      <c r="D538" s="151"/>
      <c r="E538" s="151" t="s">
        <v>367</v>
      </c>
      <c r="F538" s="151" t="s">
        <v>367</v>
      </c>
      <c r="G538" s="151"/>
      <c r="H538" s="151"/>
      <c r="I538" s="151"/>
      <c r="J538" s="151">
        <v>1899</v>
      </c>
      <c r="K538" s="151">
        <v>12</v>
      </c>
    </row>
    <row r="539" spans="1:11" ht="13.5" customHeight="1" x14ac:dyDescent="0.15">
      <c r="A539" s="141"/>
      <c r="B539" s="148">
        <v>536</v>
      </c>
      <c r="C539" s="164"/>
      <c r="D539" s="152"/>
      <c r="E539" s="152" t="s">
        <v>367</v>
      </c>
      <c r="F539" s="152" t="s">
        <v>367</v>
      </c>
      <c r="G539" s="152"/>
      <c r="H539" s="152"/>
      <c r="I539" s="152"/>
      <c r="J539" s="152">
        <v>1899</v>
      </c>
      <c r="K539" s="152">
        <v>12</v>
      </c>
    </row>
    <row r="540" spans="1:11" ht="13.5" customHeight="1" x14ac:dyDescent="0.15">
      <c r="A540" s="141"/>
      <c r="B540" s="148">
        <v>537</v>
      </c>
      <c r="C540" s="163"/>
      <c r="D540" s="151"/>
      <c r="E540" s="151" t="s">
        <v>367</v>
      </c>
      <c r="F540" s="151" t="s">
        <v>367</v>
      </c>
      <c r="G540" s="151"/>
      <c r="H540" s="151"/>
      <c r="I540" s="151"/>
      <c r="J540" s="151">
        <v>1899</v>
      </c>
      <c r="K540" s="151">
        <v>12</v>
      </c>
    </row>
    <row r="541" spans="1:11" ht="13.5" customHeight="1" x14ac:dyDescent="0.15">
      <c r="A541" s="141"/>
      <c r="B541" s="148">
        <v>538</v>
      </c>
      <c r="C541" s="164"/>
      <c r="D541" s="152"/>
      <c r="E541" s="152" t="s">
        <v>367</v>
      </c>
      <c r="F541" s="152" t="s">
        <v>367</v>
      </c>
      <c r="G541" s="152"/>
      <c r="H541" s="152"/>
      <c r="I541" s="152"/>
      <c r="J541" s="152">
        <v>1899</v>
      </c>
      <c r="K541" s="152">
        <v>12</v>
      </c>
    </row>
    <row r="542" spans="1:11" ht="13.5" customHeight="1" x14ac:dyDescent="0.15">
      <c r="A542" s="141"/>
      <c r="B542" s="148">
        <v>539</v>
      </c>
      <c r="C542" s="163"/>
      <c r="D542" s="151"/>
      <c r="E542" s="151" t="s">
        <v>367</v>
      </c>
      <c r="F542" s="151" t="s">
        <v>367</v>
      </c>
      <c r="G542" s="151"/>
      <c r="H542" s="151"/>
      <c r="I542" s="151"/>
      <c r="J542" s="151">
        <v>1899</v>
      </c>
      <c r="K542" s="151">
        <v>12</v>
      </c>
    </row>
    <row r="543" spans="1:11" ht="13.5" customHeight="1" x14ac:dyDescent="0.15">
      <c r="A543" s="141"/>
      <c r="B543" s="148">
        <v>540</v>
      </c>
      <c r="C543" s="164"/>
      <c r="D543" s="152"/>
      <c r="E543" s="152" t="s">
        <v>367</v>
      </c>
      <c r="F543" s="152" t="s">
        <v>367</v>
      </c>
      <c r="G543" s="152"/>
      <c r="H543" s="152"/>
      <c r="I543" s="152"/>
      <c r="J543" s="152">
        <v>1899</v>
      </c>
      <c r="K543" s="152">
        <v>12</v>
      </c>
    </row>
    <row r="544" spans="1:11" ht="13.5" customHeight="1" x14ac:dyDescent="0.15">
      <c r="A544" s="141"/>
      <c r="B544" s="148">
        <v>541</v>
      </c>
      <c r="C544" s="163"/>
      <c r="D544" s="151"/>
      <c r="E544" s="151" t="s">
        <v>367</v>
      </c>
      <c r="F544" s="151" t="s">
        <v>367</v>
      </c>
      <c r="G544" s="151"/>
      <c r="H544" s="151"/>
      <c r="I544" s="151"/>
      <c r="J544" s="151">
        <v>1899</v>
      </c>
      <c r="K544" s="151">
        <v>12</v>
      </c>
    </row>
    <row r="545" spans="1:11" ht="13.5" customHeight="1" x14ac:dyDescent="0.15">
      <c r="A545" s="141"/>
      <c r="B545" s="148">
        <v>542</v>
      </c>
      <c r="C545" s="164"/>
      <c r="D545" s="152"/>
      <c r="E545" s="152" t="s">
        <v>367</v>
      </c>
      <c r="F545" s="152" t="s">
        <v>367</v>
      </c>
      <c r="G545" s="152"/>
      <c r="H545" s="152"/>
      <c r="I545" s="152"/>
      <c r="J545" s="152">
        <v>1899</v>
      </c>
      <c r="K545" s="152">
        <v>12</v>
      </c>
    </row>
    <row r="546" spans="1:11" ht="13.5" customHeight="1" x14ac:dyDescent="0.15">
      <c r="A546" s="141"/>
      <c r="B546" s="148">
        <v>543</v>
      </c>
      <c r="C546" s="163"/>
      <c r="D546" s="151"/>
      <c r="E546" s="151" t="s">
        <v>367</v>
      </c>
      <c r="F546" s="151" t="s">
        <v>367</v>
      </c>
      <c r="G546" s="151"/>
      <c r="H546" s="151"/>
      <c r="I546" s="151"/>
      <c r="J546" s="151">
        <v>1899</v>
      </c>
      <c r="K546" s="151">
        <v>12</v>
      </c>
    </row>
    <row r="547" spans="1:11" ht="13.5" customHeight="1" x14ac:dyDescent="0.15">
      <c r="A547" s="141"/>
      <c r="B547" s="148">
        <v>544</v>
      </c>
      <c r="C547" s="164"/>
      <c r="D547" s="152"/>
      <c r="E547" s="152" t="s">
        <v>367</v>
      </c>
      <c r="F547" s="152" t="s">
        <v>367</v>
      </c>
      <c r="G547" s="152"/>
      <c r="H547" s="152"/>
      <c r="I547" s="152"/>
      <c r="J547" s="152">
        <v>1899</v>
      </c>
      <c r="K547" s="152">
        <v>12</v>
      </c>
    </row>
    <row r="548" spans="1:11" ht="13.5" customHeight="1" x14ac:dyDescent="0.15">
      <c r="A548" s="141"/>
      <c r="B548" s="148">
        <v>545</v>
      </c>
      <c r="C548" s="163"/>
      <c r="D548" s="151"/>
      <c r="E548" s="151" t="s">
        <v>367</v>
      </c>
      <c r="F548" s="151" t="s">
        <v>367</v>
      </c>
      <c r="G548" s="151"/>
      <c r="H548" s="151"/>
      <c r="I548" s="151"/>
      <c r="J548" s="151">
        <v>1899</v>
      </c>
      <c r="K548" s="151">
        <v>12</v>
      </c>
    </row>
    <row r="549" spans="1:11" ht="13.5" customHeight="1" x14ac:dyDescent="0.15">
      <c r="A549" s="141"/>
      <c r="B549" s="148">
        <v>546</v>
      </c>
      <c r="C549" s="164"/>
      <c r="D549" s="152"/>
      <c r="E549" s="152" t="s">
        <v>367</v>
      </c>
      <c r="F549" s="152" t="s">
        <v>367</v>
      </c>
      <c r="G549" s="152"/>
      <c r="H549" s="152"/>
      <c r="I549" s="152"/>
      <c r="J549" s="152">
        <v>1899</v>
      </c>
      <c r="K549" s="152">
        <v>12</v>
      </c>
    </row>
    <row r="550" spans="1:11" ht="13.5" customHeight="1" x14ac:dyDescent="0.15">
      <c r="A550" s="141"/>
      <c r="B550" s="148">
        <v>547</v>
      </c>
      <c r="C550" s="163"/>
      <c r="D550" s="151"/>
      <c r="E550" s="151" t="s">
        <v>367</v>
      </c>
      <c r="F550" s="151" t="s">
        <v>367</v>
      </c>
      <c r="G550" s="151"/>
      <c r="H550" s="151"/>
      <c r="I550" s="151"/>
      <c r="J550" s="151">
        <v>1899</v>
      </c>
      <c r="K550" s="151">
        <v>12</v>
      </c>
    </row>
    <row r="551" spans="1:11" ht="13.5" customHeight="1" x14ac:dyDescent="0.15">
      <c r="A551" s="141"/>
      <c r="B551" s="148">
        <v>548</v>
      </c>
      <c r="C551" s="164"/>
      <c r="D551" s="152"/>
      <c r="E551" s="152" t="s">
        <v>367</v>
      </c>
      <c r="F551" s="152" t="s">
        <v>367</v>
      </c>
      <c r="G551" s="152"/>
      <c r="H551" s="152"/>
      <c r="I551" s="152"/>
      <c r="J551" s="152">
        <v>1899</v>
      </c>
      <c r="K551" s="152">
        <v>12</v>
      </c>
    </row>
    <row r="552" spans="1:11" ht="13.5" customHeight="1" x14ac:dyDescent="0.15">
      <c r="A552" s="141"/>
      <c r="B552" s="148">
        <v>549</v>
      </c>
      <c r="C552" s="163"/>
      <c r="D552" s="151"/>
      <c r="E552" s="151" t="s">
        <v>367</v>
      </c>
      <c r="F552" s="151" t="s">
        <v>367</v>
      </c>
      <c r="G552" s="151"/>
      <c r="H552" s="151"/>
      <c r="I552" s="151"/>
      <c r="J552" s="151">
        <v>1899</v>
      </c>
      <c r="K552" s="151">
        <v>12</v>
      </c>
    </row>
    <row r="553" spans="1:11" ht="13.5" customHeight="1" x14ac:dyDescent="0.15">
      <c r="A553" s="141"/>
      <c r="B553" s="148">
        <v>550</v>
      </c>
      <c r="C553" s="164"/>
      <c r="D553" s="152"/>
      <c r="E553" s="152" t="s">
        <v>367</v>
      </c>
      <c r="F553" s="152" t="s">
        <v>367</v>
      </c>
      <c r="G553" s="152"/>
      <c r="H553" s="152"/>
      <c r="I553" s="152"/>
      <c r="J553" s="152">
        <v>1899</v>
      </c>
      <c r="K553" s="152">
        <v>12</v>
      </c>
    </row>
    <row r="554" spans="1:11" ht="13.5" customHeight="1" x14ac:dyDescent="0.15">
      <c r="A554" s="141"/>
      <c r="B554" s="148">
        <v>551</v>
      </c>
      <c r="C554" s="163"/>
      <c r="D554" s="151"/>
      <c r="E554" s="151" t="s">
        <v>367</v>
      </c>
      <c r="F554" s="151" t="s">
        <v>367</v>
      </c>
      <c r="G554" s="151"/>
      <c r="H554" s="151"/>
      <c r="I554" s="151"/>
      <c r="J554" s="151">
        <v>1899</v>
      </c>
      <c r="K554" s="151">
        <v>12</v>
      </c>
    </row>
    <row r="555" spans="1:11" ht="13.5" customHeight="1" x14ac:dyDescent="0.15">
      <c r="A555" s="141"/>
      <c r="B555" s="148">
        <v>552</v>
      </c>
      <c r="C555" s="164"/>
      <c r="D555" s="152"/>
      <c r="E555" s="152" t="s">
        <v>367</v>
      </c>
      <c r="F555" s="152" t="s">
        <v>367</v>
      </c>
      <c r="G555" s="152"/>
      <c r="H555" s="152"/>
      <c r="I555" s="152"/>
      <c r="J555" s="152">
        <v>1899</v>
      </c>
      <c r="K555" s="152">
        <v>12</v>
      </c>
    </row>
    <row r="556" spans="1:11" ht="13.5" customHeight="1" x14ac:dyDescent="0.15">
      <c r="A556" s="141"/>
      <c r="B556" s="148">
        <v>553</v>
      </c>
      <c r="C556" s="163"/>
      <c r="D556" s="151"/>
      <c r="E556" s="151" t="s">
        <v>367</v>
      </c>
      <c r="F556" s="151" t="s">
        <v>367</v>
      </c>
      <c r="G556" s="151"/>
      <c r="H556" s="151"/>
      <c r="I556" s="151"/>
      <c r="J556" s="151">
        <v>1899</v>
      </c>
      <c r="K556" s="151">
        <v>12</v>
      </c>
    </row>
    <row r="557" spans="1:11" ht="13.5" customHeight="1" x14ac:dyDescent="0.15">
      <c r="A557" s="141"/>
      <c r="B557" s="148">
        <v>554</v>
      </c>
      <c r="C557" s="164"/>
      <c r="D557" s="152"/>
      <c r="E557" s="152" t="s">
        <v>367</v>
      </c>
      <c r="F557" s="152" t="s">
        <v>367</v>
      </c>
      <c r="G557" s="152"/>
      <c r="H557" s="152"/>
      <c r="I557" s="152"/>
      <c r="J557" s="152">
        <v>1899</v>
      </c>
      <c r="K557" s="152">
        <v>12</v>
      </c>
    </row>
    <row r="558" spans="1:11" ht="13.5" customHeight="1" x14ac:dyDescent="0.15">
      <c r="A558" s="141"/>
      <c r="B558" s="148">
        <v>555</v>
      </c>
      <c r="C558" s="163"/>
      <c r="D558" s="151"/>
      <c r="E558" s="151" t="s">
        <v>367</v>
      </c>
      <c r="F558" s="151" t="s">
        <v>367</v>
      </c>
      <c r="G558" s="151"/>
      <c r="H558" s="151"/>
      <c r="I558" s="151"/>
      <c r="J558" s="151">
        <v>1899</v>
      </c>
      <c r="K558" s="151">
        <v>12</v>
      </c>
    </row>
    <row r="559" spans="1:11" ht="13.5" customHeight="1" x14ac:dyDescent="0.15">
      <c r="A559" s="141"/>
      <c r="B559" s="148">
        <v>556</v>
      </c>
      <c r="C559" s="164"/>
      <c r="D559" s="152"/>
      <c r="E559" s="152" t="s">
        <v>367</v>
      </c>
      <c r="F559" s="152" t="s">
        <v>367</v>
      </c>
      <c r="G559" s="152"/>
      <c r="H559" s="152"/>
      <c r="I559" s="152"/>
      <c r="J559" s="152">
        <v>1899</v>
      </c>
      <c r="K559" s="152">
        <v>12</v>
      </c>
    </row>
    <row r="560" spans="1:11" ht="13.5" customHeight="1" x14ac:dyDescent="0.15">
      <c r="A560" s="141"/>
      <c r="B560" s="148">
        <v>557</v>
      </c>
      <c r="C560" s="163"/>
      <c r="D560" s="151"/>
      <c r="E560" s="151" t="s">
        <v>367</v>
      </c>
      <c r="F560" s="151" t="s">
        <v>367</v>
      </c>
      <c r="G560" s="151"/>
      <c r="H560" s="151"/>
      <c r="I560" s="151"/>
      <c r="J560" s="151">
        <v>1899</v>
      </c>
      <c r="K560" s="151">
        <v>12</v>
      </c>
    </row>
    <row r="561" spans="1:11" ht="13.5" customHeight="1" x14ac:dyDescent="0.15">
      <c r="A561" s="141"/>
      <c r="B561" s="148">
        <v>558</v>
      </c>
      <c r="C561" s="164"/>
      <c r="D561" s="152"/>
      <c r="E561" s="152" t="s">
        <v>367</v>
      </c>
      <c r="F561" s="152" t="s">
        <v>367</v>
      </c>
      <c r="G561" s="152"/>
      <c r="H561" s="152"/>
      <c r="I561" s="152"/>
      <c r="J561" s="152">
        <v>1899</v>
      </c>
      <c r="K561" s="152">
        <v>12</v>
      </c>
    </row>
    <row r="562" spans="1:11" ht="13.5" customHeight="1" x14ac:dyDescent="0.15">
      <c r="A562" s="141"/>
      <c r="B562" s="148">
        <v>559</v>
      </c>
      <c r="C562" s="163"/>
      <c r="D562" s="151"/>
      <c r="E562" s="151" t="s">
        <v>367</v>
      </c>
      <c r="F562" s="151" t="s">
        <v>367</v>
      </c>
      <c r="G562" s="151"/>
      <c r="H562" s="151"/>
      <c r="I562" s="151"/>
      <c r="J562" s="151">
        <v>1899</v>
      </c>
      <c r="K562" s="151">
        <v>12</v>
      </c>
    </row>
    <row r="563" spans="1:11" ht="13.5" customHeight="1" x14ac:dyDescent="0.15">
      <c r="A563" s="141"/>
      <c r="B563" s="148">
        <v>560</v>
      </c>
      <c r="C563" s="164"/>
      <c r="D563" s="152"/>
      <c r="E563" s="152" t="s">
        <v>367</v>
      </c>
      <c r="F563" s="152" t="s">
        <v>367</v>
      </c>
      <c r="G563" s="152"/>
      <c r="H563" s="152"/>
      <c r="I563" s="152"/>
      <c r="J563" s="152">
        <v>1899</v>
      </c>
      <c r="K563" s="152">
        <v>12</v>
      </c>
    </row>
    <row r="564" spans="1:11" ht="13.5" customHeight="1" x14ac:dyDescent="0.15">
      <c r="A564" s="141"/>
      <c r="B564" s="148">
        <v>561</v>
      </c>
      <c r="C564" s="163"/>
      <c r="D564" s="151"/>
      <c r="E564" s="151" t="s">
        <v>367</v>
      </c>
      <c r="F564" s="151" t="s">
        <v>367</v>
      </c>
      <c r="G564" s="151"/>
      <c r="H564" s="151"/>
      <c r="I564" s="151"/>
      <c r="J564" s="151">
        <v>1899</v>
      </c>
      <c r="K564" s="151">
        <v>12</v>
      </c>
    </row>
    <row r="565" spans="1:11" ht="13.5" customHeight="1" x14ac:dyDescent="0.15">
      <c r="A565" s="141"/>
      <c r="B565" s="148">
        <v>562</v>
      </c>
      <c r="C565" s="164"/>
      <c r="D565" s="152"/>
      <c r="E565" s="152" t="s">
        <v>367</v>
      </c>
      <c r="F565" s="152" t="s">
        <v>367</v>
      </c>
      <c r="G565" s="152"/>
      <c r="H565" s="152"/>
      <c r="I565" s="152"/>
      <c r="J565" s="152">
        <v>1899</v>
      </c>
      <c r="K565" s="152">
        <v>12</v>
      </c>
    </row>
    <row r="566" spans="1:11" ht="13.5" customHeight="1" x14ac:dyDescent="0.15">
      <c r="A566" s="141"/>
      <c r="B566" s="148">
        <v>563</v>
      </c>
      <c r="C566" s="163"/>
      <c r="D566" s="151"/>
      <c r="E566" s="151" t="s">
        <v>367</v>
      </c>
      <c r="F566" s="151" t="s">
        <v>367</v>
      </c>
      <c r="G566" s="151"/>
      <c r="H566" s="151"/>
      <c r="I566" s="151"/>
      <c r="J566" s="151">
        <v>1899</v>
      </c>
      <c r="K566" s="151">
        <v>12</v>
      </c>
    </row>
    <row r="567" spans="1:11" ht="13.5" customHeight="1" x14ac:dyDescent="0.15">
      <c r="A567" s="141"/>
      <c r="B567" s="148">
        <v>564</v>
      </c>
      <c r="C567" s="164"/>
      <c r="D567" s="152"/>
      <c r="E567" s="152" t="s">
        <v>367</v>
      </c>
      <c r="F567" s="152" t="s">
        <v>367</v>
      </c>
      <c r="G567" s="152"/>
      <c r="H567" s="152"/>
      <c r="I567" s="152"/>
      <c r="J567" s="152">
        <v>1899</v>
      </c>
      <c r="K567" s="152">
        <v>12</v>
      </c>
    </row>
    <row r="568" spans="1:11" ht="13.5" customHeight="1" x14ac:dyDescent="0.15">
      <c r="A568" s="141"/>
      <c r="B568" s="148">
        <v>565</v>
      </c>
      <c r="C568" s="163"/>
      <c r="D568" s="151"/>
      <c r="E568" s="151" t="s">
        <v>367</v>
      </c>
      <c r="F568" s="151" t="s">
        <v>367</v>
      </c>
      <c r="G568" s="151"/>
      <c r="H568" s="151"/>
      <c r="I568" s="151"/>
      <c r="J568" s="151">
        <v>1899</v>
      </c>
      <c r="K568" s="151">
        <v>12</v>
      </c>
    </row>
    <row r="569" spans="1:11" ht="13.5" customHeight="1" x14ac:dyDescent="0.15">
      <c r="A569" s="141"/>
      <c r="B569" s="148">
        <v>566</v>
      </c>
      <c r="C569" s="164"/>
      <c r="D569" s="152"/>
      <c r="E569" s="152" t="s">
        <v>367</v>
      </c>
      <c r="F569" s="152" t="s">
        <v>367</v>
      </c>
      <c r="G569" s="152"/>
      <c r="H569" s="152"/>
      <c r="I569" s="152"/>
      <c r="J569" s="152">
        <v>1899</v>
      </c>
      <c r="K569" s="152">
        <v>12</v>
      </c>
    </row>
    <row r="570" spans="1:11" ht="13.5" customHeight="1" x14ac:dyDescent="0.15">
      <c r="A570" s="141"/>
      <c r="B570" s="148">
        <v>567</v>
      </c>
      <c r="C570" s="163"/>
      <c r="D570" s="151"/>
      <c r="E570" s="151" t="s">
        <v>367</v>
      </c>
      <c r="F570" s="151" t="s">
        <v>367</v>
      </c>
      <c r="G570" s="151"/>
      <c r="H570" s="151"/>
      <c r="I570" s="151"/>
      <c r="J570" s="151">
        <v>1899</v>
      </c>
      <c r="K570" s="151">
        <v>12</v>
      </c>
    </row>
    <row r="571" spans="1:11" ht="13.5" customHeight="1" x14ac:dyDescent="0.15">
      <c r="A571" s="141"/>
      <c r="B571" s="148">
        <v>568</v>
      </c>
      <c r="C571" s="164"/>
      <c r="D571" s="152"/>
      <c r="E571" s="152" t="s">
        <v>367</v>
      </c>
      <c r="F571" s="152" t="s">
        <v>367</v>
      </c>
      <c r="G571" s="152"/>
      <c r="H571" s="152"/>
      <c r="I571" s="152"/>
      <c r="J571" s="152">
        <v>1899</v>
      </c>
      <c r="K571" s="152">
        <v>12</v>
      </c>
    </row>
    <row r="572" spans="1:11" ht="13.5" customHeight="1" x14ac:dyDescent="0.15">
      <c r="A572" s="141"/>
      <c r="B572" s="148">
        <v>569</v>
      </c>
      <c r="C572" s="163"/>
      <c r="D572" s="151"/>
      <c r="E572" s="151" t="s">
        <v>367</v>
      </c>
      <c r="F572" s="151" t="s">
        <v>367</v>
      </c>
      <c r="G572" s="151"/>
      <c r="H572" s="151"/>
      <c r="I572" s="151"/>
      <c r="J572" s="151">
        <v>1899</v>
      </c>
      <c r="K572" s="151">
        <v>12</v>
      </c>
    </row>
    <row r="573" spans="1:11" ht="13.5" customHeight="1" x14ac:dyDescent="0.15">
      <c r="A573" s="141"/>
      <c r="B573" s="148">
        <v>570</v>
      </c>
      <c r="C573" s="164"/>
      <c r="D573" s="152"/>
      <c r="E573" s="152" t="s">
        <v>367</v>
      </c>
      <c r="F573" s="152" t="s">
        <v>367</v>
      </c>
      <c r="G573" s="152"/>
      <c r="H573" s="152"/>
      <c r="I573" s="152"/>
      <c r="J573" s="152">
        <v>1899</v>
      </c>
      <c r="K573" s="152">
        <v>12</v>
      </c>
    </row>
    <row r="574" spans="1:11" ht="13.5" customHeight="1" x14ac:dyDescent="0.15">
      <c r="A574" s="141"/>
      <c r="B574" s="148">
        <v>571</v>
      </c>
      <c r="C574" s="163"/>
      <c r="D574" s="151"/>
      <c r="E574" s="151" t="s">
        <v>367</v>
      </c>
      <c r="F574" s="151" t="s">
        <v>367</v>
      </c>
      <c r="G574" s="151"/>
      <c r="H574" s="151"/>
      <c r="I574" s="151"/>
      <c r="J574" s="151">
        <v>1899</v>
      </c>
      <c r="K574" s="151">
        <v>12</v>
      </c>
    </row>
    <row r="575" spans="1:11" ht="13.5" customHeight="1" x14ac:dyDescent="0.15">
      <c r="A575" s="141"/>
      <c r="B575" s="148">
        <v>572</v>
      </c>
      <c r="C575" s="164"/>
      <c r="D575" s="152"/>
      <c r="E575" s="152" t="s">
        <v>367</v>
      </c>
      <c r="F575" s="152" t="s">
        <v>367</v>
      </c>
      <c r="G575" s="152"/>
      <c r="H575" s="152"/>
      <c r="I575" s="152"/>
      <c r="J575" s="152">
        <v>1899</v>
      </c>
      <c r="K575" s="152">
        <v>12</v>
      </c>
    </row>
    <row r="576" spans="1:11" ht="13.5" customHeight="1" x14ac:dyDescent="0.15">
      <c r="A576" s="141"/>
      <c r="B576" s="148">
        <v>573</v>
      </c>
      <c r="C576" s="163"/>
      <c r="D576" s="151"/>
      <c r="E576" s="151" t="s">
        <v>367</v>
      </c>
      <c r="F576" s="151" t="s">
        <v>367</v>
      </c>
      <c r="G576" s="151"/>
      <c r="H576" s="151"/>
      <c r="I576" s="151"/>
      <c r="J576" s="151">
        <v>1899</v>
      </c>
      <c r="K576" s="151">
        <v>12</v>
      </c>
    </row>
    <row r="577" spans="1:11" ht="13.5" customHeight="1" x14ac:dyDescent="0.15">
      <c r="A577" s="141"/>
      <c r="B577" s="148">
        <v>574</v>
      </c>
      <c r="C577" s="164"/>
      <c r="D577" s="152"/>
      <c r="E577" s="152" t="s">
        <v>367</v>
      </c>
      <c r="F577" s="152" t="s">
        <v>367</v>
      </c>
      <c r="G577" s="152"/>
      <c r="H577" s="152"/>
      <c r="I577" s="152"/>
      <c r="J577" s="152">
        <v>1899</v>
      </c>
      <c r="K577" s="152">
        <v>12</v>
      </c>
    </row>
    <row r="578" spans="1:11" ht="13.5" customHeight="1" x14ac:dyDescent="0.15">
      <c r="A578" s="141"/>
      <c r="B578" s="148">
        <v>575</v>
      </c>
      <c r="C578" s="163"/>
      <c r="D578" s="151"/>
      <c r="E578" s="151" t="s">
        <v>367</v>
      </c>
      <c r="F578" s="151" t="s">
        <v>367</v>
      </c>
      <c r="G578" s="151"/>
      <c r="H578" s="151"/>
      <c r="I578" s="151"/>
      <c r="J578" s="151">
        <v>1899</v>
      </c>
      <c r="K578" s="151">
        <v>12</v>
      </c>
    </row>
    <row r="579" spans="1:11" ht="13.5" customHeight="1" x14ac:dyDescent="0.15">
      <c r="A579" s="141"/>
      <c r="B579" s="148">
        <v>576</v>
      </c>
      <c r="C579" s="164"/>
      <c r="D579" s="152"/>
      <c r="E579" s="152" t="s">
        <v>367</v>
      </c>
      <c r="F579" s="152" t="s">
        <v>367</v>
      </c>
      <c r="G579" s="152"/>
      <c r="H579" s="152"/>
      <c r="I579" s="152"/>
      <c r="J579" s="152">
        <v>1899</v>
      </c>
      <c r="K579" s="152">
        <v>12</v>
      </c>
    </row>
    <row r="580" spans="1:11" ht="13.5" customHeight="1" x14ac:dyDescent="0.15">
      <c r="A580" s="141"/>
      <c r="B580" s="148">
        <v>577</v>
      </c>
      <c r="C580" s="163"/>
      <c r="D580" s="151"/>
      <c r="E580" s="151" t="s">
        <v>367</v>
      </c>
      <c r="F580" s="151" t="s">
        <v>367</v>
      </c>
      <c r="G580" s="151"/>
      <c r="H580" s="151"/>
      <c r="I580" s="151"/>
      <c r="J580" s="151">
        <v>1899</v>
      </c>
      <c r="K580" s="151">
        <v>12</v>
      </c>
    </row>
    <row r="581" spans="1:11" ht="13.5" customHeight="1" x14ac:dyDescent="0.15">
      <c r="A581" s="141"/>
      <c r="B581" s="148">
        <v>578</v>
      </c>
      <c r="C581" s="164"/>
      <c r="D581" s="152"/>
      <c r="E581" s="152" t="s">
        <v>367</v>
      </c>
      <c r="F581" s="152" t="s">
        <v>367</v>
      </c>
      <c r="G581" s="152"/>
      <c r="H581" s="152"/>
      <c r="I581" s="152"/>
      <c r="J581" s="152">
        <v>1899</v>
      </c>
      <c r="K581" s="152">
        <v>12</v>
      </c>
    </row>
    <row r="582" spans="1:11" ht="13.5" customHeight="1" x14ac:dyDescent="0.15">
      <c r="A582" s="141"/>
      <c r="B582" s="148">
        <v>579</v>
      </c>
      <c r="C582" s="163"/>
      <c r="D582" s="151"/>
      <c r="E582" s="151" t="s">
        <v>367</v>
      </c>
      <c r="F582" s="151" t="s">
        <v>367</v>
      </c>
      <c r="G582" s="151"/>
      <c r="H582" s="151"/>
      <c r="I582" s="151"/>
      <c r="J582" s="151">
        <v>1899</v>
      </c>
      <c r="K582" s="151">
        <v>12</v>
      </c>
    </row>
    <row r="583" spans="1:11" ht="13.5" customHeight="1" x14ac:dyDescent="0.15">
      <c r="A583" s="141"/>
      <c r="B583" s="148">
        <v>580</v>
      </c>
      <c r="C583" s="164"/>
      <c r="D583" s="152"/>
      <c r="E583" s="152" t="s">
        <v>367</v>
      </c>
      <c r="F583" s="152" t="s">
        <v>367</v>
      </c>
      <c r="G583" s="152"/>
      <c r="H583" s="152"/>
      <c r="I583" s="152"/>
      <c r="J583" s="152">
        <v>1899</v>
      </c>
      <c r="K583" s="152">
        <v>12</v>
      </c>
    </row>
    <row r="584" spans="1:11" ht="13.5" customHeight="1" x14ac:dyDescent="0.15">
      <c r="A584" s="141"/>
      <c r="B584" s="148">
        <v>581</v>
      </c>
      <c r="C584" s="163"/>
      <c r="D584" s="151"/>
      <c r="E584" s="151" t="s">
        <v>367</v>
      </c>
      <c r="F584" s="151" t="s">
        <v>367</v>
      </c>
      <c r="G584" s="151"/>
      <c r="H584" s="151"/>
      <c r="I584" s="151"/>
      <c r="J584" s="151">
        <v>1899</v>
      </c>
      <c r="K584" s="151">
        <v>12</v>
      </c>
    </row>
    <row r="585" spans="1:11" ht="13.5" customHeight="1" x14ac:dyDescent="0.15">
      <c r="A585" s="141"/>
      <c r="B585" s="148">
        <v>582</v>
      </c>
      <c r="C585" s="164"/>
      <c r="D585" s="152"/>
      <c r="E585" s="152" t="s">
        <v>367</v>
      </c>
      <c r="F585" s="152" t="s">
        <v>367</v>
      </c>
      <c r="G585" s="152"/>
      <c r="H585" s="152"/>
      <c r="I585" s="152"/>
      <c r="J585" s="152">
        <v>1899</v>
      </c>
      <c r="K585" s="152">
        <v>12</v>
      </c>
    </row>
    <row r="586" spans="1:11" ht="13.5" customHeight="1" x14ac:dyDescent="0.15">
      <c r="A586" s="141"/>
      <c r="B586" s="148">
        <v>583</v>
      </c>
      <c r="C586" s="163"/>
      <c r="D586" s="151"/>
      <c r="E586" s="151" t="s">
        <v>367</v>
      </c>
      <c r="F586" s="151" t="s">
        <v>367</v>
      </c>
      <c r="G586" s="151"/>
      <c r="H586" s="151"/>
      <c r="I586" s="151"/>
      <c r="J586" s="151">
        <v>1899</v>
      </c>
      <c r="K586" s="151">
        <v>12</v>
      </c>
    </row>
    <row r="587" spans="1:11" ht="13.5" customHeight="1" x14ac:dyDescent="0.15">
      <c r="A587" s="141"/>
      <c r="B587" s="148">
        <v>584</v>
      </c>
      <c r="C587" s="164"/>
      <c r="D587" s="152"/>
      <c r="E587" s="152" t="s">
        <v>367</v>
      </c>
      <c r="F587" s="152" t="s">
        <v>367</v>
      </c>
      <c r="G587" s="152"/>
      <c r="H587" s="152"/>
      <c r="I587" s="152"/>
      <c r="J587" s="152">
        <v>1899</v>
      </c>
      <c r="K587" s="152">
        <v>12</v>
      </c>
    </row>
    <row r="588" spans="1:11" ht="13.5" customHeight="1" x14ac:dyDescent="0.15">
      <c r="A588" s="141"/>
      <c r="B588" s="148">
        <v>585</v>
      </c>
      <c r="C588" s="163"/>
      <c r="D588" s="151"/>
      <c r="E588" s="151" t="s">
        <v>367</v>
      </c>
      <c r="F588" s="151" t="s">
        <v>367</v>
      </c>
      <c r="G588" s="151"/>
      <c r="H588" s="151"/>
      <c r="I588" s="151"/>
      <c r="J588" s="151">
        <v>1899</v>
      </c>
      <c r="K588" s="151">
        <v>12</v>
      </c>
    </row>
    <row r="589" spans="1:11" ht="13.5" customHeight="1" x14ac:dyDescent="0.15">
      <c r="A589" s="141"/>
      <c r="B589" s="148">
        <v>586</v>
      </c>
      <c r="C589" s="164"/>
      <c r="D589" s="152"/>
      <c r="E589" s="152" t="s">
        <v>367</v>
      </c>
      <c r="F589" s="152" t="s">
        <v>367</v>
      </c>
      <c r="G589" s="152"/>
      <c r="H589" s="152"/>
      <c r="I589" s="152"/>
      <c r="J589" s="152">
        <v>1899</v>
      </c>
      <c r="K589" s="152">
        <v>12</v>
      </c>
    </row>
    <row r="590" spans="1:11" ht="13.5" customHeight="1" x14ac:dyDescent="0.15">
      <c r="A590" s="141"/>
      <c r="B590" s="148">
        <v>587</v>
      </c>
      <c r="C590" s="163"/>
      <c r="D590" s="151"/>
      <c r="E590" s="151" t="s">
        <v>367</v>
      </c>
      <c r="F590" s="151" t="s">
        <v>367</v>
      </c>
      <c r="G590" s="151"/>
      <c r="H590" s="151"/>
      <c r="I590" s="151"/>
      <c r="J590" s="151">
        <v>1899</v>
      </c>
      <c r="K590" s="151">
        <v>12</v>
      </c>
    </row>
    <row r="591" spans="1:11" ht="13.5" customHeight="1" x14ac:dyDescent="0.15">
      <c r="A591" s="141"/>
      <c r="B591" s="148">
        <v>588</v>
      </c>
      <c r="C591" s="164"/>
      <c r="D591" s="152"/>
      <c r="E591" s="152" t="s">
        <v>367</v>
      </c>
      <c r="F591" s="152" t="s">
        <v>367</v>
      </c>
      <c r="G591" s="152"/>
      <c r="H591" s="152"/>
      <c r="I591" s="152"/>
      <c r="J591" s="152">
        <v>1899</v>
      </c>
      <c r="K591" s="152">
        <v>12</v>
      </c>
    </row>
    <row r="592" spans="1:11" ht="13.5" customHeight="1" x14ac:dyDescent="0.15">
      <c r="A592" s="141"/>
      <c r="B592" s="148">
        <v>589</v>
      </c>
      <c r="C592" s="163"/>
      <c r="D592" s="151"/>
      <c r="E592" s="151" t="s">
        <v>367</v>
      </c>
      <c r="F592" s="151" t="s">
        <v>367</v>
      </c>
      <c r="G592" s="151"/>
      <c r="H592" s="151"/>
      <c r="I592" s="151"/>
      <c r="J592" s="151">
        <v>1899</v>
      </c>
      <c r="K592" s="151">
        <v>12</v>
      </c>
    </row>
    <row r="593" spans="1:11" ht="13.5" customHeight="1" x14ac:dyDescent="0.15">
      <c r="A593" s="141"/>
      <c r="B593" s="148">
        <v>590</v>
      </c>
      <c r="C593" s="164"/>
      <c r="D593" s="152"/>
      <c r="E593" s="152" t="s">
        <v>367</v>
      </c>
      <c r="F593" s="152" t="s">
        <v>367</v>
      </c>
      <c r="G593" s="152"/>
      <c r="H593" s="152"/>
      <c r="I593" s="152"/>
      <c r="J593" s="152">
        <v>1899</v>
      </c>
      <c r="K593" s="152">
        <v>12</v>
      </c>
    </row>
    <row r="594" spans="1:11" ht="13.5" customHeight="1" x14ac:dyDescent="0.15">
      <c r="A594" s="141"/>
      <c r="B594" s="148">
        <v>591</v>
      </c>
      <c r="C594" s="163"/>
      <c r="D594" s="151"/>
      <c r="E594" s="151" t="s">
        <v>367</v>
      </c>
      <c r="F594" s="151" t="s">
        <v>367</v>
      </c>
      <c r="G594" s="151"/>
      <c r="H594" s="151"/>
      <c r="I594" s="151"/>
      <c r="J594" s="151">
        <v>1899</v>
      </c>
      <c r="K594" s="151">
        <v>12</v>
      </c>
    </row>
    <row r="595" spans="1:11" ht="13.5" customHeight="1" x14ac:dyDescent="0.15">
      <c r="A595" s="141"/>
      <c r="B595" s="148">
        <v>592</v>
      </c>
      <c r="C595" s="164"/>
      <c r="D595" s="152"/>
      <c r="E595" s="152" t="s">
        <v>367</v>
      </c>
      <c r="F595" s="152" t="s">
        <v>367</v>
      </c>
      <c r="G595" s="152"/>
      <c r="H595" s="152"/>
      <c r="I595" s="152"/>
      <c r="J595" s="152">
        <v>1899</v>
      </c>
      <c r="K595" s="152">
        <v>12</v>
      </c>
    </row>
    <row r="596" spans="1:11" ht="13.5" customHeight="1" x14ac:dyDescent="0.15">
      <c r="A596" s="141"/>
      <c r="B596" s="148">
        <v>593</v>
      </c>
      <c r="C596" s="163"/>
      <c r="D596" s="151"/>
      <c r="E596" s="151" t="s">
        <v>367</v>
      </c>
      <c r="F596" s="151" t="s">
        <v>367</v>
      </c>
      <c r="G596" s="151"/>
      <c r="H596" s="151"/>
      <c r="I596" s="151"/>
      <c r="J596" s="151">
        <v>1899</v>
      </c>
      <c r="K596" s="151">
        <v>12</v>
      </c>
    </row>
    <row r="597" spans="1:11" ht="13.5" customHeight="1" x14ac:dyDescent="0.15">
      <c r="A597" s="141"/>
      <c r="B597" s="148">
        <v>594</v>
      </c>
      <c r="C597" s="164"/>
      <c r="D597" s="152"/>
      <c r="E597" s="152" t="s">
        <v>367</v>
      </c>
      <c r="F597" s="152" t="s">
        <v>367</v>
      </c>
      <c r="G597" s="152"/>
      <c r="H597" s="152"/>
      <c r="I597" s="152"/>
      <c r="J597" s="152">
        <v>1899</v>
      </c>
      <c r="K597" s="152">
        <v>12</v>
      </c>
    </row>
    <row r="598" spans="1:11" ht="13.5" customHeight="1" x14ac:dyDescent="0.15">
      <c r="A598" s="141"/>
      <c r="B598" s="148">
        <v>595</v>
      </c>
      <c r="C598" s="163"/>
      <c r="D598" s="151"/>
      <c r="E598" s="151" t="s">
        <v>367</v>
      </c>
      <c r="F598" s="151" t="s">
        <v>367</v>
      </c>
      <c r="G598" s="151"/>
      <c r="H598" s="151"/>
      <c r="I598" s="151"/>
      <c r="J598" s="151">
        <v>1899</v>
      </c>
      <c r="K598" s="151">
        <v>12</v>
      </c>
    </row>
    <row r="599" spans="1:11" ht="13.5" customHeight="1" x14ac:dyDescent="0.15">
      <c r="A599" s="141"/>
      <c r="B599" s="148">
        <v>596</v>
      </c>
      <c r="C599" s="164"/>
      <c r="D599" s="152"/>
      <c r="E599" s="152" t="s">
        <v>367</v>
      </c>
      <c r="F599" s="152" t="s">
        <v>367</v>
      </c>
      <c r="G599" s="152"/>
      <c r="H599" s="152"/>
      <c r="I599" s="152"/>
      <c r="J599" s="152">
        <v>1899</v>
      </c>
      <c r="K599" s="152">
        <v>12</v>
      </c>
    </row>
    <row r="600" spans="1:11" ht="13.5" customHeight="1" x14ac:dyDescent="0.15">
      <c r="A600" s="141"/>
      <c r="B600" s="148">
        <v>597</v>
      </c>
      <c r="C600" s="163"/>
      <c r="D600" s="151"/>
      <c r="E600" s="151" t="s">
        <v>367</v>
      </c>
      <c r="F600" s="151" t="s">
        <v>367</v>
      </c>
      <c r="G600" s="151"/>
      <c r="H600" s="151"/>
      <c r="I600" s="151"/>
      <c r="J600" s="151">
        <v>1899</v>
      </c>
      <c r="K600" s="151">
        <v>12</v>
      </c>
    </row>
    <row r="601" spans="1:11" ht="13.5" customHeight="1" x14ac:dyDescent="0.15">
      <c r="A601" s="141"/>
      <c r="B601" s="148">
        <v>598</v>
      </c>
      <c r="C601" s="164"/>
      <c r="D601" s="152"/>
      <c r="E601" s="152" t="s">
        <v>367</v>
      </c>
      <c r="F601" s="152" t="s">
        <v>367</v>
      </c>
      <c r="G601" s="152"/>
      <c r="H601" s="152"/>
      <c r="I601" s="152"/>
      <c r="J601" s="152">
        <v>1899</v>
      </c>
      <c r="K601" s="152">
        <v>12</v>
      </c>
    </row>
    <row r="602" spans="1:11" ht="13.5" customHeight="1" x14ac:dyDescent="0.15">
      <c r="A602" s="141"/>
      <c r="B602" s="148">
        <v>599</v>
      </c>
      <c r="C602" s="163"/>
      <c r="D602" s="151"/>
      <c r="E602" s="151" t="s">
        <v>367</v>
      </c>
      <c r="F602" s="151" t="s">
        <v>367</v>
      </c>
      <c r="G602" s="151"/>
      <c r="H602" s="151"/>
      <c r="I602" s="151"/>
      <c r="J602" s="151">
        <v>1899</v>
      </c>
      <c r="K602" s="151">
        <v>12</v>
      </c>
    </row>
    <row r="603" spans="1:11" ht="13.5" customHeight="1" x14ac:dyDescent="0.15">
      <c r="A603" s="141"/>
      <c r="B603" s="148">
        <v>600</v>
      </c>
      <c r="C603" s="164"/>
      <c r="D603" s="152"/>
      <c r="E603" s="152" t="s">
        <v>367</v>
      </c>
      <c r="F603" s="152" t="s">
        <v>367</v>
      </c>
      <c r="G603" s="152"/>
      <c r="H603" s="152"/>
      <c r="I603" s="152"/>
      <c r="J603" s="152">
        <v>1899</v>
      </c>
      <c r="K603" s="152">
        <v>12</v>
      </c>
    </row>
    <row r="604" spans="1:11" ht="13.5" customHeight="1" x14ac:dyDescent="0.15">
      <c r="A604" s="141"/>
      <c r="B604" s="148">
        <v>601</v>
      </c>
      <c r="C604" s="163"/>
      <c r="D604" s="151"/>
      <c r="E604" s="151" t="s">
        <v>367</v>
      </c>
      <c r="F604" s="151" t="s">
        <v>367</v>
      </c>
      <c r="G604" s="151"/>
      <c r="H604" s="151"/>
      <c r="I604" s="151"/>
      <c r="J604" s="151">
        <v>1899</v>
      </c>
      <c r="K604" s="151">
        <v>12</v>
      </c>
    </row>
    <row r="605" spans="1:11" ht="13.5" customHeight="1" x14ac:dyDescent="0.15">
      <c r="A605" s="141"/>
      <c r="B605" s="148">
        <v>602</v>
      </c>
      <c r="C605" s="164"/>
      <c r="D605" s="152"/>
      <c r="E605" s="152" t="s">
        <v>367</v>
      </c>
      <c r="F605" s="152" t="s">
        <v>367</v>
      </c>
      <c r="G605" s="152"/>
      <c r="H605" s="152"/>
      <c r="I605" s="152"/>
      <c r="J605" s="152">
        <v>1899</v>
      </c>
      <c r="K605" s="152">
        <v>12</v>
      </c>
    </row>
    <row r="606" spans="1:11" ht="13.5" customHeight="1" x14ac:dyDescent="0.15">
      <c r="A606" s="141"/>
      <c r="B606" s="148">
        <v>603</v>
      </c>
      <c r="C606" s="163"/>
      <c r="D606" s="151"/>
      <c r="E606" s="151" t="s">
        <v>367</v>
      </c>
      <c r="F606" s="151" t="s">
        <v>367</v>
      </c>
      <c r="G606" s="151"/>
      <c r="H606" s="151"/>
      <c r="I606" s="151"/>
      <c r="J606" s="151">
        <v>1899</v>
      </c>
      <c r="K606" s="151">
        <v>12</v>
      </c>
    </row>
    <row r="607" spans="1:11" ht="13.5" customHeight="1" x14ac:dyDescent="0.15">
      <c r="A607" s="141"/>
      <c r="B607" s="148">
        <v>604</v>
      </c>
      <c r="C607" s="164"/>
      <c r="D607" s="152"/>
      <c r="E607" s="152" t="s">
        <v>367</v>
      </c>
      <c r="F607" s="152" t="s">
        <v>367</v>
      </c>
      <c r="G607" s="152"/>
      <c r="H607" s="152"/>
      <c r="I607" s="152"/>
      <c r="J607" s="152">
        <v>1899</v>
      </c>
      <c r="K607" s="152">
        <v>12</v>
      </c>
    </row>
    <row r="608" spans="1:11" ht="13.5" customHeight="1" x14ac:dyDescent="0.15">
      <c r="A608" s="141"/>
      <c r="B608" s="148">
        <v>605</v>
      </c>
      <c r="C608" s="163"/>
      <c r="D608" s="151"/>
      <c r="E608" s="151" t="s">
        <v>367</v>
      </c>
      <c r="F608" s="151" t="s">
        <v>367</v>
      </c>
      <c r="G608" s="151"/>
      <c r="H608" s="151"/>
      <c r="I608" s="151"/>
      <c r="J608" s="151">
        <v>1899</v>
      </c>
      <c r="K608" s="151">
        <v>12</v>
      </c>
    </row>
    <row r="609" spans="1:11" ht="13.5" customHeight="1" x14ac:dyDescent="0.15">
      <c r="A609" s="141"/>
      <c r="B609" s="148">
        <v>606</v>
      </c>
      <c r="C609" s="164"/>
      <c r="D609" s="152"/>
      <c r="E609" s="152" t="s">
        <v>367</v>
      </c>
      <c r="F609" s="152" t="s">
        <v>367</v>
      </c>
      <c r="G609" s="152"/>
      <c r="H609" s="152"/>
      <c r="I609" s="152"/>
      <c r="J609" s="152">
        <v>1899</v>
      </c>
      <c r="K609" s="152">
        <v>12</v>
      </c>
    </row>
    <row r="610" spans="1:11" ht="13.5" customHeight="1" x14ac:dyDescent="0.15">
      <c r="A610" s="141"/>
      <c r="B610" s="148">
        <v>607</v>
      </c>
      <c r="C610" s="163"/>
      <c r="D610" s="151"/>
      <c r="E610" s="151" t="s">
        <v>367</v>
      </c>
      <c r="F610" s="151" t="s">
        <v>367</v>
      </c>
      <c r="G610" s="151"/>
      <c r="H610" s="151"/>
      <c r="I610" s="151"/>
      <c r="J610" s="151">
        <v>1899</v>
      </c>
      <c r="K610" s="151">
        <v>12</v>
      </c>
    </row>
    <row r="611" spans="1:11" ht="13.5" customHeight="1" x14ac:dyDescent="0.15">
      <c r="A611" s="141"/>
      <c r="B611" s="148">
        <v>608</v>
      </c>
      <c r="C611" s="164"/>
      <c r="D611" s="152"/>
      <c r="E611" s="152" t="s">
        <v>367</v>
      </c>
      <c r="F611" s="152" t="s">
        <v>367</v>
      </c>
      <c r="G611" s="152"/>
      <c r="H611" s="152"/>
      <c r="I611" s="152"/>
      <c r="J611" s="152">
        <v>1899</v>
      </c>
      <c r="K611" s="152">
        <v>12</v>
      </c>
    </row>
    <row r="612" spans="1:11" ht="13.5" customHeight="1" x14ac:dyDescent="0.15">
      <c r="A612" s="141"/>
      <c r="B612" s="148">
        <v>609</v>
      </c>
      <c r="C612" s="163"/>
      <c r="D612" s="151"/>
      <c r="E612" s="151" t="s">
        <v>367</v>
      </c>
      <c r="F612" s="151" t="s">
        <v>367</v>
      </c>
      <c r="G612" s="151"/>
      <c r="H612" s="151"/>
      <c r="I612" s="151"/>
      <c r="J612" s="151">
        <v>1899</v>
      </c>
      <c r="K612" s="151">
        <v>12</v>
      </c>
    </row>
    <row r="613" spans="1:11" ht="13.5" customHeight="1" x14ac:dyDescent="0.15">
      <c r="A613" s="141"/>
      <c r="B613" s="148">
        <v>610</v>
      </c>
      <c r="C613" s="164"/>
      <c r="D613" s="152"/>
      <c r="E613" s="152" t="s">
        <v>367</v>
      </c>
      <c r="F613" s="152" t="s">
        <v>367</v>
      </c>
      <c r="G613" s="152"/>
      <c r="H613" s="152"/>
      <c r="I613" s="152"/>
      <c r="J613" s="152">
        <v>1899</v>
      </c>
      <c r="K613" s="152">
        <v>12</v>
      </c>
    </row>
    <row r="614" spans="1:11" ht="13.5" customHeight="1" x14ac:dyDescent="0.15">
      <c r="A614" s="141"/>
      <c r="B614" s="148">
        <v>611</v>
      </c>
      <c r="C614" s="163"/>
      <c r="D614" s="151"/>
      <c r="E614" s="151" t="s">
        <v>367</v>
      </c>
      <c r="F614" s="151" t="s">
        <v>367</v>
      </c>
      <c r="G614" s="151"/>
      <c r="H614" s="151"/>
      <c r="I614" s="151"/>
      <c r="J614" s="151">
        <v>1899</v>
      </c>
      <c r="K614" s="151">
        <v>12</v>
      </c>
    </row>
    <row r="615" spans="1:11" ht="13.5" customHeight="1" x14ac:dyDescent="0.15">
      <c r="A615" s="141"/>
      <c r="B615" s="148">
        <v>612</v>
      </c>
      <c r="C615" s="164"/>
      <c r="D615" s="152"/>
      <c r="E615" s="152" t="s">
        <v>367</v>
      </c>
      <c r="F615" s="152" t="s">
        <v>367</v>
      </c>
      <c r="G615" s="152"/>
      <c r="H615" s="152"/>
      <c r="I615" s="152"/>
      <c r="J615" s="152">
        <v>1899</v>
      </c>
      <c r="K615" s="152">
        <v>12</v>
      </c>
    </row>
    <row r="616" spans="1:11" ht="13.5" customHeight="1" x14ac:dyDescent="0.15">
      <c r="A616" s="141"/>
      <c r="B616" s="148">
        <v>613</v>
      </c>
      <c r="C616" s="163"/>
      <c r="D616" s="151"/>
      <c r="E616" s="151" t="s">
        <v>367</v>
      </c>
      <c r="F616" s="151" t="s">
        <v>367</v>
      </c>
      <c r="G616" s="151"/>
      <c r="H616" s="151"/>
      <c r="I616" s="151"/>
      <c r="J616" s="151">
        <v>1899</v>
      </c>
      <c r="K616" s="151">
        <v>12</v>
      </c>
    </row>
    <row r="617" spans="1:11" ht="13.5" customHeight="1" x14ac:dyDescent="0.15">
      <c r="A617" s="141"/>
      <c r="B617" s="148">
        <v>614</v>
      </c>
      <c r="C617" s="164"/>
      <c r="D617" s="152"/>
      <c r="E617" s="152" t="s">
        <v>367</v>
      </c>
      <c r="F617" s="152" t="s">
        <v>367</v>
      </c>
      <c r="G617" s="152"/>
      <c r="H617" s="152"/>
      <c r="I617" s="152"/>
      <c r="J617" s="152">
        <v>1899</v>
      </c>
      <c r="K617" s="152">
        <v>12</v>
      </c>
    </row>
    <row r="618" spans="1:11" ht="13.5" customHeight="1" x14ac:dyDescent="0.15">
      <c r="A618" s="141"/>
      <c r="B618" s="148">
        <v>615</v>
      </c>
      <c r="C618" s="163"/>
      <c r="D618" s="151"/>
      <c r="E618" s="151" t="s">
        <v>367</v>
      </c>
      <c r="F618" s="151" t="s">
        <v>367</v>
      </c>
      <c r="G618" s="151"/>
      <c r="H618" s="151"/>
      <c r="I618" s="151"/>
      <c r="J618" s="151">
        <v>1899</v>
      </c>
      <c r="K618" s="151">
        <v>12</v>
      </c>
    </row>
    <row r="619" spans="1:11" ht="13.5" customHeight="1" x14ac:dyDescent="0.15">
      <c r="A619" s="141"/>
      <c r="B619" s="148">
        <v>616</v>
      </c>
      <c r="C619" s="164"/>
      <c r="D619" s="152"/>
      <c r="E619" s="152" t="s">
        <v>367</v>
      </c>
      <c r="F619" s="152" t="s">
        <v>367</v>
      </c>
      <c r="G619" s="152"/>
      <c r="H619" s="152"/>
      <c r="I619" s="152"/>
      <c r="J619" s="152">
        <v>1899</v>
      </c>
      <c r="K619" s="152">
        <v>12</v>
      </c>
    </row>
    <row r="620" spans="1:11" ht="13.5" customHeight="1" x14ac:dyDescent="0.15">
      <c r="A620" s="141"/>
      <c r="B620" s="148">
        <v>617</v>
      </c>
      <c r="C620" s="163"/>
      <c r="D620" s="151"/>
      <c r="E620" s="151" t="s">
        <v>367</v>
      </c>
      <c r="F620" s="151" t="s">
        <v>367</v>
      </c>
      <c r="G620" s="151"/>
      <c r="H620" s="151"/>
      <c r="I620" s="151"/>
      <c r="J620" s="151">
        <v>1899</v>
      </c>
      <c r="K620" s="151">
        <v>12</v>
      </c>
    </row>
    <row r="621" spans="1:11" ht="13.5" customHeight="1" x14ac:dyDescent="0.15">
      <c r="A621" s="141"/>
      <c r="B621" s="148">
        <v>618</v>
      </c>
      <c r="C621" s="164"/>
      <c r="D621" s="152"/>
      <c r="E621" s="152" t="s">
        <v>367</v>
      </c>
      <c r="F621" s="152" t="s">
        <v>367</v>
      </c>
      <c r="G621" s="152"/>
      <c r="H621" s="152"/>
      <c r="I621" s="152"/>
      <c r="J621" s="152">
        <v>1899</v>
      </c>
      <c r="K621" s="152">
        <v>12</v>
      </c>
    </row>
    <row r="622" spans="1:11" ht="13.5" customHeight="1" x14ac:dyDescent="0.15">
      <c r="A622" s="141"/>
      <c r="B622" s="148">
        <v>619</v>
      </c>
      <c r="C622" s="163"/>
      <c r="D622" s="151"/>
      <c r="E622" s="151" t="s">
        <v>367</v>
      </c>
      <c r="F622" s="151" t="s">
        <v>367</v>
      </c>
      <c r="G622" s="151"/>
      <c r="H622" s="151"/>
      <c r="I622" s="151"/>
      <c r="J622" s="151">
        <v>1899</v>
      </c>
      <c r="K622" s="151">
        <v>12</v>
      </c>
    </row>
    <row r="623" spans="1:11" ht="13.5" customHeight="1" x14ac:dyDescent="0.15">
      <c r="A623" s="141"/>
      <c r="B623" s="148">
        <v>620</v>
      </c>
      <c r="C623" s="164"/>
      <c r="D623" s="152"/>
      <c r="E623" s="152" t="s">
        <v>367</v>
      </c>
      <c r="F623" s="152" t="s">
        <v>367</v>
      </c>
      <c r="G623" s="152"/>
      <c r="H623" s="152"/>
      <c r="I623" s="152"/>
      <c r="J623" s="152">
        <v>1899</v>
      </c>
      <c r="K623" s="152">
        <v>12</v>
      </c>
    </row>
    <row r="624" spans="1:11" ht="13.5" customHeight="1" x14ac:dyDescent="0.15">
      <c r="A624" s="141"/>
      <c r="B624" s="148">
        <v>621</v>
      </c>
      <c r="C624" s="163"/>
      <c r="D624" s="151"/>
      <c r="E624" s="151" t="s">
        <v>367</v>
      </c>
      <c r="F624" s="151" t="s">
        <v>367</v>
      </c>
      <c r="G624" s="151"/>
      <c r="H624" s="151"/>
      <c r="I624" s="151"/>
      <c r="J624" s="151">
        <v>1899</v>
      </c>
      <c r="K624" s="151">
        <v>12</v>
      </c>
    </row>
    <row r="625" spans="1:11" ht="13.5" customHeight="1" x14ac:dyDescent="0.15">
      <c r="A625" s="141"/>
      <c r="B625" s="148">
        <v>622</v>
      </c>
      <c r="C625" s="164"/>
      <c r="D625" s="152"/>
      <c r="E625" s="152" t="s">
        <v>367</v>
      </c>
      <c r="F625" s="152" t="s">
        <v>367</v>
      </c>
      <c r="G625" s="152"/>
      <c r="H625" s="152"/>
      <c r="I625" s="152"/>
      <c r="J625" s="152">
        <v>1899</v>
      </c>
      <c r="K625" s="152">
        <v>12</v>
      </c>
    </row>
    <row r="626" spans="1:11" ht="13.5" customHeight="1" x14ac:dyDescent="0.15">
      <c r="A626" s="141"/>
      <c r="B626" s="148">
        <v>623</v>
      </c>
      <c r="C626" s="163"/>
      <c r="D626" s="151"/>
      <c r="E626" s="151" t="s">
        <v>367</v>
      </c>
      <c r="F626" s="151" t="s">
        <v>367</v>
      </c>
      <c r="G626" s="151"/>
      <c r="H626" s="151"/>
      <c r="I626" s="151"/>
      <c r="J626" s="151">
        <v>1899</v>
      </c>
      <c r="K626" s="151">
        <v>12</v>
      </c>
    </row>
    <row r="627" spans="1:11" ht="13.5" customHeight="1" x14ac:dyDescent="0.15">
      <c r="A627" s="141"/>
      <c r="B627" s="148">
        <v>624</v>
      </c>
      <c r="C627" s="164"/>
      <c r="D627" s="152"/>
      <c r="E627" s="152" t="s">
        <v>367</v>
      </c>
      <c r="F627" s="152" t="s">
        <v>367</v>
      </c>
      <c r="G627" s="152"/>
      <c r="H627" s="152"/>
      <c r="I627" s="152"/>
      <c r="J627" s="152">
        <v>1899</v>
      </c>
      <c r="K627" s="152">
        <v>12</v>
      </c>
    </row>
    <row r="628" spans="1:11" ht="13.5" customHeight="1" x14ac:dyDescent="0.15">
      <c r="A628" s="141"/>
      <c r="B628" s="148">
        <v>625</v>
      </c>
      <c r="C628" s="163"/>
      <c r="D628" s="151"/>
      <c r="E628" s="151" t="s">
        <v>367</v>
      </c>
      <c r="F628" s="151" t="s">
        <v>367</v>
      </c>
      <c r="G628" s="151"/>
      <c r="H628" s="151"/>
      <c r="I628" s="151"/>
      <c r="J628" s="151">
        <v>1899</v>
      </c>
      <c r="K628" s="151">
        <v>12</v>
      </c>
    </row>
    <row r="629" spans="1:11" ht="13.5" customHeight="1" x14ac:dyDescent="0.15">
      <c r="A629" s="141"/>
      <c r="B629" s="148">
        <v>626</v>
      </c>
      <c r="C629" s="164"/>
      <c r="D629" s="152"/>
      <c r="E629" s="152" t="s">
        <v>367</v>
      </c>
      <c r="F629" s="152" t="s">
        <v>367</v>
      </c>
      <c r="G629" s="152"/>
      <c r="H629" s="152"/>
      <c r="I629" s="152"/>
      <c r="J629" s="152">
        <v>1899</v>
      </c>
      <c r="K629" s="152">
        <v>12</v>
      </c>
    </row>
    <row r="630" spans="1:11" ht="13.5" customHeight="1" x14ac:dyDescent="0.15">
      <c r="A630" s="141"/>
      <c r="B630" s="148">
        <v>627</v>
      </c>
      <c r="C630" s="163"/>
      <c r="D630" s="151"/>
      <c r="E630" s="151" t="s">
        <v>367</v>
      </c>
      <c r="F630" s="151" t="s">
        <v>367</v>
      </c>
      <c r="G630" s="151"/>
      <c r="H630" s="151"/>
      <c r="I630" s="151"/>
      <c r="J630" s="151">
        <v>1899</v>
      </c>
      <c r="K630" s="151">
        <v>12</v>
      </c>
    </row>
    <row r="631" spans="1:11" ht="13.5" customHeight="1" x14ac:dyDescent="0.15">
      <c r="A631" s="141"/>
      <c r="B631" s="148">
        <v>628</v>
      </c>
      <c r="C631" s="164"/>
      <c r="D631" s="152"/>
      <c r="E631" s="152" t="s">
        <v>367</v>
      </c>
      <c r="F631" s="152" t="s">
        <v>367</v>
      </c>
      <c r="G631" s="152"/>
      <c r="H631" s="152"/>
      <c r="I631" s="152"/>
      <c r="J631" s="152">
        <v>1899</v>
      </c>
      <c r="K631" s="152">
        <v>12</v>
      </c>
    </row>
    <row r="632" spans="1:11" ht="13.5" customHeight="1" x14ac:dyDescent="0.15">
      <c r="A632" s="141"/>
      <c r="B632" s="148">
        <v>629</v>
      </c>
      <c r="C632" s="163"/>
      <c r="D632" s="151"/>
      <c r="E632" s="151" t="s">
        <v>367</v>
      </c>
      <c r="F632" s="151" t="s">
        <v>367</v>
      </c>
      <c r="G632" s="151"/>
      <c r="H632" s="151"/>
      <c r="I632" s="151"/>
      <c r="J632" s="151">
        <v>1899</v>
      </c>
      <c r="K632" s="151">
        <v>12</v>
      </c>
    </row>
    <row r="633" spans="1:11" ht="13.5" customHeight="1" x14ac:dyDescent="0.15">
      <c r="A633" s="141"/>
      <c r="B633" s="148">
        <v>630</v>
      </c>
      <c r="C633" s="164"/>
      <c r="D633" s="152"/>
      <c r="E633" s="152" t="s">
        <v>367</v>
      </c>
      <c r="F633" s="152" t="s">
        <v>367</v>
      </c>
      <c r="G633" s="152"/>
      <c r="H633" s="152"/>
      <c r="I633" s="152"/>
      <c r="J633" s="152">
        <v>1899</v>
      </c>
      <c r="K633" s="152">
        <v>12</v>
      </c>
    </row>
    <row r="634" spans="1:11" ht="13.5" customHeight="1" x14ac:dyDescent="0.15">
      <c r="A634" s="141"/>
      <c r="B634" s="148">
        <v>631</v>
      </c>
      <c r="C634" s="163"/>
      <c r="D634" s="151"/>
      <c r="E634" s="151" t="s">
        <v>367</v>
      </c>
      <c r="F634" s="151" t="s">
        <v>367</v>
      </c>
      <c r="G634" s="151"/>
      <c r="H634" s="151"/>
      <c r="I634" s="151"/>
      <c r="J634" s="151">
        <v>1899</v>
      </c>
      <c r="K634" s="151">
        <v>12</v>
      </c>
    </row>
    <row r="635" spans="1:11" ht="13.5" customHeight="1" x14ac:dyDescent="0.15">
      <c r="A635" s="141"/>
      <c r="B635" s="148">
        <v>632</v>
      </c>
      <c r="C635" s="164"/>
      <c r="D635" s="152"/>
      <c r="E635" s="152" t="s">
        <v>367</v>
      </c>
      <c r="F635" s="152" t="s">
        <v>367</v>
      </c>
      <c r="G635" s="152"/>
      <c r="H635" s="152"/>
      <c r="I635" s="152"/>
      <c r="J635" s="152">
        <v>1899</v>
      </c>
      <c r="K635" s="152">
        <v>12</v>
      </c>
    </row>
    <row r="636" spans="1:11" ht="13.5" customHeight="1" x14ac:dyDescent="0.15">
      <c r="A636" s="141"/>
      <c r="B636" s="148">
        <v>633</v>
      </c>
      <c r="C636" s="163"/>
      <c r="D636" s="151"/>
      <c r="E636" s="151" t="s">
        <v>367</v>
      </c>
      <c r="F636" s="151" t="s">
        <v>367</v>
      </c>
      <c r="G636" s="151"/>
      <c r="H636" s="151"/>
      <c r="I636" s="151"/>
      <c r="J636" s="151">
        <v>1899</v>
      </c>
      <c r="K636" s="151">
        <v>12</v>
      </c>
    </row>
    <row r="637" spans="1:11" ht="13.5" customHeight="1" x14ac:dyDescent="0.15">
      <c r="A637" s="141"/>
      <c r="B637" s="148">
        <v>634</v>
      </c>
      <c r="C637" s="164"/>
      <c r="D637" s="152"/>
      <c r="E637" s="152" t="s">
        <v>367</v>
      </c>
      <c r="F637" s="152" t="s">
        <v>367</v>
      </c>
      <c r="G637" s="152"/>
      <c r="H637" s="152"/>
      <c r="I637" s="152"/>
      <c r="J637" s="152">
        <v>1899</v>
      </c>
      <c r="K637" s="152">
        <v>12</v>
      </c>
    </row>
    <row r="638" spans="1:11" ht="13.5" customHeight="1" x14ac:dyDescent="0.15">
      <c r="A638" s="141"/>
      <c r="B638" s="148">
        <v>635</v>
      </c>
      <c r="C638" s="163"/>
      <c r="D638" s="151"/>
      <c r="E638" s="151" t="s">
        <v>367</v>
      </c>
      <c r="F638" s="151" t="s">
        <v>367</v>
      </c>
      <c r="G638" s="151"/>
      <c r="H638" s="151"/>
      <c r="I638" s="151"/>
      <c r="J638" s="151">
        <v>1899</v>
      </c>
      <c r="K638" s="151">
        <v>12</v>
      </c>
    </row>
    <row r="639" spans="1:11" ht="13.5" customHeight="1" x14ac:dyDescent="0.15">
      <c r="A639" s="141"/>
      <c r="B639" s="148">
        <v>636</v>
      </c>
      <c r="C639" s="164"/>
      <c r="D639" s="152"/>
      <c r="E639" s="152" t="s">
        <v>367</v>
      </c>
      <c r="F639" s="152" t="s">
        <v>367</v>
      </c>
      <c r="G639" s="152"/>
      <c r="H639" s="152"/>
      <c r="I639" s="152"/>
      <c r="J639" s="152">
        <v>1899</v>
      </c>
      <c r="K639" s="152">
        <v>12</v>
      </c>
    </row>
    <row r="640" spans="1:11" ht="13.5" customHeight="1" x14ac:dyDescent="0.15">
      <c r="A640" s="141"/>
      <c r="B640" s="148">
        <v>637</v>
      </c>
      <c r="C640" s="163"/>
      <c r="D640" s="151"/>
      <c r="E640" s="151" t="s">
        <v>367</v>
      </c>
      <c r="F640" s="151" t="s">
        <v>367</v>
      </c>
      <c r="G640" s="151"/>
      <c r="H640" s="151"/>
      <c r="I640" s="151"/>
      <c r="J640" s="151">
        <v>1899</v>
      </c>
      <c r="K640" s="151">
        <v>12</v>
      </c>
    </row>
    <row r="641" spans="1:11" ht="13.5" customHeight="1" x14ac:dyDescent="0.15">
      <c r="A641" s="141"/>
      <c r="B641" s="148">
        <v>638</v>
      </c>
      <c r="C641" s="164"/>
      <c r="D641" s="152"/>
      <c r="E641" s="152" t="s">
        <v>367</v>
      </c>
      <c r="F641" s="152" t="s">
        <v>367</v>
      </c>
      <c r="G641" s="152"/>
      <c r="H641" s="152"/>
      <c r="I641" s="152"/>
      <c r="J641" s="152">
        <v>1899</v>
      </c>
      <c r="K641" s="152">
        <v>12</v>
      </c>
    </row>
    <row r="642" spans="1:11" ht="13.5" customHeight="1" x14ac:dyDescent="0.15">
      <c r="A642" s="141"/>
      <c r="B642" s="148">
        <v>639</v>
      </c>
      <c r="C642" s="163"/>
      <c r="D642" s="151"/>
      <c r="E642" s="151" t="s">
        <v>367</v>
      </c>
      <c r="F642" s="151" t="s">
        <v>367</v>
      </c>
      <c r="G642" s="151"/>
      <c r="H642" s="151"/>
      <c r="I642" s="151"/>
      <c r="J642" s="151">
        <v>1899</v>
      </c>
      <c r="K642" s="151">
        <v>12</v>
      </c>
    </row>
    <row r="643" spans="1:11" ht="13.5" customHeight="1" x14ac:dyDescent="0.15">
      <c r="A643" s="141"/>
      <c r="B643" s="148">
        <v>640</v>
      </c>
      <c r="C643" s="164"/>
      <c r="D643" s="152"/>
      <c r="E643" s="152" t="s">
        <v>367</v>
      </c>
      <c r="F643" s="152" t="s">
        <v>367</v>
      </c>
      <c r="G643" s="152"/>
      <c r="H643" s="152"/>
      <c r="I643" s="152"/>
      <c r="J643" s="152">
        <v>1899</v>
      </c>
      <c r="K643" s="152">
        <v>12</v>
      </c>
    </row>
    <row r="644" spans="1:11" ht="13.5" customHeight="1" x14ac:dyDescent="0.15">
      <c r="A644" s="141"/>
      <c r="B644" s="148">
        <v>641</v>
      </c>
      <c r="C644" s="163"/>
      <c r="D644" s="151"/>
      <c r="E644" s="151" t="s">
        <v>367</v>
      </c>
      <c r="F644" s="151" t="s">
        <v>367</v>
      </c>
      <c r="G644" s="151"/>
      <c r="H644" s="151"/>
      <c r="I644" s="151"/>
      <c r="J644" s="151">
        <v>1899</v>
      </c>
      <c r="K644" s="151">
        <v>12</v>
      </c>
    </row>
    <row r="645" spans="1:11" ht="13.5" customHeight="1" x14ac:dyDescent="0.15">
      <c r="A645" s="141"/>
      <c r="B645" s="148">
        <v>642</v>
      </c>
      <c r="C645" s="164"/>
      <c r="D645" s="152"/>
      <c r="E645" s="152" t="s">
        <v>367</v>
      </c>
      <c r="F645" s="152" t="s">
        <v>367</v>
      </c>
      <c r="G645" s="152"/>
      <c r="H645" s="152"/>
      <c r="I645" s="152"/>
      <c r="J645" s="152">
        <v>1899</v>
      </c>
      <c r="K645" s="152">
        <v>12</v>
      </c>
    </row>
    <row r="646" spans="1:11" ht="13.5" customHeight="1" x14ac:dyDescent="0.15">
      <c r="A646" s="141"/>
      <c r="B646" s="148">
        <v>643</v>
      </c>
      <c r="C646" s="163"/>
      <c r="D646" s="151"/>
      <c r="E646" s="151" t="s">
        <v>367</v>
      </c>
      <c r="F646" s="151" t="s">
        <v>367</v>
      </c>
      <c r="G646" s="151"/>
      <c r="H646" s="151"/>
      <c r="I646" s="151"/>
      <c r="J646" s="151">
        <v>1899</v>
      </c>
      <c r="K646" s="151">
        <v>12</v>
      </c>
    </row>
    <row r="647" spans="1:11" ht="13.5" customHeight="1" x14ac:dyDescent="0.15">
      <c r="A647" s="141"/>
      <c r="B647" s="148">
        <v>644</v>
      </c>
      <c r="C647" s="164"/>
      <c r="D647" s="152"/>
      <c r="E647" s="152" t="s">
        <v>367</v>
      </c>
      <c r="F647" s="152" t="s">
        <v>367</v>
      </c>
      <c r="G647" s="152"/>
      <c r="H647" s="152"/>
      <c r="I647" s="152"/>
      <c r="J647" s="152">
        <v>1899</v>
      </c>
      <c r="K647" s="152">
        <v>12</v>
      </c>
    </row>
    <row r="648" spans="1:11" ht="13.5" customHeight="1" x14ac:dyDescent="0.15">
      <c r="A648" s="141"/>
      <c r="B648" s="148">
        <v>645</v>
      </c>
      <c r="C648" s="163"/>
      <c r="D648" s="151"/>
      <c r="E648" s="151" t="s">
        <v>367</v>
      </c>
      <c r="F648" s="151" t="s">
        <v>367</v>
      </c>
      <c r="G648" s="151"/>
      <c r="H648" s="151"/>
      <c r="I648" s="151"/>
      <c r="J648" s="151">
        <v>1899</v>
      </c>
      <c r="K648" s="151">
        <v>12</v>
      </c>
    </row>
    <row r="649" spans="1:11" ht="13.5" customHeight="1" x14ac:dyDescent="0.15">
      <c r="A649" s="141"/>
      <c r="B649" s="148">
        <v>646</v>
      </c>
      <c r="C649" s="164"/>
      <c r="D649" s="152"/>
      <c r="E649" s="152" t="s">
        <v>367</v>
      </c>
      <c r="F649" s="152" t="s">
        <v>367</v>
      </c>
      <c r="G649" s="152"/>
      <c r="H649" s="152"/>
      <c r="I649" s="152"/>
      <c r="J649" s="152">
        <v>1899</v>
      </c>
      <c r="K649" s="152">
        <v>12</v>
      </c>
    </row>
    <row r="650" spans="1:11" ht="13.5" customHeight="1" x14ac:dyDescent="0.15">
      <c r="A650" s="141"/>
      <c r="B650" s="148">
        <v>647</v>
      </c>
      <c r="C650" s="163"/>
      <c r="D650" s="151"/>
      <c r="E650" s="151" t="s">
        <v>367</v>
      </c>
      <c r="F650" s="151" t="s">
        <v>367</v>
      </c>
      <c r="G650" s="151"/>
      <c r="H650" s="151"/>
      <c r="I650" s="151"/>
      <c r="J650" s="151">
        <v>1899</v>
      </c>
      <c r="K650" s="151">
        <v>12</v>
      </c>
    </row>
    <row r="651" spans="1:11" ht="13.5" customHeight="1" x14ac:dyDescent="0.15">
      <c r="A651" s="141"/>
      <c r="B651" s="148">
        <v>648</v>
      </c>
      <c r="C651" s="164"/>
      <c r="D651" s="152"/>
      <c r="E651" s="152" t="s">
        <v>367</v>
      </c>
      <c r="F651" s="152" t="s">
        <v>367</v>
      </c>
      <c r="G651" s="152"/>
      <c r="H651" s="152"/>
      <c r="I651" s="152"/>
      <c r="J651" s="152">
        <v>1899</v>
      </c>
      <c r="K651" s="152">
        <v>12</v>
      </c>
    </row>
    <row r="652" spans="1:11" ht="13.5" customHeight="1" x14ac:dyDescent="0.15">
      <c r="A652" s="141"/>
      <c r="B652" s="148">
        <v>649</v>
      </c>
      <c r="C652" s="163"/>
      <c r="D652" s="151"/>
      <c r="E652" s="151" t="s">
        <v>367</v>
      </c>
      <c r="F652" s="151" t="s">
        <v>367</v>
      </c>
      <c r="G652" s="151"/>
      <c r="H652" s="151"/>
      <c r="I652" s="151"/>
      <c r="J652" s="151">
        <v>1899</v>
      </c>
      <c r="K652" s="151">
        <v>12</v>
      </c>
    </row>
    <row r="653" spans="1:11" ht="13.5" customHeight="1" x14ac:dyDescent="0.15">
      <c r="A653" s="141"/>
      <c r="B653" s="148">
        <v>650</v>
      </c>
      <c r="C653" s="164"/>
      <c r="D653" s="152"/>
      <c r="E653" s="152" t="s">
        <v>367</v>
      </c>
      <c r="F653" s="152" t="s">
        <v>367</v>
      </c>
      <c r="G653" s="152"/>
      <c r="H653" s="152"/>
      <c r="I653" s="152"/>
      <c r="J653" s="152">
        <v>1899</v>
      </c>
      <c r="K653" s="152">
        <v>12</v>
      </c>
    </row>
    <row r="654" spans="1:11" ht="13.5" customHeight="1" x14ac:dyDescent="0.15">
      <c r="A654" s="141"/>
      <c r="B654" s="148">
        <v>651</v>
      </c>
      <c r="C654" s="163"/>
      <c r="D654" s="151"/>
      <c r="E654" s="151" t="s">
        <v>367</v>
      </c>
      <c r="F654" s="151" t="s">
        <v>367</v>
      </c>
      <c r="G654" s="151"/>
      <c r="H654" s="151"/>
      <c r="I654" s="151"/>
      <c r="J654" s="151">
        <v>1899</v>
      </c>
      <c r="K654" s="151">
        <v>12</v>
      </c>
    </row>
    <row r="655" spans="1:11" ht="13.5" customHeight="1" x14ac:dyDescent="0.15">
      <c r="A655" s="141"/>
      <c r="B655" s="148">
        <v>652</v>
      </c>
      <c r="C655" s="164"/>
      <c r="D655" s="152"/>
      <c r="E655" s="152" t="s">
        <v>367</v>
      </c>
      <c r="F655" s="152" t="s">
        <v>367</v>
      </c>
      <c r="G655" s="152"/>
      <c r="H655" s="152"/>
      <c r="I655" s="152"/>
      <c r="J655" s="152">
        <v>1899</v>
      </c>
      <c r="K655" s="152">
        <v>12</v>
      </c>
    </row>
    <row r="656" spans="1:11" ht="13.5" customHeight="1" x14ac:dyDescent="0.15">
      <c r="A656" s="141"/>
      <c r="B656" s="148">
        <v>653</v>
      </c>
      <c r="C656" s="163"/>
      <c r="D656" s="151"/>
      <c r="E656" s="151" t="s">
        <v>367</v>
      </c>
      <c r="F656" s="151" t="s">
        <v>367</v>
      </c>
      <c r="G656" s="151"/>
      <c r="H656" s="151"/>
      <c r="I656" s="151"/>
      <c r="J656" s="151">
        <v>1899</v>
      </c>
      <c r="K656" s="151">
        <v>12</v>
      </c>
    </row>
    <row r="657" spans="1:11" ht="13.5" customHeight="1" x14ac:dyDescent="0.15">
      <c r="A657" s="141"/>
      <c r="B657" s="148">
        <v>654</v>
      </c>
      <c r="C657" s="164"/>
      <c r="D657" s="152"/>
      <c r="E657" s="152" t="s">
        <v>367</v>
      </c>
      <c r="F657" s="152" t="s">
        <v>367</v>
      </c>
      <c r="G657" s="152"/>
      <c r="H657" s="152"/>
      <c r="I657" s="152"/>
      <c r="J657" s="152">
        <v>1899</v>
      </c>
      <c r="K657" s="152">
        <v>12</v>
      </c>
    </row>
    <row r="658" spans="1:11" ht="13.5" customHeight="1" x14ac:dyDescent="0.15">
      <c r="A658" s="141"/>
      <c r="B658" s="148">
        <v>655</v>
      </c>
      <c r="C658" s="163"/>
      <c r="D658" s="151"/>
      <c r="E658" s="151" t="s">
        <v>367</v>
      </c>
      <c r="F658" s="151" t="s">
        <v>367</v>
      </c>
      <c r="G658" s="151"/>
      <c r="H658" s="151"/>
      <c r="I658" s="151"/>
      <c r="J658" s="151">
        <v>1899</v>
      </c>
      <c r="K658" s="151">
        <v>12</v>
      </c>
    </row>
    <row r="659" spans="1:11" ht="13.5" customHeight="1" x14ac:dyDescent="0.15">
      <c r="A659" s="141"/>
      <c r="B659" s="148">
        <v>656</v>
      </c>
      <c r="C659" s="164"/>
      <c r="D659" s="152"/>
      <c r="E659" s="152" t="s">
        <v>367</v>
      </c>
      <c r="F659" s="152" t="s">
        <v>367</v>
      </c>
      <c r="G659" s="152"/>
      <c r="H659" s="152"/>
      <c r="I659" s="152"/>
      <c r="J659" s="152">
        <v>1899</v>
      </c>
      <c r="K659" s="152">
        <v>12</v>
      </c>
    </row>
    <row r="660" spans="1:11" ht="13.5" customHeight="1" x14ac:dyDescent="0.15">
      <c r="A660" s="141"/>
      <c r="B660" s="148">
        <v>657</v>
      </c>
      <c r="C660" s="163"/>
      <c r="D660" s="151"/>
      <c r="E660" s="151" t="s">
        <v>367</v>
      </c>
      <c r="F660" s="151" t="s">
        <v>367</v>
      </c>
      <c r="G660" s="151"/>
      <c r="H660" s="151"/>
      <c r="I660" s="151"/>
      <c r="J660" s="151">
        <v>1899</v>
      </c>
      <c r="K660" s="151">
        <v>12</v>
      </c>
    </row>
    <row r="661" spans="1:11" ht="13.5" customHeight="1" x14ac:dyDescent="0.15">
      <c r="A661" s="141"/>
      <c r="B661" s="148">
        <v>658</v>
      </c>
      <c r="C661" s="164"/>
      <c r="D661" s="152"/>
      <c r="E661" s="152" t="s">
        <v>367</v>
      </c>
      <c r="F661" s="152" t="s">
        <v>367</v>
      </c>
      <c r="G661" s="152"/>
      <c r="H661" s="152"/>
      <c r="I661" s="152"/>
      <c r="J661" s="152">
        <v>1899</v>
      </c>
      <c r="K661" s="152">
        <v>12</v>
      </c>
    </row>
    <row r="662" spans="1:11" ht="13.5" customHeight="1" x14ac:dyDescent="0.15">
      <c r="A662" s="141"/>
      <c r="B662" s="148">
        <v>659</v>
      </c>
      <c r="C662" s="163"/>
      <c r="D662" s="151"/>
      <c r="E662" s="151" t="s">
        <v>367</v>
      </c>
      <c r="F662" s="151" t="s">
        <v>367</v>
      </c>
      <c r="G662" s="151"/>
      <c r="H662" s="151"/>
      <c r="I662" s="151"/>
      <c r="J662" s="151">
        <v>1899</v>
      </c>
      <c r="K662" s="151">
        <v>12</v>
      </c>
    </row>
    <row r="663" spans="1:11" ht="13.5" customHeight="1" x14ac:dyDescent="0.15">
      <c r="A663" s="141"/>
      <c r="B663" s="148">
        <v>660</v>
      </c>
      <c r="C663" s="164"/>
      <c r="D663" s="152"/>
      <c r="E663" s="152" t="s">
        <v>367</v>
      </c>
      <c r="F663" s="152" t="s">
        <v>367</v>
      </c>
      <c r="G663" s="152"/>
      <c r="H663" s="152"/>
      <c r="I663" s="152"/>
      <c r="J663" s="152">
        <v>1899</v>
      </c>
      <c r="K663" s="152">
        <v>12</v>
      </c>
    </row>
    <row r="664" spans="1:11" ht="13.5" customHeight="1" x14ac:dyDescent="0.15">
      <c r="A664" s="141"/>
      <c r="B664" s="148">
        <v>661</v>
      </c>
      <c r="C664" s="163"/>
      <c r="D664" s="151"/>
      <c r="E664" s="151" t="s">
        <v>367</v>
      </c>
      <c r="F664" s="151" t="s">
        <v>367</v>
      </c>
      <c r="G664" s="151"/>
      <c r="H664" s="151"/>
      <c r="I664" s="151"/>
      <c r="J664" s="151">
        <v>1899</v>
      </c>
      <c r="K664" s="151">
        <v>12</v>
      </c>
    </row>
    <row r="665" spans="1:11" ht="13.5" customHeight="1" x14ac:dyDescent="0.15">
      <c r="A665" s="141"/>
      <c r="B665" s="148">
        <v>662</v>
      </c>
      <c r="C665" s="164"/>
      <c r="D665" s="152"/>
      <c r="E665" s="152" t="s">
        <v>367</v>
      </c>
      <c r="F665" s="152" t="s">
        <v>367</v>
      </c>
      <c r="G665" s="152"/>
      <c r="H665" s="152"/>
      <c r="I665" s="152"/>
      <c r="J665" s="152">
        <v>1899</v>
      </c>
      <c r="K665" s="152">
        <v>12</v>
      </c>
    </row>
    <row r="666" spans="1:11" ht="13.5" customHeight="1" x14ac:dyDescent="0.15">
      <c r="A666" s="141"/>
      <c r="B666" s="148">
        <v>663</v>
      </c>
      <c r="C666" s="163"/>
      <c r="D666" s="151"/>
      <c r="E666" s="151" t="s">
        <v>367</v>
      </c>
      <c r="F666" s="151" t="s">
        <v>367</v>
      </c>
      <c r="G666" s="151"/>
      <c r="H666" s="151"/>
      <c r="I666" s="151"/>
      <c r="J666" s="151">
        <v>1899</v>
      </c>
      <c r="K666" s="151">
        <v>12</v>
      </c>
    </row>
    <row r="667" spans="1:11" ht="13.5" customHeight="1" x14ac:dyDescent="0.15">
      <c r="A667" s="141"/>
      <c r="B667" s="148">
        <v>664</v>
      </c>
      <c r="C667" s="164"/>
      <c r="D667" s="152"/>
      <c r="E667" s="152" t="s">
        <v>367</v>
      </c>
      <c r="F667" s="152" t="s">
        <v>367</v>
      </c>
      <c r="G667" s="152"/>
      <c r="H667" s="152"/>
      <c r="I667" s="152"/>
      <c r="J667" s="152">
        <v>1899</v>
      </c>
      <c r="K667" s="152">
        <v>12</v>
      </c>
    </row>
    <row r="668" spans="1:11" ht="13.5" customHeight="1" x14ac:dyDescent="0.15">
      <c r="A668" s="141"/>
      <c r="B668" s="148">
        <v>665</v>
      </c>
      <c r="C668" s="163"/>
      <c r="D668" s="151"/>
      <c r="E668" s="151" t="s">
        <v>367</v>
      </c>
      <c r="F668" s="151" t="s">
        <v>367</v>
      </c>
      <c r="G668" s="151"/>
      <c r="H668" s="151"/>
      <c r="I668" s="151"/>
      <c r="J668" s="151">
        <v>1899</v>
      </c>
      <c r="K668" s="151">
        <v>12</v>
      </c>
    </row>
    <row r="669" spans="1:11" ht="13.5" customHeight="1" x14ac:dyDescent="0.15">
      <c r="A669" s="141"/>
      <c r="B669" s="148">
        <v>666</v>
      </c>
      <c r="C669" s="164"/>
      <c r="D669" s="152"/>
      <c r="E669" s="152" t="s">
        <v>367</v>
      </c>
      <c r="F669" s="152" t="s">
        <v>367</v>
      </c>
      <c r="G669" s="152"/>
      <c r="H669" s="152"/>
      <c r="I669" s="152"/>
      <c r="J669" s="152">
        <v>1899</v>
      </c>
      <c r="K669" s="152">
        <v>12</v>
      </c>
    </row>
    <row r="670" spans="1:11" ht="13.5" customHeight="1" x14ac:dyDescent="0.15">
      <c r="A670" s="141"/>
      <c r="B670" s="148">
        <v>667</v>
      </c>
      <c r="C670" s="163"/>
      <c r="D670" s="151"/>
      <c r="E670" s="151" t="s">
        <v>367</v>
      </c>
      <c r="F670" s="151" t="s">
        <v>367</v>
      </c>
      <c r="G670" s="151"/>
      <c r="H670" s="151"/>
      <c r="I670" s="151"/>
      <c r="J670" s="151">
        <v>1899</v>
      </c>
      <c r="K670" s="151">
        <v>12</v>
      </c>
    </row>
    <row r="671" spans="1:11" ht="13.5" customHeight="1" x14ac:dyDescent="0.15">
      <c r="A671" s="141"/>
      <c r="B671" s="148">
        <v>668</v>
      </c>
      <c r="C671" s="164"/>
      <c r="D671" s="152"/>
      <c r="E671" s="152" t="s">
        <v>367</v>
      </c>
      <c r="F671" s="152" t="s">
        <v>367</v>
      </c>
      <c r="G671" s="152"/>
      <c r="H671" s="152"/>
      <c r="I671" s="152"/>
      <c r="J671" s="152">
        <v>1899</v>
      </c>
      <c r="K671" s="152">
        <v>12</v>
      </c>
    </row>
    <row r="672" spans="1:11" ht="13.5" customHeight="1" x14ac:dyDescent="0.15">
      <c r="A672" s="141"/>
      <c r="B672" s="148">
        <v>669</v>
      </c>
      <c r="C672" s="163"/>
      <c r="D672" s="151"/>
      <c r="E672" s="151" t="s">
        <v>367</v>
      </c>
      <c r="F672" s="151" t="s">
        <v>367</v>
      </c>
      <c r="G672" s="151"/>
      <c r="H672" s="151"/>
      <c r="I672" s="151"/>
      <c r="J672" s="151">
        <v>1899</v>
      </c>
      <c r="K672" s="151">
        <v>12</v>
      </c>
    </row>
    <row r="673" spans="1:11" ht="13.5" customHeight="1" x14ac:dyDescent="0.15">
      <c r="A673" s="141"/>
      <c r="B673" s="148">
        <v>670</v>
      </c>
      <c r="C673" s="164"/>
      <c r="D673" s="152"/>
      <c r="E673" s="152" t="s">
        <v>367</v>
      </c>
      <c r="F673" s="152" t="s">
        <v>367</v>
      </c>
      <c r="G673" s="152"/>
      <c r="H673" s="152"/>
      <c r="I673" s="152"/>
      <c r="J673" s="152">
        <v>1899</v>
      </c>
      <c r="K673" s="152">
        <v>12</v>
      </c>
    </row>
    <row r="674" spans="1:11" ht="13.5" customHeight="1" x14ac:dyDescent="0.15">
      <c r="A674" s="141"/>
      <c r="B674" s="148">
        <v>671</v>
      </c>
      <c r="C674" s="163"/>
      <c r="D674" s="151"/>
      <c r="E674" s="151" t="s">
        <v>367</v>
      </c>
      <c r="F674" s="151" t="s">
        <v>367</v>
      </c>
      <c r="G674" s="151"/>
      <c r="H674" s="151"/>
      <c r="I674" s="151"/>
      <c r="J674" s="151">
        <v>1899</v>
      </c>
      <c r="K674" s="151">
        <v>12</v>
      </c>
    </row>
    <row r="675" spans="1:11" ht="13.5" customHeight="1" x14ac:dyDescent="0.15">
      <c r="A675" s="141"/>
      <c r="B675" s="148">
        <v>672</v>
      </c>
      <c r="C675" s="164"/>
      <c r="D675" s="152"/>
      <c r="E675" s="152" t="s">
        <v>367</v>
      </c>
      <c r="F675" s="152" t="s">
        <v>367</v>
      </c>
      <c r="G675" s="152"/>
      <c r="H675" s="152"/>
      <c r="I675" s="152"/>
      <c r="J675" s="152">
        <v>1899</v>
      </c>
      <c r="K675" s="152">
        <v>12</v>
      </c>
    </row>
    <row r="676" spans="1:11" ht="13.5" customHeight="1" x14ac:dyDescent="0.15">
      <c r="A676" s="141"/>
      <c r="B676" s="148">
        <v>673</v>
      </c>
      <c r="C676" s="163"/>
      <c r="D676" s="151"/>
      <c r="E676" s="151" t="s">
        <v>367</v>
      </c>
      <c r="F676" s="151" t="s">
        <v>367</v>
      </c>
      <c r="G676" s="151"/>
      <c r="H676" s="151"/>
      <c r="I676" s="151"/>
      <c r="J676" s="151">
        <v>1899</v>
      </c>
      <c r="K676" s="151">
        <v>12</v>
      </c>
    </row>
    <row r="677" spans="1:11" ht="13.5" customHeight="1" x14ac:dyDescent="0.15">
      <c r="A677" s="141"/>
      <c r="B677" s="148">
        <v>674</v>
      </c>
      <c r="C677" s="164"/>
      <c r="D677" s="152"/>
      <c r="E677" s="152" t="s">
        <v>367</v>
      </c>
      <c r="F677" s="152" t="s">
        <v>367</v>
      </c>
      <c r="G677" s="152"/>
      <c r="H677" s="152"/>
      <c r="I677" s="152"/>
      <c r="J677" s="152">
        <v>1899</v>
      </c>
      <c r="K677" s="152">
        <v>12</v>
      </c>
    </row>
    <row r="678" spans="1:11" ht="13.5" customHeight="1" x14ac:dyDescent="0.15">
      <c r="A678" s="141"/>
      <c r="B678" s="148">
        <v>675</v>
      </c>
      <c r="C678" s="163"/>
      <c r="D678" s="151"/>
      <c r="E678" s="151" t="s">
        <v>367</v>
      </c>
      <c r="F678" s="151" t="s">
        <v>367</v>
      </c>
      <c r="G678" s="151"/>
      <c r="H678" s="151"/>
      <c r="I678" s="151"/>
      <c r="J678" s="151">
        <v>1899</v>
      </c>
      <c r="K678" s="151">
        <v>12</v>
      </c>
    </row>
    <row r="679" spans="1:11" ht="13.5" customHeight="1" x14ac:dyDescent="0.15">
      <c r="A679" s="141"/>
      <c r="B679" s="148">
        <v>676</v>
      </c>
      <c r="C679" s="164"/>
      <c r="D679" s="152"/>
      <c r="E679" s="152" t="s">
        <v>367</v>
      </c>
      <c r="F679" s="152" t="s">
        <v>367</v>
      </c>
      <c r="G679" s="152"/>
      <c r="H679" s="152"/>
      <c r="I679" s="152"/>
      <c r="J679" s="152">
        <v>1899</v>
      </c>
      <c r="K679" s="152">
        <v>12</v>
      </c>
    </row>
    <row r="680" spans="1:11" ht="13.5" customHeight="1" x14ac:dyDescent="0.15">
      <c r="A680" s="141"/>
      <c r="B680" s="148">
        <v>677</v>
      </c>
      <c r="C680" s="163"/>
      <c r="D680" s="151"/>
      <c r="E680" s="151" t="s">
        <v>367</v>
      </c>
      <c r="F680" s="151" t="s">
        <v>367</v>
      </c>
      <c r="G680" s="151"/>
      <c r="H680" s="151"/>
      <c r="I680" s="151"/>
      <c r="J680" s="151">
        <v>1899</v>
      </c>
      <c r="K680" s="151">
        <v>12</v>
      </c>
    </row>
    <row r="681" spans="1:11" ht="13.5" customHeight="1" x14ac:dyDescent="0.15">
      <c r="A681" s="141"/>
      <c r="B681" s="148">
        <v>678</v>
      </c>
      <c r="C681" s="164"/>
      <c r="D681" s="152"/>
      <c r="E681" s="152" t="s">
        <v>367</v>
      </c>
      <c r="F681" s="152" t="s">
        <v>367</v>
      </c>
      <c r="G681" s="152"/>
      <c r="H681" s="152"/>
      <c r="I681" s="152"/>
      <c r="J681" s="152">
        <v>1899</v>
      </c>
      <c r="K681" s="152">
        <v>12</v>
      </c>
    </row>
    <row r="682" spans="1:11" ht="13.5" customHeight="1" x14ac:dyDescent="0.15">
      <c r="A682" s="141"/>
      <c r="B682" s="148">
        <v>679</v>
      </c>
      <c r="C682" s="163"/>
      <c r="D682" s="151"/>
      <c r="E682" s="151" t="s">
        <v>367</v>
      </c>
      <c r="F682" s="151" t="s">
        <v>367</v>
      </c>
      <c r="G682" s="151"/>
      <c r="H682" s="151"/>
      <c r="I682" s="151"/>
      <c r="J682" s="151">
        <v>1899</v>
      </c>
      <c r="K682" s="151">
        <v>12</v>
      </c>
    </row>
    <row r="683" spans="1:11" ht="13.5" customHeight="1" x14ac:dyDescent="0.15">
      <c r="A683" s="141"/>
      <c r="B683" s="148">
        <v>680</v>
      </c>
      <c r="C683" s="164"/>
      <c r="D683" s="152"/>
      <c r="E683" s="152" t="s">
        <v>367</v>
      </c>
      <c r="F683" s="152" t="s">
        <v>367</v>
      </c>
      <c r="G683" s="152"/>
      <c r="H683" s="152"/>
      <c r="I683" s="152"/>
      <c r="J683" s="152">
        <v>1899</v>
      </c>
      <c r="K683" s="152">
        <v>12</v>
      </c>
    </row>
    <row r="684" spans="1:11" ht="13.5" customHeight="1" x14ac:dyDescent="0.15">
      <c r="A684" s="141"/>
      <c r="B684" s="148">
        <v>681</v>
      </c>
      <c r="C684" s="163"/>
      <c r="D684" s="151"/>
      <c r="E684" s="151" t="s">
        <v>367</v>
      </c>
      <c r="F684" s="151" t="s">
        <v>367</v>
      </c>
      <c r="G684" s="151"/>
      <c r="H684" s="151"/>
      <c r="I684" s="151"/>
      <c r="J684" s="151">
        <v>1899</v>
      </c>
      <c r="K684" s="151">
        <v>12</v>
      </c>
    </row>
    <row r="685" spans="1:11" ht="13.5" customHeight="1" x14ac:dyDescent="0.15">
      <c r="A685" s="141"/>
      <c r="B685" s="148">
        <v>682</v>
      </c>
      <c r="C685" s="164"/>
      <c r="D685" s="152"/>
      <c r="E685" s="152" t="s">
        <v>367</v>
      </c>
      <c r="F685" s="152" t="s">
        <v>367</v>
      </c>
      <c r="G685" s="152"/>
      <c r="H685" s="152"/>
      <c r="I685" s="152"/>
      <c r="J685" s="152">
        <v>1899</v>
      </c>
      <c r="K685" s="152">
        <v>12</v>
      </c>
    </row>
    <row r="686" spans="1:11" ht="13.5" customHeight="1" x14ac:dyDescent="0.15">
      <c r="A686" s="141"/>
      <c r="B686" s="148">
        <v>683</v>
      </c>
      <c r="C686" s="163"/>
      <c r="D686" s="151"/>
      <c r="E686" s="151" t="s">
        <v>367</v>
      </c>
      <c r="F686" s="151" t="s">
        <v>367</v>
      </c>
      <c r="G686" s="151"/>
      <c r="H686" s="151"/>
      <c r="I686" s="151"/>
      <c r="J686" s="151">
        <v>1899</v>
      </c>
      <c r="K686" s="151">
        <v>12</v>
      </c>
    </row>
    <row r="687" spans="1:11" ht="13.5" customHeight="1" x14ac:dyDescent="0.15">
      <c r="A687" s="141"/>
      <c r="B687" s="148">
        <v>684</v>
      </c>
      <c r="C687" s="164"/>
      <c r="D687" s="152"/>
      <c r="E687" s="152" t="s">
        <v>367</v>
      </c>
      <c r="F687" s="152" t="s">
        <v>367</v>
      </c>
      <c r="G687" s="152"/>
      <c r="H687" s="152"/>
      <c r="I687" s="152"/>
      <c r="J687" s="152">
        <v>1899</v>
      </c>
      <c r="K687" s="152">
        <v>12</v>
      </c>
    </row>
    <row r="688" spans="1:11" ht="13.5" customHeight="1" x14ac:dyDescent="0.15">
      <c r="A688" s="141"/>
      <c r="B688" s="148">
        <v>685</v>
      </c>
      <c r="C688" s="163"/>
      <c r="D688" s="151"/>
      <c r="E688" s="151" t="s">
        <v>367</v>
      </c>
      <c r="F688" s="151" t="s">
        <v>367</v>
      </c>
      <c r="G688" s="151"/>
      <c r="H688" s="151"/>
      <c r="I688" s="151"/>
      <c r="J688" s="151">
        <v>1899</v>
      </c>
      <c r="K688" s="151">
        <v>12</v>
      </c>
    </row>
    <row r="689" spans="1:11" ht="13.5" customHeight="1" x14ac:dyDescent="0.15">
      <c r="A689" s="141"/>
      <c r="B689" s="148">
        <v>686</v>
      </c>
      <c r="C689" s="164"/>
      <c r="D689" s="152"/>
      <c r="E689" s="152" t="s">
        <v>367</v>
      </c>
      <c r="F689" s="152" t="s">
        <v>367</v>
      </c>
      <c r="G689" s="152"/>
      <c r="H689" s="152"/>
      <c r="I689" s="152"/>
      <c r="J689" s="152">
        <v>1899</v>
      </c>
      <c r="K689" s="152">
        <v>12</v>
      </c>
    </row>
    <row r="690" spans="1:11" ht="13.5" customHeight="1" x14ac:dyDescent="0.15">
      <c r="A690" s="141"/>
      <c r="B690" s="148">
        <v>687</v>
      </c>
      <c r="C690" s="163"/>
      <c r="D690" s="151"/>
      <c r="E690" s="151" t="s">
        <v>367</v>
      </c>
      <c r="F690" s="151" t="s">
        <v>367</v>
      </c>
      <c r="G690" s="151"/>
      <c r="H690" s="151"/>
      <c r="I690" s="151"/>
      <c r="J690" s="151">
        <v>1899</v>
      </c>
      <c r="K690" s="151">
        <v>12</v>
      </c>
    </row>
    <row r="691" spans="1:11" ht="13.5" customHeight="1" x14ac:dyDescent="0.15">
      <c r="A691" s="141"/>
      <c r="B691" s="148">
        <v>688</v>
      </c>
      <c r="C691" s="164"/>
      <c r="D691" s="152"/>
      <c r="E691" s="152" t="s">
        <v>367</v>
      </c>
      <c r="F691" s="152" t="s">
        <v>367</v>
      </c>
      <c r="G691" s="152"/>
      <c r="H691" s="152"/>
      <c r="I691" s="152"/>
      <c r="J691" s="152">
        <v>1899</v>
      </c>
      <c r="K691" s="152">
        <v>12</v>
      </c>
    </row>
    <row r="692" spans="1:11" ht="13.5" customHeight="1" x14ac:dyDescent="0.15">
      <c r="A692" s="141"/>
      <c r="B692" s="148">
        <v>689</v>
      </c>
      <c r="C692" s="163"/>
      <c r="D692" s="151"/>
      <c r="E692" s="151" t="s">
        <v>367</v>
      </c>
      <c r="F692" s="151" t="s">
        <v>367</v>
      </c>
      <c r="G692" s="151"/>
      <c r="H692" s="151"/>
      <c r="I692" s="151"/>
      <c r="J692" s="151">
        <v>1899</v>
      </c>
      <c r="K692" s="151">
        <v>12</v>
      </c>
    </row>
    <row r="693" spans="1:11" ht="13.5" customHeight="1" x14ac:dyDescent="0.15">
      <c r="A693" s="141"/>
      <c r="B693" s="148">
        <v>690</v>
      </c>
      <c r="C693" s="164"/>
      <c r="D693" s="152"/>
      <c r="E693" s="152" t="s">
        <v>367</v>
      </c>
      <c r="F693" s="152" t="s">
        <v>367</v>
      </c>
      <c r="G693" s="152"/>
      <c r="H693" s="152"/>
      <c r="I693" s="152"/>
      <c r="J693" s="152">
        <v>1899</v>
      </c>
      <c r="K693" s="152">
        <v>12</v>
      </c>
    </row>
    <row r="694" spans="1:11" ht="13.5" customHeight="1" x14ac:dyDescent="0.15">
      <c r="A694" s="141"/>
      <c r="B694" s="148">
        <v>691</v>
      </c>
      <c r="C694" s="163"/>
      <c r="D694" s="151"/>
      <c r="E694" s="151" t="s">
        <v>367</v>
      </c>
      <c r="F694" s="151" t="s">
        <v>367</v>
      </c>
      <c r="G694" s="151"/>
      <c r="H694" s="151"/>
      <c r="I694" s="151"/>
      <c r="J694" s="151">
        <v>1899</v>
      </c>
      <c r="K694" s="151">
        <v>12</v>
      </c>
    </row>
    <row r="695" spans="1:11" ht="13.5" customHeight="1" x14ac:dyDescent="0.15">
      <c r="A695" s="141"/>
      <c r="B695" s="148">
        <v>692</v>
      </c>
      <c r="C695" s="164"/>
      <c r="D695" s="152"/>
      <c r="E695" s="152" t="s">
        <v>367</v>
      </c>
      <c r="F695" s="152" t="s">
        <v>367</v>
      </c>
      <c r="G695" s="152"/>
      <c r="H695" s="152"/>
      <c r="I695" s="152"/>
      <c r="J695" s="152">
        <v>1899</v>
      </c>
      <c r="K695" s="152">
        <v>12</v>
      </c>
    </row>
    <row r="696" spans="1:11" ht="13.5" customHeight="1" x14ac:dyDescent="0.15">
      <c r="A696" s="141"/>
      <c r="B696" s="148">
        <v>693</v>
      </c>
      <c r="C696" s="163"/>
      <c r="D696" s="151"/>
      <c r="E696" s="151" t="s">
        <v>367</v>
      </c>
      <c r="F696" s="151" t="s">
        <v>367</v>
      </c>
      <c r="G696" s="151"/>
      <c r="H696" s="151"/>
      <c r="I696" s="151"/>
      <c r="J696" s="151">
        <v>1899</v>
      </c>
      <c r="K696" s="151">
        <v>12</v>
      </c>
    </row>
    <row r="697" spans="1:11" ht="13.5" customHeight="1" x14ac:dyDescent="0.15">
      <c r="A697" s="141"/>
      <c r="B697" s="148">
        <v>694</v>
      </c>
      <c r="C697" s="164"/>
      <c r="D697" s="152"/>
      <c r="E697" s="152" t="s">
        <v>367</v>
      </c>
      <c r="F697" s="152" t="s">
        <v>367</v>
      </c>
      <c r="G697" s="152"/>
      <c r="H697" s="152"/>
      <c r="I697" s="152"/>
      <c r="J697" s="152">
        <v>1899</v>
      </c>
      <c r="K697" s="152">
        <v>12</v>
      </c>
    </row>
    <row r="698" spans="1:11" ht="13.5" customHeight="1" x14ac:dyDescent="0.15">
      <c r="A698" s="141"/>
      <c r="B698" s="148">
        <v>695</v>
      </c>
      <c r="C698" s="163"/>
      <c r="D698" s="151"/>
      <c r="E698" s="151" t="s">
        <v>367</v>
      </c>
      <c r="F698" s="151" t="s">
        <v>367</v>
      </c>
      <c r="G698" s="151"/>
      <c r="H698" s="151"/>
      <c r="I698" s="151"/>
      <c r="J698" s="151">
        <v>1899</v>
      </c>
      <c r="K698" s="151">
        <v>12</v>
      </c>
    </row>
    <row r="699" spans="1:11" ht="13.5" customHeight="1" x14ac:dyDescent="0.15">
      <c r="A699" s="141"/>
      <c r="B699" s="148">
        <v>696</v>
      </c>
      <c r="C699" s="164"/>
      <c r="D699" s="152"/>
      <c r="E699" s="152" t="s">
        <v>367</v>
      </c>
      <c r="F699" s="152" t="s">
        <v>367</v>
      </c>
      <c r="G699" s="152"/>
      <c r="H699" s="152"/>
      <c r="I699" s="152"/>
      <c r="J699" s="152">
        <v>1899</v>
      </c>
      <c r="K699" s="152">
        <v>12</v>
      </c>
    </row>
    <row r="700" spans="1:11" ht="13.5" customHeight="1" x14ac:dyDescent="0.15">
      <c r="A700" s="141"/>
      <c r="B700" s="148">
        <v>697</v>
      </c>
      <c r="C700" s="163"/>
      <c r="D700" s="151"/>
      <c r="E700" s="151" t="s">
        <v>367</v>
      </c>
      <c r="F700" s="151" t="s">
        <v>367</v>
      </c>
      <c r="G700" s="151"/>
      <c r="H700" s="151"/>
      <c r="I700" s="151"/>
      <c r="J700" s="151">
        <v>1899</v>
      </c>
      <c r="K700" s="151">
        <v>12</v>
      </c>
    </row>
    <row r="701" spans="1:11" ht="13.5" customHeight="1" x14ac:dyDescent="0.15">
      <c r="A701" s="141"/>
      <c r="B701" s="148">
        <v>698</v>
      </c>
      <c r="C701" s="164"/>
      <c r="D701" s="152"/>
      <c r="E701" s="152" t="s">
        <v>367</v>
      </c>
      <c r="F701" s="152" t="s">
        <v>367</v>
      </c>
      <c r="G701" s="152"/>
      <c r="H701" s="152"/>
      <c r="I701" s="152"/>
      <c r="J701" s="152">
        <v>1899</v>
      </c>
      <c r="K701" s="152">
        <v>12</v>
      </c>
    </row>
    <row r="702" spans="1:11" ht="13.5" customHeight="1" x14ac:dyDescent="0.15">
      <c r="A702" s="141"/>
      <c r="B702" s="148">
        <v>699</v>
      </c>
      <c r="C702" s="163"/>
      <c r="D702" s="151"/>
      <c r="E702" s="151" t="s">
        <v>367</v>
      </c>
      <c r="F702" s="151" t="s">
        <v>367</v>
      </c>
      <c r="G702" s="151"/>
      <c r="H702" s="151"/>
      <c r="I702" s="151"/>
      <c r="J702" s="151">
        <v>1899</v>
      </c>
      <c r="K702" s="151">
        <v>12</v>
      </c>
    </row>
    <row r="703" spans="1:11" ht="13.5" customHeight="1" x14ac:dyDescent="0.15">
      <c r="A703" s="141"/>
      <c r="B703" s="148">
        <v>700</v>
      </c>
      <c r="C703" s="164"/>
      <c r="D703" s="152"/>
      <c r="E703" s="152" t="s">
        <v>367</v>
      </c>
      <c r="F703" s="152" t="s">
        <v>367</v>
      </c>
      <c r="G703" s="152"/>
      <c r="H703" s="152"/>
      <c r="I703" s="152"/>
      <c r="J703" s="152">
        <v>1899</v>
      </c>
      <c r="K703" s="152">
        <v>12</v>
      </c>
    </row>
    <row r="704" spans="1:11" ht="13.5" customHeight="1" x14ac:dyDescent="0.15">
      <c r="A704" s="141"/>
      <c r="B704" s="148">
        <v>701</v>
      </c>
      <c r="C704" s="163"/>
      <c r="D704" s="151"/>
      <c r="E704" s="151" t="s">
        <v>367</v>
      </c>
      <c r="F704" s="151" t="s">
        <v>367</v>
      </c>
      <c r="G704" s="151"/>
      <c r="H704" s="151"/>
      <c r="I704" s="151"/>
      <c r="J704" s="151">
        <v>1899</v>
      </c>
      <c r="K704" s="151">
        <v>12</v>
      </c>
    </row>
    <row r="705" spans="1:11" ht="13.5" customHeight="1" x14ac:dyDescent="0.15">
      <c r="A705" s="141"/>
      <c r="B705" s="148">
        <v>702</v>
      </c>
      <c r="C705" s="164"/>
      <c r="D705" s="152"/>
      <c r="E705" s="152" t="s">
        <v>367</v>
      </c>
      <c r="F705" s="152" t="s">
        <v>367</v>
      </c>
      <c r="G705" s="152"/>
      <c r="H705" s="152"/>
      <c r="I705" s="152"/>
      <c r="J705" s="152">
        <v>1899</v>
      </c>
      <c r="K705" s="152">
        <v>12</v>
      </c>
    </row>
    <row r="706" spans="1:11" ht="13.5" customHeight="1" x14ac:dyDescent="0.15">
      <c r="A706" s="141"/>
      <c r="B706" s="148">
        <v>703</v>
      </c>
      <c r="C706" s="163"/>
      <c r="D706" s="151"/>
      <c r="E706" s="151" t="s">
        <v>367</v>
      </c>
      <c r="F706" s="151" t="s">
        <v>367</v>
      </c>
      <c r="G706" s="151"/>
      <c r="H706" s="151"/>
      <c r="I706" s="151"/>
      <c r="J706" s="151">
        <v>1899</v>
      </c>
      <c r="K706" s="151">
        <v>12</v>
      </c>
    </row>
    <row r="707" spans="1:11" ht="13.5" customHeight="1" x14ac:dyDescent="0.15">
      <c r="A707" s="141"/>
      <c r="B707" s="148">
        <v>704</v>
      </c>
      <c r="C707" s="164"/>
      <c r="D707" s="152"/>
      <c r="E707" s="152" t="s">
        <v>367</v>
      </c>
      <c r="F707" s="152" t="s">
        <v>367</v>
      </c>
      <c r="G707" s="152"/>
      <c r="H707" s="152"/>
      <c r="I707" s="152"/>
      <c r="J707" s="152">
        <v>1899</v>
      </c>
      <c r="K707" s="152">
        <v>12</v>
      </c>
    </row>
    <row r="708" spans="1:11" ht="13.5" customHeight="1" x14ac:dyDescent="0.15">
      <c r="A708" s="141"/>
      <c r="B708" s="148">
        <v>705</v>
      </c>
      <c r="C708" s="163"/>
      <c r="D708" s="151"/>
      <c r="E708" s="151" t="s">
        <v>367</v>
      </c>
      <c r="F708" s="151" t="s">
        <v>367</v>
      </c>
      <c r="G708" s="151"/>
      <c r="H708" s="151"/>
      <c r="I708" s="151"/>
      <c r="J708" s="151">
        <v>1899</v>
      </c>
      <c r="K708" s="151">
        <v>12</v>
      </c>
    </row>
    <row r="709" spans="1:11" ht="13.5" customHeight="1" x14ac:dyDescent="0.15">
      <c r="A709" s="141"/>
      <c r="B709" s="148">
        <v>706</v>
      </c>
      <c r="C709" s="164"/>
      <c r="D709" s="152"/>
      <c r="E709" s="152" t="s">
        <v>367</v>
      </c>
      <c r="F709" s="152" t="s">
        <v>367</v>
      </c>
      <c r="G709" s="152"/>
      <c r="H709" s="152"/>
      <c r="I709" s="152"/>
      <c r="J709" s="152">
        <v>1899</v>
      </c>
      <c r="K709" s="152">
        <v>12</v>
      </c>
    </row>
    <row r="710" spans="1:11" ht="13.5" customHeight="1" x14ac:dyDescent="0.15">
      <c r="A710" s="141"/>
      <c r="B710" s="148">
        <v>707</v>
      </c>
      <c r="C710" s="163"/>
      <c r="D710" s="151"/>
      <c r="E710" s="151" t="s">
        <v>367</v>
      </c>
      <c r="F710" s="151" t="s">
        <v>367</v>
      </c>
      <c r="G710" s="151"/>
      <c r="H710" s="151"/>
      <c r="I710" s="151"/>
      <c r="J710" s="151">
        <v>1899</v>
      </c>
      <c r="K710" s="151">
        <v>12</v>
      </c>
    </row>
    <row r="711" spans="1:11" ht="13.5" customHeight="1" x14ac:dyDescent="0.15">
      <c r="A711" s="141"/>
      <c r="B711" s="148">
        <v>708</v>
      </c>
      <c r="C711" s="164"/>
      <c r="D711" s="152"/>
      <c r="E711" s="152" t="s">
        <v>367</v>
      </c>
      <c r="F711" s="152" t="s">
        <v>367</v>
      </c>
      <c r="G711" s="152"/>
      <c r="H711" s="152"/>
      <c r="I711" s="152"/>
      <c r="J711" s="152">
        <v>1899</v>
      </c>
      <c r="K711" s="152">
        <v>12</v>
      </c>
    </row>
    <row r="712" spans="1:11" ht="13.5" customHeight="1" x14ac:dyDescent="0.15">
      <c r="A712" s="141"/>
      <c r="B712" s="148">
        <v>709</v>
      </c>
      <c r="C712" s="163"/>
      <c r="D712" s="151"/>
      <c r="E712" s="151" t="s">
        <v>367</v>
      </c>
      <c r="F712" s="151" t="s">
        <v>367</v>
      </c>
      <c r="G712" s="151"/>
      <c r="H712" s="151"/>
      <c r="I712" s="151"/>
      <c r="J712" s="151">
        <v>1899</v>
      </c>
      <c r="K712" s="151">
        <v>12</v>
      </c>
    </row>
    <row r="713" spans="1:11" ht="13.5" customHeight="1" x14ac:dyDescent="0.15">
      <c r="A713" s="141"/>
      <c r="B713" s="148">
        <v>710</v>
      </c>
      <c r="C713" s="164"/>
      <c r="D713" s="152"/>
      <c r="E713" s="152" t="s">
        <v>367</v>
      </c>
      <c r="F713" s="152" t="s">
        <v>367</v>
      </c>
      <c r="G713" s="152"/>
      <c r="H713" s="152"/>
      <c r="I713" s="152"/>
      <c r="J713" s="152">
        <v>1899</v>
      </c>
      <c r="K713" s="152">
        <v>12</v>
      </c>
    </row>
    <row r="714" spans="1:11" ht="13.5" customHeight="1" x14ac:dyDescent="0.15">
      <c r="A714" s="141"/>
      <c r="B714" s="148">
        <v>711</v>
      </c>
      <c r="C714" s="163"/>
      <c r="D714" s="151"/>
      <c r="E714" s="151" t="s">
        <v>367</v>
      </c>
      <c r="F714" s="151" t="s">
        <v>367</v>
      </c>
      <c r="G714" s="151"/>
      <c r="H714" s="151"/>
      <c r="I714" s="151"/>
      <c r="J714" s="151">
        <v>1899</v>
      </c>
      <c r="K714" s="151">
        <v>12</v>
      </c>
    </row>
    <row r="715" spans="1:11" ht="13.5" customHeight="1" x14ac:dyDescent="0.15">
      <c r="A715" s="141"/>
      <c r="B715" s="148">
        <v>712</v>
      </c>
      <c r="C715" s="164"/>
      <c r="D715" s="152"/>
      <c r="E715" s="152" t="s">
        <v>367</v>
      </c>
      <c r="F715" s="152" t="s">
        <v>367</v>
      </c>
      <c r="G715" s="152"/>
      <c r="H715" s="152"/>
      <c r="I715" s="152"/>
      <c r="J715" s="152">
        <v>1899</v>
      </c>
      <c r="K715" s="152">
        <v>12</v>
      </c>
    </row>
    <row r="716" spans="1:11" ht="13.5" customHeight="1" x14ac:dyDescent="0.15">
      <c r="A716" s="141"/>
      <c r="B716" s="148">
        <v>713</v>
      </c>
      <c r="C716" s="163"/>
      <c r="D716" s="151"/>
      <c r="E716" s="151" t="s">
        <v>367</v>
      </c>
      <c r="F716" s="151" t="s">
        <v>367</v>
      </c>
      <c r="G716" s="151"/>
      <c r="H716" s="151"/>
      <c r="I716" s="151"/>
      <c r="J716" s="151">
        <v>1899</v>
      </c>
      <c r="K716" s="151">
        <v>12</v>
      </c>
    </row>
    <row r="717" spans="1:11" ht="13.5" customHeight="1" x14ac:dyDescent="0.15">
      <c r="A717" s="141"/>
      <c r="B717" s="148">
        <v>714</v>
      </c>
      <c r="C717" s="164"/>
      <c r="D717" s="152"/>
      <c r="E717" s="152" t="s">
        <v>367</v>
      </c>
      <c r="F717" s="152" t="s">
        <v>367</v>
      </c>
      <c r="G717" s="152"/>
      <c r="H717" s="152"/>
      <c r="I717" s="152"/>
      <c r="J717" s="152">
        <v>1899</v>
      </c>
      <c r="K717" s="152">
        <v>12</v>
      </c>
    </row>
    <row r="718" spans="1:11" ht="13.5" customHeight="1" x14ac:dyDescent="0.15">
      <c r="A718" s="141"/>
      <c r="B718" s="148">
        <v>715</v>
      </c>
      <c r="C718" s="163"/>
      <c r="D718" s="151"/>
      <c r="E718" s="151" t="s">
        <v>367</v>
      </c>
      <c r="F718" s="151" t="s">
        <v>367</v>
      </c>
      <c r="G718" s="151"/>
      <c r="H718" s="151"/>
      <c r="I718" s="151"/>
      <c r="J718" s="151">
        <v>1899</v>
      </c>
      <c r="K718" s="151">
        <v>12</v>
      </c>
    </row>
    <row r="719" spans="1:11" ht="13.5" customHeight="1" x14ac:dyDescent="0.15">
      <c r="A719" s="141"/>
      <c r="B719" s="148">
        <v>716</v>
      </c>
      <c r="C719" s="164"/>
      <c r="D719" s="152"/>
      <c r="E719" s="152" t="s">
        <v>367</v>
      </c>
      <c r="F719" s="152" t="s">
        <v>367</v>
      </c>
      <c r="G719" s="152"/>
      <c r="H719" s="152"/>
      <c r="I719" s="152"/>
      <c r="J719" s="152">
        <v>1899</v>
      </c>
      <c r="K719" s="152">
        <v>12</v>
      </c>
    </row>
    <row r="720" spans="1:11" ht="13.5" customHeight="1" x14ac:dyDescent="0.15">
      <c r="A720" s="141"/>
      <c r="B720" s="148">
        <v>717</v>
      </c>
      <c r="C720" s="163"/>
      <c r="D720" s="151"/>
      <c r="E720" s="151" t="s">
        <v>367</v>
      </c>
      <c r="F720" s="151" t="s">
        <v>367</v>
      </c>
      <c r="G720" s="151"/>
      <c r="H720" s="151"/>
      <c r="I720" s="151"/>
      <c r="J720" s="151">
        <v>1899</v>
      </c>
      <c r="K720" s="151">
        <v>12</v>
      </c>
    </row>
    <row r="721" spans="1:11" ht="13.5" customHeight="1" x14ac:dyDescent="0.15">
      <c r="A721" s="141"/>
      <c r="B721" s="148">
        <v>718</v>
      </c>
      <c r="C721" s="164"/>
      <c r="D721" s="152"/>
      <c r="E721" s="152" t="s">
        <v>367</v>
      </c>
      <c r="F721" s="152" t="s">
        <v>367</v>
      </c>
      <c r="G721" s="152"/>
      <c r="H721" s="152"/>
      <c r="I721" s="152"/>
      <c r="J721" s="152">
        <v>1899</v>
      </c>
      <c r="K721" s="152">
        <v>12</v>
      </c>
    </row>
    <row r="722" spans="1:11" ht="13.5" customHeight="1" x14ac:dyDescent="0.15">
      <c r="A722" s="141"/>
      <c r="B722" s="148">
        <v>719</v>
      </c>
      <c r="C722" s="163"/>
      <c r="D722" s="151"/>
      <c r="E722" s="151" t="s">
        <v>367</v>
      </c>
      <c r="F722" s="151" t="s">
        <v>367</v>
      </c>
      <c r="G722" s="151"/>
      <c r="H722" s="151"/>
      <c r="I722" s="151"/>
      <c r="J722" s="151">
        <v>1899</v>
      </c>
      <c r="K722" s="151">
        <v>12</v>
      </c>
    </row>
    <row r="723" spans="1:11" ht="13.5" customHeight="1" x14ac:dyDescent="0.15">
      <c r="A723" s="141"/>
      <c r="B723" s="148">
        <v>720</v>
      </c>
      <c r="C723" s="164"/>
      <c r="D723" s="152"/>
      <c r="E723" s="152" t="s">
        <v>367</v>
      </c>
      <c r="F723" s="152" t="s">
        <v>367</v>
      </c>
      <c r="G723" s="152"/>
      <c r="H723" s="152"/>
      <c r="I723" s="152"/>
      <c r="J723" s="152">
        <v>1899</v>
      </c>
      <c r="K723" s="152">
        <v>12</v>
      </c>
    </row>
    <row r="724" spans="1:11" ht="13.5" customHeight="1" x14ac:dyDescent="0.15">
      <c r="A724" s="141"/>
      <c r="B724" s="148">
        <v>721</v>
      </c>
      <c r="C724" s="163"/>
      <c r="D724" s="151"/>
      <c r="E724" s="151" t="s">
        <v>367</v>
      </c>
      <c r="F724" s="151" t="s">
        <v>367</v>
      </c>
      <c r="G724" s="151"/>
      <c r="H724" s="151"/>
      <c r="I724" s="151"/>
      <c r="J724" s="151">
        <v>1899</v>
      </c>
      <c r="K724" s="151">
        <v>12</v>
      </c>
    </row>
    <row r="725" spans="1:11" ht="13.5" customHeight="1" x14ac:dyDescent="0.15">
      <c r="A725" s="141"/>
      <c r="B725" s="148">
        <v>722</v>
      </c>
      <c r="C725" s="164"/>
      <c r="D725" s="152"/>
      <c r="E725" s="152" t="s">
        <v>367</v>
      </c>
      <c r="F725" s="152" t="s">
        <v>367</v>
      </c>
      <c r="G725" s="152"/>
      <c r="H725" s="152"/>
      <c r="I725" s="152"/>
      <c r="J725" s="152">
        <v>1899</v>
      </c>
      <c r="K725" s="152">
        <v>12</v>
      </c>
    </row>
    <row r="726" spans="1:11" ht="13.5" customHeight="1" x14ac:dyDescent="0.15">
      <c r="A726" s="141"/>
      <c r="B726" s="148">
        <v>723</v>
      </c>
      <c r="C726" s="163"/>
      <c r="D726" s="151"/>
      <c r="E726" s="151" t="s">
        <v>367</v>
      </c>
      <c r="F726" s="151" t="s">
        <v>367</v>
      </c>
      <c r="G726" s="151"/>
      <c r="H726" s="151"/>
      <c r="I726" s="151"/>
      <c r="J726" s="151">
        <v>1899</v>
      </c>
      <c r="K726" s="151">
        <v>12</v>
      </c>
    </row>
    <row r="727" spans="1:11" ht="13.5" customHeight="1" x14ac:dyDescent="0.15">
      <c r="A727" s="141"/>
      <c r="B727" s="148">
        <v>724</v>
      </c>
      <c r="C727" s="164"/>
      <c r="D727" s="152"/>
      <c r="E727" s="152" t="s">
        <v>367</v>
      </c>
      <c r="F727" s="152" t="s">
        <v>367</v>
      </c>
      <c r="G727" s="152"/>
      <c r="H727" s="152"/>
      <c r="I727" s="152"/>
      <c r="J727" s="152">
        <v>1899</v>
      </c>
      <c r="K727" s="152">
        <v>12</v>
      </c>
    </row>
    <row r="728" spans="1:11" ht="13.5" customHeight="1" x14ac:dyDescent="0.15">
      <c r="A728" s="141"/>
      <c r="B728" s="148">
        <v>725</v>
      </c>
      <c r="C728" s="163"/>
      <c r="D728" s="151"/>
      <c r="E728" s="151" t="s">
        <v>367</v>
      </c>
      <c r="F728" s="151" t="s">
        <v>367</v>
      </c>
      <c r="G728" s="151"/>
      <c r="H728" s="151"/>
      <c r="I728" s="151"/>
      <c r="J728" s="151">
        <v>1899</v>
      </c>
      <c r="K728" s="151">
        <v>12</v>
      </c>
    </row>
    <row r="729" spans="1:11" ht="13.5" customHeight="1" x14ac:dyDescent="0.15">
      <c r="A729" s="141"/>
      <c r="B729" s="148">
        <v>726</v>
      </c>
      <c r="C729" s="164"/>
      <c r="D729" s="152"/>
      <c r="E729" s="152" t="s">
        <v>367</v>
      </c>
      <c r="F729" s="152" t="s">
        <v>367</v>
      </c>
      <c r="G729" s="152"/>
      <c r="H729" s="152"/>
      <c r="I729" s="152"/>
      <c r="J729" s="152">
        <v>1899</v>
      </c>
      <c r="K729" s="152">
        <v>12</v>
      </c>
    </row>
    <row r="730" spans="1:11" ht="13.5" customHeight="1" x14ac:dyDescent="0.15">
      <c r="A730" s="141"/>
      <c r="B730" s="148">
        <v>727</v>
      </c>
      <c r="C730" s="163"/>
      <c r="D730" s="151"/>
      <c r="E730" s="151" t="s">
        <v>367</v>
      </c>
      <c r="F730" s="151" t="s">
        <v>367</v>
      </c>
      <c r="G730" s="151"/>
      <c r="H730" s="151"/>
      <c r="I730" s="151"/>
      <c r="J730" s="151">
        <v>1899</v>
      </c>
      <c r="K730" s="151">
        <v>12</v>
      </c>
    </row>
    <row r="731" spans="1:11" ht="13.5" customHeight="1" x14ac:dyDescent="0.15">
      <c r="A731" s="141"/>
      <c r="B731" s="148">
        <v>728</v>
      </c>
      <c r="C731" s="164"/>
      <c r="D731" s="152"/>
      <c r="E731" s="152" t="s">
        <v>367</v>
      </c>
      <c r="F731" s="152" t="s">
        <v>367</v>
      </c>
      <c r="G731" s="152"/>
      <c r="H731" s="152"/>
      <c r="I731" s="152"/>
      <c r="J731" s="152">
        <v>1899</v>
      </c>
      <c r="K731" s="152">
        <v>12</v>
      </c>
    </row>
    <row r="732" spans="1:11" ht="13.5" customHeight="1" x14ac:dyDescent="0.15">
      <c r="A732" s="141"/>
      <c r="B732" s="148">
        <v>729</v>
      </c>
      <c r="C732" s="163"/>
      <c r="D732" s="151"/>
      <c r="E732" s="151" t="s">
        <v>367</v>
      </c>
      <c r="F732" s="151" t="s">
        <v>367</v>
      </c>
      <c r="G732" s="151"/>
      <c r="H732" s="151"/>
      <c r="I732" s="151"/>
      <c r="J732" s="151">
        <v>1899</v>
      </c>
      <c r="K732" s="151">
        <v>12</v>
      </c>
    </row>
    <row r="733" spans="1:11" ht="13.5" customHeight="1" x14ac:dyDescent="0.15">
      <c r="A733" s="141"/>
      <c r="B733" s="148">
        <v>730</v>
      </c>
      <c r="C733" s="164"/>
      <c r="D733" s="152"/>
      <c r="E733" s="152" t="s">
        <v>367</v>
      </c>
      <c r="F733" s="152" t="s">
        <v>367</v>
      </c>
      <c r="G733" s="152"/>
      <c r="H733" s="152"/>
      <c r="I733" s="152"/>
      <c r="J733" s="152">
        <v>1899</v>
      </c>
      <c r="K733" s="152">
        <v>12</v>
      </c>
    </row>
    <row r="734" spans="1:11" ht="13.5" customHeight="1" x14ac:dyDescent="0.15">
      <c r="A734" s="141"/>
      <c r="B734" s="148">
        <v>731</v>
      </c>
      <c r="C734" s="163"/>
      <c r="D734" s="151"/>
      <c r="E734" s="151" t="s">
        <v>367</v>
      </c>
      <c r="F734" s="151" t="s">
        <v>367</v>
      </c>
      <c r="G734" s="151"/>
      <c r="H734" s="151"/>
      <c r="I734" s="151"/>
      <c r="J734" s="151">
        <v>1899</v>
      </c>
      <c r="K734" s="151">
        <v>12</v>
      </c>
    </row>
    <row r="735" spans="1:11" ht="13.5" customHeight="1" x14ac:dyDescent="0.15">
      <c r="A735" s="141"/>
      <c r="B735" s="148">
        <v>732</v>
      </c>
      <c r="C735" s="164"/>
      <c r="D735" s="152"/>
      <c r="E735" s="152" t="s">
        <v>367</v>
      </c>
      <c r="F735" s="152" t="s">
        <v>367</v>
      </c>
      <c r="G735" s="152"/>
      <c r="H735" s="152"/>
      <c r="I735" s="152"/>
      <c r="J735" s="152">
        <v>1899</v>
      </c>
      <c r="K735" s="152">
        <v>12</v>
      </c>
    </row>
    <row r="736" spans="1:11" ht="13.5" customHeight="1" x14ac:dyDescent="0.15">
      <c r="A736" s="141"/>
      <c r="B736" s="148">
        <v>733</v>
      </c>
      <c r="C736" s="163"/>
      <c r="D736" s="151"/>
      <c r="E736" s="151" t="s">
        <v>367</v>
      </c>
      <c r="F736" s="151" t="s">
        <v>367</v>
      </c>
      <c r="G736" s="151"/>
      <c r="H736" s="151"/>
      <c r="I736" s="151"/>
      <c r="J736" s="151">
        <v>1899</v>
      </c>
      <c r="K736" s="151">
        <v>12</v>
      </c>
    </row>
    <row r="737" spans="1:11" ht="13.5" customHeight="1" x14ac:dyDescent="0.15">
      <c r="A737" s="141"/>
      <c r="B737" s="148">
        <v>734</v>
      </c>
      <c r="C737" s="164"/>
      <c r="D737" s="152"/>
      <c r="E737" s="152" t="s">
        <v>367</v>
      </c>
      <c r="F737" s="152" t="s">
        <v>367</v>
      </c>
      <c r="G737" s="152"/>
      <c r="H737" s="152"/>
      <c r="I737" s="152"/>
      <c r="J737" s="152">
        <v>1899</v>
      </c>
      <c r="K737" s="152">
        <v>12</v>
      </c>
    </row>
    <row r="738" spans="1:11" ht="13.5" customHeight="1" x14ac:dyDescent="0.15">
      <c r="A738" s="141"/>
      <c r="B738" s="148">
        <v>735</v>
      </c>
      <c r="C738" s="163"/>
      <c r="D738" s="151"/>
      <c r="E738" s="151" t="s">
        <v>367</v>
      </c>
      <c r="F738" s="151" t="s">
        <v>367</v>
      </c>
      <c r="G738" s="151"/>
      <c r="H738" s="151"/>
      <c r="I738" s="151"/>
      <c r="J738" s="151">
        <v>1899</v>
      </c>
      <c r="K738" s="151">
        <v>12</v>
      </c>
    </row>
    <row r="739" spans="1:11" ht="13.5" customHeight="1" x14ac:dyDescent="0.15">
      <c r="A739" s="141"/>
      <c r="B739" s="148">
        <v>736</v>
      </c>
      <c r="C739" s="164"/>
      <c r="D739" s="152"/>
      <c r="E739" s="152" t="s">
        <v>367</v>
      </c>
      <c r="F739" s="152" t="s">
        <v>367</v>
      </c>
      <c r="G739" s="152"/>
      <c r="H739" s="152"/>
      <c r="I739" s="152"/>
      <c r="J739" s="152">
        <v>1899</v>
      </c>
      <c r="K739" s="152">
        <v>12</v>
      </c>
    </row>
    <row r="740" spans="1:11" ht="13.5" customHeight="1" x14ac:dyDescent="0.15">
      <c r="A740" s="141"/>
      <c r="B740" s="148">
        <v>737</v>
      </c>
      <c r="C740" s="163"/>
      <c r="D740" s="151"/>
      <c r="E740" s="151" t="s">
        <v>367</v>
      </c>
      <c r="F740" s="151" t="s">
        <v>367</v>
      </c>
      <c r="G740" s="151"/>
      <c r="H740" s="151"/>
      <c r="I740" s="151"/>
      <c r="J740" s="151">
        <v>1899</v>
      </c>
      <c r="K740" s="151">
        <v>12</v>
      </c>
    </row>
    <row r="741" spans="1:11" ht="13.5" customHeight="1" x14ac:dyDescent="0.15">
      <c r="A741" s="141"/>
      <c r="B741" s="148">
        <v>738</v>
      </c>
      <c r="C741" s="164"/>
      <c r="D741" s="152"/>
      <c r="E741" s="152" t="s">
        <v>367</v>
      </c>
      <c r="F741" s="152" t="s">
        <v>367</v>
      </c>
      <c r="G741" s="152"/>
      <c r="H741" s="152"/>
      <c r="I741" s="152"/>
      <c r="J741" s="152">
        <v>1899</v>
      </c>
      <c r="K741" s="152">
        <v>12</v>
      </c>
    </row>
    <row r="742" spans="1:11" ht="13.5" customHeight="1" x14ac:dyDescent="0.15">
      <c r="A742" s="141"/>
      <c r="B742" s="148">
        <v>739</v>
      </c>
      <c r="C742" s="163"/>
      <c r="D742" s="151"/>
      <c r="E742" s="151" t="s">
        <v>367</v>
      </c>
      <c r="F742" s="151" t="s">
        <v>367</v>
      </c>
      <c r="G742" s="151"/>
      <c r="H742" s="151"/>
      <c r="I742" s="151"/>
      <c r="J742" s="151">
        <v>1899</v>
      </c>
      <c r="K742" s="151">
        <v>12</v>
      </c>
    </row>
    <row r="743" spans="1:11" ht="13.5" customHeight="1" x14ac:dyDescent="0.15">
      <c r="A743" s="141"/>
      <c r="B743" s="148">
        <v>740</v>
      </c>
      <c r="C743" s="164"/>
      <c r="D743" s="152"/>
      <c r="E743" s="152" t="s">
        <v>367</v>
      </c>
      <c r="F743" s="152" t="s">
        <v>367</v>
      </c>
      <c r="G743" s="152"/>
      <c r="H743" s="152"/>
      <c r="I743" s="152"/>
      <c r="J743" s="152">
        <v>1899</v>
      </c>
      <c r="K743" s="152">
        <v>12</v>
      </c>
    </row>
    <row r="744" spans="1:11" ht="13.5" customHeight="1" x14ac:dyDescent="0.15">
      <c r="A744" s="141"/>
      <c r="B744" s="148">
        <v>741</v>
      </c>
      <c r="C744" s="163"/>
      <c r="D744" s="151"/>
      <c r="E744" s="151" t="s">
        <v>367</v>
      </c>
      <c r="F744" s="151" t="s">
        <v>367</v>
      </c>
      <c r="G744" s="151"/>
      <c r="H744" s="151"/>
      <c r="I744" s="151"/>
      <c r="J744" s="151">
        <v>1899</v>
      </c>
      <c r="K744" s="151">
        <v>12</v>
      </c>
    </row>
    <row r="745" spans="1:11" ht="13.5" customHeight="1" x14ac:dyDescent="0.15">
      <c r="A745" s="141"/>
      <c r="B745" s="148">
        <v>742</v>
      </c>
      <c r="C745" s="164"/>
      <c r="D745" s="152"/>
      <c r="E745" s="152" t="s">
        <v>367</v>
      </c>
      <c r="F745" s="152" t="s">
        <v>367</v>
      </c>
      <c r="G745" s="152"/>
      <c r="H745" s="152"/>
      <c r="I745" s="152"/>
      <c r="J745" s="152">
        <v>1899</v>
      </c>
      <c r="K745" s="152">
        <v>12</v>
      </c>
    </row>
    <row r="746" spans="1:11" ht="13.5" customHeight="1" x14ac:dyDescent="0.15">
      <c r="A746" s="141"/>
      <c r="B746" s="148">
        <v>743</v>
      </c>
      <c r="C746" s="163"/>
      <c r="D746" s="151"/>
      <c r="E746" s="151" t="s">
        <v>367</v>
      </c>
      <c r="F746" s="151" t="s">
        <v>367</v>
      </c>
      <c r="G746" s="151"/>
      <c r="H746" s="151"/>
      <c r="I746" s="151"/>
      <c r="J746" s="151">
        <v>1899</v>
      </c>
      <c r="K746" s="151">
        <v>12</v>
      </c>
    </row>
    <row r="747" spans="1:11" ht="13.5" customHeight="1" x14ac:dyDescent="0.15">
      <c r="A747" s="141"/>
      <c r="B747" s="148">
        <v>744</v>
      </c>
      <c r="C747" s="164"/>
      <c r="D747" s="152"/>
      <c r="E747" s="152" t="s">
        <v>367</v>
      </c>
      <c r="F747" s="152" t="s">
        <v>367</v>
      </c>
      <c r="G747" s="152"/>
      <c r="H747" s="152"/>
      <c r="I747" s="152"/>
      <c r="J747" s="152">
        <v>1899</v>
      </c>
      <c r="K747" s="152">
        <v>12</v>
      </c>
    </row>
    <row r="748" spans="1:11" ht="13.5" customHeight="1" x14ac:dyDescent="0.15">
      <c r="A748" s="141"/>
      <c r="B748" s="148">
        <v>745</v>
      </c>
      <c r="C748" s="163"/>
      <c r="D748" s="151"/>
      <c r="E748" s="151" t="s">
        <v>367</v>
      </c>
      <c r="F748" s="151" t="s">
        <v>367</v>
      </c>
      <c r="G748" s="151"/>
      <c r="H748" s="151"/>
      <c r="I748" s="151"/>
      <c r="J748" s="151">
        <v>1899</v>
      </c>
      <c r="K748" s="151">
        <v>12</v>
      </c>
    </row>
    <row r="749" spans="1:11" ht="13.5" customHeight="1" x14ac:dyDescent="0.15">
      <c r="A749" s="141"/>
      <c r="B749" s="148">
        <v>746</v>
      </c>
      <c r="C749" s="164"/>
      <c r="D749" s="152"/>
      <c r="E749" s="152" t="s">
        <v>367</v>
      </c>
      <c r="F749" s="152" t="s">
        <v>367</v>
      </c>
      <c r="G749" s="152"/>
      <c r="H749" s="152"/>
      <c r="I749" s="152"/>
      <c r="J749" s="152">
        <v>1899</v>
      </c>
      <c r="K749" s="152">
        <v>12</v>
      </c>
    </row>
    <row r="750" spans="1:11" ht="13.5" customHeight="1" x14ac:dyDescent="0.15">
      <c r="A750" s="141"/>
      <c r="B750" s="148">
        <v>747</v>
      </c>
      <c r="C750" s="163"/>
      <c r="D750" s="151"/>
      <c r="E750" s="151" t="s">
        <v>367</v>
      </c>
      <c r="F750" s="151" t="s">
        <v>367</v>
      </c>
      <c r="G750" s="151"/>
      <c r="H750" s="151"/>
      <c r="I750" s="151"/>
      <c r="J750" s="151">
        <v>1899</v>
      </c>
      <c r="K750" s="151">
        <v>12</v>
      </c>
    </row>
    <row r="751" spans="1:11" ht="13.5" customHeight="1" x14ac:dyDescent="0.15">
      <c r="A751" s="141"/>
      <c r="B751" s="148">
        <v>748</v>
      </c>
      <c r="C751" s="164"/>
      <c r="D751" s="152"/>
      <c r="E751" s="152" t="s">
        <v>367</v>
      </c>
      <c r="F751" s="152" t="s">
        <v>367</v>
      </c>
      <c r="G751" s="152"/>
      <c r="H751" s="152"/>
      <c r="I751" s="152"/>
      <c r="J751" s="152">
        <v>1899</v>
      </c>
      <c r="K751" s="152">
        <v>12</v>
      </c>
    </row>
    <row r="752" spans="1:11" ht="13.5" customHeight="1" x14ac:dyDescent="0.15">
      <c r="A752" s="141"/>
      <c r="B752" s="148">
        <v>749</v>
      </c>
      <c r="C752" s="163"/>
      <c r="D752" s="151"/>
      <c r="E752" s="151" t="s">
        <v>367</v>
      </c>
      <c r="F752" s="151" t="s">
        <v>367</v>
      </c>
      <c r="G752" s="151"/>
      <c r="H752" s="151"/>
      <c r="I752" s="151"/>
      <c r="J752" s="151">
        <v>1899</v>
      </c>
      <c r="K752" s="151">
        <v>12</v>
      </c>
    </row>
    <row r="753" spans="1:11" ht="13.5" customHeight="1" x14ac:dyDescent="0.15">
      <c r="A753" s="141"/>
      <c r="B753" s="148">
        <v>750</v>
      </c>
      <c r="C753" s="164"/>
      <c r="D753" s="152"/>
      <c r="E753" s="152" t="s">
        <v>367</v>
      </c>
      <c r="F753" s="152" t="s">
        <v>367</v>
      </c>
      <c r="G753" s="152"/>
      <c r="H753" s="152"/>
      <c r="I753" s="152"/>
      <c r="J753" s="152">
        <v>1899</v>
      </c>
      <c r="K753" s="152">
        <v>12</v>
      </c>
    </row>
    <row r="754" spans="1:11" ht="13.5" customHeight="1" x14ac:dyDescent="0.15">
      <c r="A754" s="141"/>
      <c r="B754" s="148">
        <v>751</v>
      </c>
      <c r="C754" s="163"/>
      <c r="D754" s="151"/>
      <c r="E754" s="151" t="s">
        <v>367</v>
      </c>
      <c r="F754" s="151" t="s">
        <v>367</v>
      </c>
      <c r="G754" s="151"/>
      <c r="H754" s="151"/>
      <c r="I754" s="151"/>
      <c r="J754" s="151">
        <v>1899</v>
      </c>
      <c r="K754" s="151">
        <v>12</v>
      </c>
    </row>
    <row r="755" spans="1:11" ht="13.5" customHeight="1" x14ac:dyDescent="0.15">
      <c r="A755" s="141"/>
      <c r="B755" s="148">
        <v>752</v>
      </c>
      <c r="C755" s="164"/>
      <c r="D755" s="152"/>
      <c r="E755" s="152" t="s">
        <v>367</v>
      </c>
      <c r="F755" s="152" t="s">
        <v>367</v>
      </c>
      <c r="G755" s="152"/>
      <c r="H755" s="152"/>
      <c r="I755" s="152"/>
      <c r="J755" s="152">
        <v>1899</v>
      </c>
      <c r="K755" s="152">
        <v>12</v>
      </c>
    </row>
    <row r="756" spans="1:11" ht="13.5" customHeight="1" x14ac:dyDescent="0.15">
      <c r="A756" s="141"/>
      <c r="B756" s="148">
        <v>753</v>
      </c>
      <c r="C756" s="163"/>
      <c r="D756" s="151"/>
      <c r="E756" s="151" t="s">
        <v>367</v>
      </c>
      <c r="F756" s="151" t="s">
        <v>367</v>
      </c>
      <c r="G756" s="151"/>
      <c r="H756" s="151"/>
      <c r="I756" s="151"/>
      <c r="J756" s="151">
        <v>1899</v>
      </c>
      <c r="K756" s="151">
        <v>12</v>
      </c>
    </row>
    <row r="757" spans="1:11" ht="13.5" customHeight="1" x14ac:dyDescent="0.15">
      <c r="A757" s="141"/>
      <c r="B757" s="148">
        <v>754</v>
      </c>
      <c r="C757" s="164"/>
      <c r="D757" s="152"/>
      <c r="E757" s="152" t="s">
        <v>367</v>
      </c>
      <c r="F757" s="152" t="s">
        <v>367</v>
      </c>
      <c r="G757" s="152"/>
      <c r="H757" s="152"/>
      <c r="I757" s="152"/>
      <c r="J757" s="152">
        <v>1899</v>
      </c>
      <c r="K757" s="152">
        <v>12</v>
      </c>
    </row>
    <row r="758" spans="1:11" ht="13.5" customHeight="1" x14ac:dyDescent="0.15">
      <c r="A758" s="141"/>
      <c r="B758" s="148">
        <v>755</v>
      </c>
      <c r="C758" s="163"/>
      <c r="D758" s="151"/>
      <c r="E758" s="151" t="s">
        <v>367</v>
      </c>
      <c r="F758" s="151" t="s">
        <v>367</v>
      </c>
      <c r="G758" s="151"/>
      <c r="H758" s="151"/>
      <c r="I758" s="151"/>
      <c r="J758" s="151">
        <v>1899</v>
      </c>
      <c r="K758" s="151">
        <v>12</v>
      </c>
    </row>
    <row r="759" spans="1:11" ht="13.5" customHeight="1" x14ac:dyDescent="0.15">
      <c r="A759" s="141"/>
      <c r="B759" s="148">
        <v>756</v>
      </c>
      <c r="C759" s="164"/>
      <c r="D759" s="152"/>
      <c r="E759" s="152" t="s">
        <v>367</v>
      </c>
      <c r="F759" s="152" t="s">
        <v>367</v>
      </c>
      <c r="G759" s="152"/>
      <c r="H759" s="152"/>
      <c r="I759" s="152"/>
      <c r="J759" s="152">
        <v>1899</v>
      </c>
      <c r="K759" s="152">
        <v>12</v>
      </c>
    </row>
    <row r="760" spans="1:11" ht="13.5" customHeight="1" x14ac:dyDescent="0.15">
      <c r="A760" s="141"/>
      <c r="B760" s="148">
        <v>757</v>
      </c>
      <c r="C760" s="163"/>
      <c r="D760" s="151"/>
      <c r="E760" s="151" t="s">
        <v>367</v>
      </c>
      <c r="F760" s="151" t="s">
        <v>367</v>
      </c>
      <c r="G760" s="151"/>
      <c r="H760" s="151"/>
      <c r="I760" s="151"/>
      <c r="J760" s="151">
        <v>1899</v>
      </c>
      <c r="K760" s="151">
        <v>12</v>
      </c>
    </row>
    <row r="761" spans="1:11" ht="13.5" customHeight="1" x14ac:dyDescent="0.15">
      <c r="A761" s="141"/>
      <c r="B761" s="148">
        <v>758</v>
      </c>
      <c r="C761" s="164"/>
      <c r="D761" s="152"/>
      <c r="E761" s="152" t="s">
        <v>367</v>
      </c>
      <c r="F761" s="152" t="s">
        <v>367</v>
      </c>
      <c r="G761" s="152"/>
      <c r="H761" s="152"/>
      <c r="I761" s="152"/>
      <c r="J761" s="152">
        <v>1899</v>
      </c>
      <c r="K761" s="152">
        <v>12</v>
      </c>
    </row>
    <row r="762" spans="1:11" ht="13.5" customHeight="1" x14ac:dyDescent="0.15">
      <c r="A762" s="141"/>
      <c r="B762" s="148">
        <v>759</v>
      </c>
      <c r="C762" s="163"/>
      <c r="D762" s="151"/>
      <c r="E762" s="151" t="s">
        <v>367</v>
      </c>
      <c r="F762" s="151" t="s">
        <v>367</v>
      </c>
      <c r="G762" s="151"/>
      <c r="H762" s="151"/>
      <c r="I762" s="151"/>
      <c r="J762" s="151">
        <v>1899</v>
      </c>
      <c r="K762" s="151">
        <v>12</v>
      </c>
    </row>
    <row r="763" spans="1:11" ht="13.5" customHeight="1" x14ac:dyDescent="0.15">
      <c r="A763" s="141"/>
      <c r="B763" s="148">
        <v>760</v>
      </c>
      <c r="C763" s="164"/>
      <c r="D763" s="152"/>
      <c r="E763" s="152" t="s">
        <v>367</v>
      </c>
      <c r="F763" s="152" t="s">
        <v>367</v>
      </c>
      <c r="G763" s="152"/>
      <c r="H763" s="152"/>
      <c r="I763" s="152"/>
      <c r="J763" s="152">
        <v>1899</v>
      </c>
      <c r="K763" s="152">
        <v>12</v>
      </c>
    </row>
    <row r="764" spans="1:11" ht="13.5" customHeight="1" x14ac:dyDescent="0.15">
      <c r="A764" s="141"/>
      <c r="B764" s="148">
        <v>761</v>
      </c>
      <c r="C764" s="163"/>
      <c r="D764" s="151"/>
      <c r="E764" s="151" t="s">
        <v>367</v>
      </c>
      <c r="F764" s="151" t="s">
        <v>367</v>
      </c>
      <c r="G764" s="151"/>
      <c r="H764" s="151"/>
      <c r="I764" s="151"/>
      <c r="J764" s="151">
        <v>1899</v>
      </c>
      <c r="K764" s="151">
        <v>12</v>
      </c>
    </row>
    <row r="765" spans="1:11" ht="13.5" customHeight="1" x14ac:dyDescent="0.15">
      <c r="A765" s="141"/>
      <c r="B765" s="148">
        <v>762</v>
      </c>
      <c r="C765" s="164"/>
      <c r="D765" s="152"/>
      <c r="E765" s="152" t="s">
        <v>367</v>
      </c>
      <c r="F765" s="152" t="s">
        <v>367</v>
      </c>
      <c r="G765" s="152"/>
      <c r="H765" s="152"/>
      <c r="I765" s="152"/>
      <c r="J765" s="152">
        <v>1899</v>
      </c>
      <c r="K765" s="152">
        <v>12</v>
      </c>
    </row>
    <row r="766" spans="1:11" ht="13.5" customHeight="1" x14ac:dyDescent="0.15">
      <c r="A766" s="141"/>
      <c r="B766" s="148">
        <v>763</v>
      </c>
      <c r="C766" s="163"/>
      <c r="D766" s="151"/>
      <c r="E766" s="151" t="s">
        <v>367</v>
      </c>
      <c r="F766" s="151" t="s">
        <v>367</v>
      </c>
      <c r="G766" s="151"/>
      <c r="H766" s="151"/>
      <c r="I766" s="151"/>
      <c r="J766" s="151">
        <v>1899</v>
      </c>
      <c r="K766" s="151">
        <v>12</v>
      </c>
    </row>
    <row r="767" spans="1:11" ht="13.5" customHeight="1" x14ac:dyDescent="0.15">
      <c r="A767" s="141"/>
      <c r="B767" s="148">
        <v>764</v>
      </c>
      <c r="C767" s="164"/>
      <c r="D767" s="152"/>
      <c r="E767" s="152" t="s">
        <v>367</v>
      </c>
      <c r="F767" s="152" t="s">
        <v>367</v>
      </c>
      <c r="G767" s="152"/>
      <c r="H767" s="152"/>
      <c r="I767" s="152"/>
      <c r="J767" s="152">
        <v>1899</v>
      </c>
      <c r="K767" s="152">
        <v>12</v>
      </c>
    </row>
    <row r="768" spans="1:11" ht="13.5" customHeight="1" x14ac:dyDescent="0.15">
      <c r="A768" s="141"/>
      <c r="B768" s="148">
        <v>765</v>
      </c>
      <c r="C768" s="163"/>
      <c r="D768" s="151"/>
      <c r="E768" s="151" t="s">
        <v>367</v>
      </c>
      <c r="F768" s="151" t="s">
        <v>367</v>
      </c>
      <c r="G768" s="151"/>
      <c r="H768" s="151"/>
      <c r="I768" s="151"/>
      <c r="J768" s="151">
        <v>1899</v>
      </c>
      <c r="K768" s="151">
        <v>12</v>
      </c>
    </row>
    <row r="769" spans="1:11" ht="13.5" customHeight="1" x14ac:dyDescent="0.15">
      <c r="A769" s="141"/>
      <c r="B769" s="148">
        <v>766</v>
      </c>
      <c r="C769" s="164"/>
      <c r="D769" s="152"/>
      <c r="E769" s="152" t="s">
        <v>367</v>
      </c>
      <c r="F769" s="152" t="s">
        <v>367</v>
      </c>
      <c r="G769" s="152"/>
      <c r="H769" s="152"/>
      <c r="I769" s="152"/>
      <c r="J769" s="152">
        <v>1899</v>
      </c>
      <c r="K769" s="152">
        <v>12</v>
      </c>
    </row>
    <row r="770" spans="1:11" ht="13.5" customHeight="1" x14ac:dyDescent="0.15">
      <c r="A770" s="141"/>
      <c r="B770" s="148">
        <v>767</v>
      </c>
      <c r="C770" s="163"/>
      <c r="D770" s="151"/>
      <c r="E770" s="151" t="s">
        <v>367</v>
      </c>
      <c r="F770" s="151" t="s">
        <v>367</v>
      </c>
      <c r="G770" s="151"/>
      <c r="H770" s="151"/>
      <c r="I770" s="151"/>
      <c r="J770" s="151">
        <v>1899</v>
      </c>
      <c r="K770" s="151">
        <v>12</v>
      </c>
    </row>
    <row r="771" spans="1:11" ht="13.5" customHeight="1" x14ac:dyDescent="0.15">
      <c r="A771" s="141"/>
      <c r="B771" s="148">
        <v>768</v>
      </c>
      <c r="C771" s="164"/>
      <c r="D771" s="152"/>
      <c r="E771" s="152" t="s">
        <v>367</v>
      </c>
      <c r="F771" s="152" t="s">
        <v>367</v>
      </c>
      <c r="G771" s="152"/>
      <c r="H771" s="152"/>
      <c r="I771" s="152"/>
      <c r="J771" s="152">
        <v>1899</v>
      </c>
      <c r="K771" s="152">
        <v>12</v>
      </c>
    </row>
    <row r="772" spans="1:11" ht="13.5" customHeight="1" x14ac:dyDescent="0.15">
      <c r="A772" s="141"/>
      <c r="B772" s="148">
        <v>769</v>
      </c>
      <c r="C772" s="163"/>
      <c r="D772" s="151"/>
      <c r="E772" s="151" t="s">
        <v>367</v>
      </c>
      <c r="F772" s="151" t="s">
        <v>367</v>
      </c>
      <c r="G772" s="151"/>
      <c r="H772" s="151"/>
      <c r="I772" s="151"/>
      <c r="J772" s="151">
        <v>1899</v>
      </c>
      <c r="K772" s="151">
        <v>12</v>
      </c>
    </row>
    <row r="773" spans="1:11" ht="13.5" customHeight="1" x14ac:dyDescent="0.15">
      <c r="A773" s="141"/>
      <c r="B773" s="148">
        <v>770</v>
      </c>
      <c r="C773" s="164"/>
      <c r="D773" s="152"/>
      <c r="E773" s="152" t="s">
        <v>367</v>
      </c>
      <c r="F773" s="152" t="s">
        <v>367</v>
      </c>
      <c r="G773" s="152"/>
      <c r="H773" s="152"/>
      <c r="I773" s="152"/>
      <c r="J773" s="152">
        <v>1899</v>
      </c>
      <c r="K773" s="152">
        <v>12</v>
      </c>
    </row>
    <row r="774" spans="1:11" ht="13.5" customHeight="1" x14ac:dyDescent="0.15">
      <c r="A774" s="141"/>
      <c r="B774" s="148">
        <v>771</v>
      </c>
      <c r="C774" s="163"/>
      <c r="D774" s="151"/>
      <c r="E774" s="151" t="s">
        <v>367</v>
      </c>
      <c r="F774" s="151" t="s">
        <v>367</v>
      </c>
      <c r="G774" s="151"/>
      <c r="H774" s="151"/>
      <c r="I774" s="151"/>
      <c r="J774" s="151">
        <v>1899</v>
      </c>
      <c r="K774" s="151">
        <v>12</v>
      </c>
    </row>
    <row r="775" spans="1:11" ht="13.5" customHeight="1" x14ac:dyDescent="0.15">
      <c r="A775" s="141"/>
      <c r="B775" s="148">
        <v>772</v>
      </c>
      <c r="C775" s="164"/>
      <c r="D775" s="152"/>
      <c r="E775" s="152" t="s">
        <v>367</v>
      </c>
      <c r="F775" s="152" t="s">
        <v>367</v>
      </c>
      <c r="G775" s="152"/>
      <c r="H775" s="152"/>
      <c r="I775" s="152"/>
      <c r="J775" s="152">
        <v>1899</v>
      </c>
      <c r="K775" s="152">
        <v>12</v>
      </c>
    </row>
    <row r="776" spans="1:11" ht="13.5" customHeight="1" x14ac:dyDescent="0.15">
      <c r="A776" s="141"/>
      <c r="B776" s="148">
        <v>773</v>
      </c>
      <c r="C776" s="163"/>
      <c r="D776" s="151"/>
      <c r="E776" s="151" t="s">
        <v>367</v>
      </c>
      <c r="F776" s="151" t="s">
        <v>367</v>
      </c>
      <c r="G776" s="151"/>
      <c r="H776" s="151"/>
      <c r="I776" s="151"/>
      <c r="J776" s="151">
        <v>1899</v>
      </c>
      <c r="K776" s="151">
        <v>12</v>
      </c>
    </row>
    <row r="777" spans="1:11" ht="13.5" customHeight="1" x14ac:dyDescent="0.15">
      <c r="A777" s="141"/>
      <c r="B777" s="148">
        <v>774</v>
      </c>
      <c r="C777" s="164"/>
      <c r="D777" s="152"/>
      <c r="E777" s="152" t="s">
        <v>367</v>
      </c>
      <c r="F777" s="152" t="s">
        <v>367</v>
      </c>
      <c r="G777" s="152"/>
      <c r="H777" s="152"/>
      <c r="I777" s="152"/>
      <c r="J777" s="152">
        <v>1899</v>
      </c>
      <c r="K777" s="152">
        <v>12</v>
      </c>
    </row>
    <row r="778" spans="1:11" ht="13.5" customHeight="1" x14ac:dyDescent="0.15">
      <c r="A778" s="141"/>
      <c r="B778" s="148">
        <v>775</v>
      </c>
      <c r="C778" s="163"/>
      <c r="D778" s="151"/>
      <c r="E778" s="151" t="s">
        <v>367</v>
      </c>
      <c r="F778" s="151" t="s">
        <v>367</v>
      </c>
      <c r="G778" s="151"/>
      <c r="H778" s="151"/>
      <c r="I778" s="151"/>
      <c r="J778" s="151">
        <v>1899</v>
      </c>
      <c r="K778" s="151">
        <v>12</v>
      </c>
    </row>
    <row r="779" spans="1:11" ht="13.5" customHeight="1" x14ac:dyDescent="0.15">
      <c r="A779" s="141"/>
      <c r="B779" s="148">
        <v>776</v>
      </c>
      <c r="C779" s="164"/>
      <c r="D779" s="152"/>
      <c r="E779" s="152" t="s">
        <v>367</v>
      </c>
      <c r="F779" s="152" t="s">
        <v>367</v>
      </c>
      <c r="G779" s="152"/>
      <c r="H779" s="152"/>
      <c r="I779" s="152"/>
      <c r="J779" s="152">
        <v>1899</v>
      </c>
      <c r="K779" s="152">
        <v>12</v>
      </c>
    </row>
    <row r="780" spans="1:11" ht="13.5" customHeight="1" x14ac:dyDescent="0.15">
      <c r="A780" s="141"/>
      <c r="B780" s="148">
        <v>777</v>
      </c>
      <c r="C780" s="163"/>
      <c r="D780" s="151"/>
      <c r="E780" s="151" t="s">
        <v>367</v>
      </c>
      <c r="F780" s="151" t="s">
        <v>367</v>
      </c>
      <c r="G780" s="151"/>
      <c r="H780" s="151"/>
      <c r="I780" s="151"/>
      <c r="J780" s="151">
        <v>1899</v>
      </c>
      <c r="K780" s="151">
        <v>12</v>
      </c>
    </row>
    <row r="781" spans="1:11" ht="13.5" customHeight="1" x14ac:dyDescent="0.15">
      <c r="A781" s="141"/>
      <c r="B781" s="148">
        <v>778</v>
      </c>
      <c r="C781" s="164"/>
      <c r="D781" s="152"/>
      <c r="E781" s="152" t="s">
        <v>367</v>
      </c>
      <c r="F781" s="152" t="s">
        <v>367</v>
      </c>
      <c r="G781" s="152"/>
      <c r="H781" s="152"/>
      <c r="I781" s="152"/>
      <c r="J781" s="152">
        <v>1899</v>
      </c>
      <c r="K781" s="152">
        <v>12</v>
      </c>
    </row>
    <row r="782" spans="1:11" ht="13.5" customHeight="1" x14ac:dyDescent="0.15">
      <c r="A782" s="141"/>
      <c r="B782" s="148">
        <v>779</v>
      </c>
      <c r="C782" s="163"/>
      <c r="D782" s="151"/>
      <c r="E782" s="151" t="s">
        <v>367</v>
      </c>
      <c r="F782" s="151" t="s">
        <v>367</v>
      </c>
      <c r="G782" s="151"/>
      <c r="H782" s="151"/>
      <c r="I782" s="151"/>
      <c r="J782" s="151">
        <v>1899</v>
      </c>
      <c r="K782" s="151">
        <v>12</v>
      </c>
    </row>
    <row r="783" spans="1:11" ht="13.5" customHeight="1" x14ac:dyDescent="0.15">
      <c r="A783" s="141"/>
      <c r="B783" s="148">
        <v>780</v>
      </c>
      <c r="C783" s="164"/>
      <c r="D783" s="152"/>
      <c r="E783" s="152" t="s">
        <v>367</v>
      </c>
      <c r="F783" s="152" t="s">
        <v>367</v>
      </c>
      <c r="G783" s="152"/>
      <c r="H783" s="152"/>
      <c r="I783" s="152"/>
      <c r="J783" s="152">
        <v>1899</v>
      </c>
      <c r="K783" s="152">
        <v>12</v>
      </c>
    </row>
    <row r="784" spans="1:11" ht="13.5" customHeight="1" x14ac:dyDescent="0.15">
      <c r="A784" s="141"/>
      <c r="B784" s="148">
        <v>781</v>
      </c>
      <c r="C784" s="163"/>
      <c r="D784" s="151"/>
      <c r="E784" s="151" t="s">
        <v>367</v>
      </c>
      <c r="F784" s="151" t="s">
        <v>367</v>
      </c>
      <c r="G784" s="151"/>
      <c r="H784" s="151"/>
      <c r="I784" s="151"/>
      <c r="J784" s="151">
        <v>1899</v>
      </c>
      <c r="K784" s="151">
        <v>12</v>
      </c>
    </row>
    <row r="785" spans="1:11" ht="13.5" customHeight="1" x14ac:dyDescent="0.15">
      <c r="A785" s="141"/>
      <c r="B785" s="148">
        <v>782</v>
      </c>
      <c r="C785" s="164"/>
      <c r="D785" s="152"/>
      <c r="E785" s="152" t="s">
        <v>367</v>
      </c>
      <c r="F785" s="152" t="s">
        <v>367</v>
      </c>
      <c r="G785" s="152"/>
      <c r="H785" s="152"/>
      <c r="I785" s="152"/>
      <c r="J785" s="152">
        <v>1899</v>
      </c>
      <c r="K785" s="152">
        <v>12</v>
      </c>
    </row>
    <row r="786" spans="1:11" ht="13.5" customHeight="1" x14ac:dyDescent="0.15">
      <c r="A786" s="141"/>
      <c r="B786" s="148">
        <v>783</v>
      </c>
      <c r="C786" s="163"/>
      <c r="D786" s="151"/>
      <c r="E786" s="151" t="s">
        <v>367</v>
      </c>
      <c r="F786" s="151" t="s">
        <v>367</v>
      </c>
      <c r="G786" s="151"/>
      <c r="H786" s="151"/>
      <c r="I786" s="151"/>
      <c r="J786" s="151">
        <v>1899</v>
      </c>
      <c r="K786" s="151">
        <v>12</v>
      </c>
    </row>
    <row r="787" spans="1:11" ht="13.5" customHeight="1" x14ac:dyDescent="0.15">
      <c r="A787" s="141"/>
      <c r="B787" s="148">
        <v>784</v>
      </c>
      <c r="C787" s="164"/>
      <c r="D787" s="152"/>
      <c r="E787" s="152" t="s">
        <v>367</v>
      </c>
      <c r="F787" s="152" t="s">
        <v>367</v>
      </c>
      <c r="G787" s="152"/>
      <c r="H787" s="152"/>
      <c r="I787" s="152"/>
      <c r="J787" s="152">
        <v>1899</v>
      </c>
      <c r="K787" s="152">
        <v>12</v>
      </c>
    </row>
    <row r="788" spans="1:11" ht="13.5" customHeight="1" x14ac:dyDescent="0.15">
      <c r="A788" s="141"/>
      <c r="B788" s="148">
        <v>785</v>
      </c>
      <c r="C788" s="163"/>
      <c r="D788" s="151"/>
      <c r="E788" s="151" t="s">
        <v>367</v>
      </c>
      <c r="F788" s="151" t="s">
        <v>367</v>
      </c>
      <c r="G788" s="151"/>
      <c r="H788" s="151"/>
      <c r="I788" s="151"/>
      <c r="J788" s="151">
        <v>1899</v>
      </c>
      <c r="K788" s="151">
        <v>12</v>
      </c>
    </row>
    <row r="789" spans="1:11" ht="13.5" customHeight="1" x14ac:dyDescent="0.15">
      <c r="A789" s="141"/>
      <c r="B789" s="148">
        <v>786</v>
      </c>
      <c r="C789" s="164"/>
      <c r="D789" s="152"/>
      <c r="E789" s="152" t="s">
        <v>367</v>
      </c>
      <c r="F789" s="152" t="s">
        <v>367</v>
      </c>
      <c r="G789" s="152"/>
      <c r="H789" s="152"/>
      <c r="I789" s="152"/>
      <c r="J789" s="152">
        <v>1899</v>
      </c>
      <c r="K789" s="152">
        <v>12</v>
      </c>
    </row>
    <row r="790" spans="1:11" ht="13.5" customHeight="1" x14ac:dyDescent="0.15">
      <c r="A790" s="141"/>
      <c r="B790" s="148">
        <v>787</v>
      </c>
      <c r="C790" s="163"/>
      <c r="D790" s="151"/>
      <c r="E790" s="151" t="s">
        <v>367</v>
      </c>
      <c r="F790" s="151" t="s">
        <v>367</v>
      </c>
      <c r="G790" s="151"/>
      <c r="H790" s="151"/>
      <c r="I790" s="151"/>
      <c r="J790" s="151">
        <v>1899</v>
      </c>
      <c r="K790" s="151">
        <v>12</v>
      </c>
    </row>
    <row r="791" spans="1:11" ht="13.5" customHeight="1" x14ac:dyDescent="0.15">
      <c r="A791" s="141"/>
      <c r="B791" s="148">
        <v>788</v>
      </c>
      <c r="C791" s="164"/>
      <c r="D791" s="152"/>
      <c r="E791" s="152" t="s">
        <v>367</v>
      </c>
      <c r="F791" s="152" t="s">
        <v>367</v>
      </c>
      <c r="G791" s="152"/>
      <c r="H791" s="152"/>
      <c r="I791" s="152"/>
      <c r="J791" s="152">
        <v>1899</v>
      </c>
      <c r="K791" s="152">
        <v>12</v>
      </c>
    </row>
    <row r="792" spans="1:11" ht="13.5" customHeight="1" x14ac:dyDescent="0.15">
      <c r="A792" s="141"/>
      <c r="B792" s="148">
        <v>789</v>
      </c>
      <c r="C792" s="163"/>
      <c r="D792" s="151"/>
      <c r="E792" s="151" t="s">
        <v>367</v>
      </c>
      <c r="F792" s="151" t="s">
        <v>367</v>
      </c>
      <c r="G792" s="151"/>
      <c r="H792" s="151"/>
      <c r="I792" s="151"/>
      <c r="J792" s="151">
        <v>1899</v>
      </c>
      <c r="K792" s="151">
        <v>12</v>
      </c>
    </row>
    <row r="793" spans="1:11" ht="13.5" customHeight="1" x14ac:dyDescent="0.15">
      <c r="A793" s="141"/>
      <c r="B793" s="148">
        <v>790</v>
      </c>
      <c r="C793" s="164"/>
      <c r="D793" s="152"/>
      <c r="E793" s="152" t="s">
        <v>367</v>
      </c>
      <c r="F793" s="152" t="s">
        <v>367</v>
      </c>
      <c r="G793" s="152"/>
      <c r="H793" s="152"/>
      <c r="I793" s="152"/>
      <c r="J793" s="152">
        <v>1899</v>
      </c>
      <c r="K793" s="152">
        <v>12</v>
      </c>
    </row>
    <row r="794" spans="1:11" ht="13.5" customHeight="1" x14ac:dyDescent="0.15">
      <c r="A794" s="141"/>
      <c r="B794" s="148">
        <v>791</v>
      </c>
      <c r="C794" s="163"/>
      <c r="D794" s="151"/>
      <c r="E794" s="151" t="s">
        <v>367</v>
      </c>
      <c r="F794" s="151" t="s">
        <v>367</v>
      </c>
      <c r="G794" s="151"/>
      <c r="H794" s="151"/>
      <c r="I794" s="151"/>
      <c r="J794" s="151">
        <v>1899</v>
      </c>
      <c r="K794" s="151">
        <v>12</v>
      </c>
    </row>
    <row r="795" spans="1:11" ht="13.5" customHeight="1" x14ac:dyDescent="0.15">
      <c r="A795" s="141"/>
      <c r="B795" s="148">
        <v>792</v>
      </c>
      <c r="C795" s="164"/>
      <c r="D795" s="152"/>
      <c r="E795" s="152" t="s">
        <v>367</v>
      </c>
      <c r="F795" s="152" t="s">
        <v>367</v>
      </c>
      <c r="G795" s="152"/>
      <c r="H795" s="152"/>
      <c r="I795" s="152"/>
      <c r="J795" s="152">
        <v>1899</v>
      </c>
      <c r="K795" s="152">
        <v>12</v>
      </c>
    </row>
    <row r="796" spans="1:11" ht="13.5" customHeight="1" x14ac:dyDescent="0.15">
      <c r="A796" s="141"/>
      <c r="B796" s="148">
        <v>793</v>
      </c>
      <c r="C796" s="163"/>
      <c r="D796" s="151"/>
      <c r="E796" s="151" t="s">
        <v>367</v>
      </c>
      <c r="F796" s="151" t="s">
        <v>367</v>
      </c>
      <c r="G796" s="151"/>
      <c r="H796" s="151"/>
      <c r="I796" s="151"/>
      <c r="J796" s="151">
        <v>1899</v>
      </c>
      <c r="K796" s="151">
        <v>12</v>
      </c>
    </row>
    <row r="797" spans="1:11" ht="13.5" customHeight="1" x14ac:dyDescent="0.15">
      <c r="A797" s="141"/>
      <c r="B797" s="148">
        <v>794</v>
      </c>
      <c r="C797" s="164"/>
      <c r="D797" s="152"/>
      <c r="E797" s="152" t="s">
        <v>367</v>
      </c>
      <c r="F797" s="152" t="s">
        <v>367</v>
      </c>
      <c r="G797" s="152"/>
      <c r="H797" s="152"/>
      <c r="I797" s="152"/>
      <c r="J797" s="152">
        <v>1899</v>
      </c>
      <c r="K797" s="152">
        <v>12</v>
      </c>
    </row>
    <row r="798" spans="1:11" ht="13.5" customHeight="1" x14ac:dyDescent="0.15">
      <c r="A798" s="141"/>
      <c r="B798" s="148">
        <v>795</v>
      </c>
      <c r="C798" s="163"/>
      <c r="D798" s="151"/>
      <c r="E798" s="151" t="s">
        <v>367</v>
      </c>
      <c r="F798" s="151" t="s">
        <v>367</v>
      </c>
      <c r="G798" s="151"/>
      <c r="H798" s="151"/>
      <c r="I798" s="151"/>
      <c r="J798" s="151">
        <v>1899</v>
      </c>
      <c r="K798" s="151">
        <v>12</v>
      </c>
    </row>
    <row r="799" spans="1:11" ht="13.5" customHeight="1" x14ac:dyDescent="0.15">
      <c r="A799" s="141"/>
      <c r="B799" s="148">
        <v>796</v>
      </c>
      <c r="C799" s="164"/>
      <c r="D799" s="152"/>
      <c r="E799" s="152" t="s">
        <v>367</v>
      </c>
      <c r="F799" s="152" t="s">
        <v>367</v>
      </c>
      <c r="G799" s="152"/>
      <c r="H799" s="152"/>
      <c r="I799" s="152"/>
      <c r="J799" s="152">
        <v>1899</v>
      </c>
      <c r="K799" s="152">
        <v>12</v>
      </c>
    </row>
    <row r="800" spans="1:11" ht="13.5" customHeight="1" x14ac:dyDescent="0.15">
      <c r="A800" s="141"/>
      <c r="B800" s="148">
        <v>797</v>
      </c>
      <c r="C800" s="163"/>
      <c r="D800" s="151"/>
      <c r="E800" s="151" t="s">
        <v>367</v>
      </c>
      <c r="F800" s="151" t="s">
        <v>367</v>
      </c>
      <c r="G800" s="151"/>
      <c r="H800" s="151"/>
      <c r="I800" s="151"/>
      <c r="J800" s="151">
        <v>1899</v>
      </c>
      <c r="K800" s="151">
        <v>12</v>
      </c>
    </row>
    <row r="801" spans="1:11" ht="13.5" customHeight="1" x14ac:dyDescent="0.15">
      <c r="A801" s="141"/>
      <c r="B801" s="148">
        <v>798</v>
      </c>
      <c r="C801" s="164"/>
      <c r="D801" s="152"/>
      <c r="E801" s="152" t="s">
        <v>367</v>
      </c>
      <c r="F801" s="152" t="s">
        <v>367</v>
      </c>
      <c r="G801" s="152"/>
      <c r="H801" s="152"/>
      <c r="I801" s="152"/>
      <c r="J801" s="152">
        <v>1899</v>
      </c>
      <c r="K801" s="152">
        <v>12</v>
      </c>
    </row>
    <row r="802" spans="1:11" ht="13.5" customHeight="1" x14ac:dyDescent="0.15">
      <c r="A802" s="141"/>
      <c r="B802" s="148">
        <v>799</v>
      </c>
      <c r="C802" s="163"/>
      <c r="D802" s="151"/>
      <c r="E802" s="151" t="s">
        <v>367</v>
      </c>
      <c r="F802" s="151" t="s">
        <v>367</v>
      </c>
      <c r="G802" s="151"/>
      <c r="H802" s="151"/>
      <c r="I802" s="151"/>
      <c r="J802" s="151">
        <v>1899</v>
      </c>
      <c r="K802" s="151">
        <v>12</v>
      </c>
    </row>
    <row r="803" spans="1:11" ht="13.5" customHeight="1" x14ac:dyDescent="0.15">
      <c r="A803" s="141"/>
      <c r="B803" s="148">
        <v>800</v>
      </c>
      <c r="C803" s="164"/>
      <c r="D803" s="152"/>
      <c r="E803" s="152" t="s">
        <v>367</v>
      </c>
      <c r="F803" s="152" t="s">
        <v>367</v>
      </c>
      <c r="G803" s="152"/>
      <c r="H803" s="152"/>
      <c r="I803" s="152"/>
      <c r="J803" s="152">
        <v>1899</v>
      </c>
      <c r="K803" s="152">
        <v>12</v>
      </c>
    </row>
    <row r="804" spans="1:11" ht="13.5" customHeight="1" x14ac:dyDescent="0.15">
      <c r="A804" s="141"/>
      <c r="B804" s="148">
        <v>801</v>
      </c>
      <c r="C804" s="163"/>
      <c r="D804" s="151"/>
      <c r="E804" s="151" t="s">
        <v>367</v>
      </c>
      <c r="F804" s="151" t="s">
        <v>367</v>
      </c>
      <c r="G804" s="151"/>
      <c r="H804" s="151"/>
      <c r="I804" s="151"/>
      <c r="J804" s="151">
        <v>1899</v>
      </c>
      <c r="K804" s="151">
        <v>12</v>
      </c>
    </row>
    <row r="805" spans="1:11" ht="13.5" customHeight="1" x14ac:dyDescent="0.15">
      <c r="A805" s="141"/>
      <c r="B805" s="148">
        <v>802</v>
      </c>
      <c r="C805" s="164"/>
      <c r="D805" s="152"/>
      <c r="E805" s="152" t="s">
        <v>367</v>
      </c>
      <c r="F805" s="152" t="s">
        <v>367</v>
      </c>
      <c r="G805" s="152"/>
      <c r="H805" s="152"/>
      <c r="I805" s="152"/>
      <c r="J805" s="152">
        <v>1899</v>
      </c>
      <c r="K805" s="152">
        <v>12</v>
      </c>
    </row>
    <row r="806" spans="1:11" ht="13.5" customHeight="1" x14ac:dyDescent="0.15">
      <c r="A806" s="141"/>
      <c r="B806" s="148">
        <v>803</v>
      </c>
      <c r="C806" s="163"/>
      <c r="D806" s="151"/>
      <c r="E806" s="151" t="s">
        <v>367</v>
      </c>
      <c r="F806" s="151" t="s">
        <v>367</v>
      </c>
      <c r="G806" s="151"/>
      <c r="H806" s="151"/>
      <c r="I806" s="151"/>
      <c r="J806" s="151">
        <v>1899</v>
      </c>
      <c r="K806" s="151">
        <v>12</v>
      </c>
    </row>
    <row r="807" spans="1:11" ht="13.5" customHeight="1" x14ac:dyDescent="0.15">
      <c r="A807" s="141"/>
      <c r="B807" s="148">
        <v>804</v>
      </c>
      <c r="C807" s="164"/>
      <c r="D807" s="152"/>
      <c r="E807" s="152" t="s">
        <v>367</v>
      </c>
      <c r="F807" s="152" t="s">
        <v>367</v>
      </c>
      <c r="G807" s="152"/>
      <c r="H807" s="152"/>
      <c r="I807" s="152"/>
      <c r="J807" s="152">
        <v>1899</v>
      </c>
      <c r="K807" s="152">
        <v>12</v>
      </c>
    </row>
    <row r="808" spans="1:11" ht="13.5" customHeight="1" x14ac:dyDescent="0.15">
      <c r="A808" s="141"/>
      <c r="B808" s="148">
        <v>805</v>
      </c>
      <c r="C808" s="163"/>
      <c r="D808" s="151"/>
      <c r="E808" s="151" t="s">
        <v>367</v>
      </c>
      <c r="F808" s="151" t="s">
        <v>367</v>
      </c>
      <c r="G808" s="151"/>
      <c r="H808" s="151"/>
      <c r="I808" s="151"/>
      <c r="J808" s="151">
        <v>1899</v>
      </c>
      <c r="K808" s="151">
        <v>12</v>
      </c>
    </row>
    <row r="809" spans="1:11" ht="13.5" customHeight="1" x14ac:dyDescent="0.15">
      <c r="A809" s="141"/>
      <c r="B809" s="148">
        <v>806</v>
      </c>
      <c r="C809" s="164"/>
      <c r="D809" s="152"/>
      <c r="E809" s="152" t="s">
        <v>367</v>
      </c>
      <c r="F809" s="152" t="s">
        <v>367</v>
      </c>
      <c r="G809" s="152"/>
      <c r="H809" s="152"/>
      <c r="I809" s="152"/>
      <c r="J809" s="152">
        <v>1899</v>
      </c>
      <c r="K809" s="152">
        <v>12</v>
      </c>
    </row>
    <row r="810" spans="1:11" ht="13.5" customHeight="1" x14ac:dyDescent="0.15">
      <c r="A810" s="141"/>
      <c r="B810" s="148">
        <v>807</v>
      </c>
      <c r="C810" s="163"/>
      <c r="D810" s="151"/>
      <c r="E810" s="151" t="s">
        <v>367</v>
      </c>
      <c r="F810" s="151" t="s">
        <v>367</v>
      </c>
      <c r="G810" s="151"/>
      <c r="H810" s="151"/>
      <c r="I810" s="151"/>
      <c r="J810" s="151">
        <v>1899</v>
      </c>
      <c r="K810" s="151">
        <v>12</v>
      </c>
    </row>
    <row r="811" spans="1:11" ht="13.5" customHeight="1" x14ac:dyDescent="0.15">
      <c r="A811" s="141"/>
      <c r="B811" s="148">
        <v>808</v>
      </c>
      <c r="C811" s="164"/>
      <c r="D811" s="152"/>
      <c r="E811" s="152" t="s">
        <v>367</v>
      </c>
      <c r="F811" s="152" t="s">
        <v>367</v>
      </c>
      <c r="G811" s="152"/>
      <c r="H811" s="152"/>
      <c r="I811" s="152"/>
      <c r="J811" s="152">
        <v>1899</v>
      </c>
      <c r="K811" s="152">
        <v>12</v>
      </c>
    </row>
    <row r="812" spans="1:11" ht="13.5" customHeight="1" x14ac:dyDescent="0.15">
      <c r="A812" s="141"/>
      <c r="B812" s="148">
        <v>809</v>
      </c>
      <c r="C812" s="163"/>
      <c r="D812" s="151"/>
      <c r="E812" s="151" t="s">
        <v>367</v>
      </c>
      <c r="F812" s="151" t="s">
        <v>367</v>
      </c>
      <c r="G812" s="151"/>
      <c r="H812" s="151"/>
      <c r="I812" s="151"/>
      <c r="J812" s="151">
        <v>1899</v>
      </c>
      <c r="K812" s="151">
        <v>12</v>
      </c>
    </row>
    <row r="813" spans="1:11" ht="13.5" customHeight="1" x14ac:dyDescent="0.15">
      <c r="A813" s="141"/>
      <c r="B813" s="148">
        <v>810</v>
      </c>
      <c r="C813" s="164"/>
      <c r="D813" s="152"/>
      <c r="E813" s="152" t="s">
        <v>367</v>
      </c>
      <c r="F813" s="152" t="s">
        <v>367</v>
      </c>
      <c r="G813" s="152"/>
      <c r="H813" s="152"/>
      <c r="I813" s="152"/>
      <c r="J813" s="152">
        <v>1899</v>
      </c>
      <c r="K813" s="152">
        <v>12</v>
      </c>
    </row>
    <row r="814" spans="1:11" ht="13.5" customHeight="1" x14ac:dyDescent="0.15">
      <c r="A814" s="141"/>
      <c r="B814" s="148">
        <v>811</v>
      </c>
      <c r="C814" s="163"/>
      <c r="D814" s="151"/>
      <c r="E814" s="151" t="s">
        <v>367</v>
      </c>
      <c r="F814" s="151" t="s">
        <v>367</v>
      </c>
      <c r="G814" s="151"/>
      <c r="H814" s="151"/>
      <c r="I814" s="151"/>
      <c r="J814" s="151">
        <v>1899</v>
      </c>
      <c r="K814" s="151">
        <v>12</v>
      </c>
    </row>
    <row r="815" spans="1:11" ht="13.5" customHeight="1" x14ac:dyDescent="0.15">
      <c r="A815" s="141"/>
      <c r="B815" s="148">
        <v>812</v>
      </c>
      <c r="C815" s="164"/>
      <c r="D815" s="152"/>
      <c r="E815" s="152" t="s">
        <v>367</v>
      </c>
      <c r="F815" s="152" t="s">
        <v>367</v>
      </c>
      <c r="G815" s="152"/>
      <c r="H815" s="152"/>
      <c r="I815" s="152"/>
      <c r="J815" s="152">
        <v>1899</v>
      </c>
      <c r="K815" s="152">
        <v>12</v>
      </c>
    </row>
    <row r="816" spans="1:11" ht="13.5" customHeight="1" x14ac:dyDescent="0.15">
      <c r="A816" s="141"/>
      <c r="B816" s="148">
        <v>813</v>
      </c>
      <c r="C816" s="163"/>
      <c r="D816" s="151"/>
      <c r="E816" s="151" t="s">
        <v>367</v>
      </c>
      <c r="F816" s="151" t="s">
        <v>367</v>
      </c>
      <c r="G816" s="151"/>
      <c r="H816" s="151"/>
      <c r="I816" s="151"/>
      <c r="J816" s="151">
        <v>1899</v>
      </c>
      <c r="K816" s="151">
        <v>12</v>
      </c>
    </row>
    <row r="817" spans="1:11" ht="13.5" customHeight="1" x14ac:dyDescent="0.15">
      <c r="A817" s="141"/>
      <c r="B817" s="148">
        <v>814</v>
      </c>
      <c r="C817" s="164"/>
      <c r="D817" s="152"/>
      <c r="E817" s="152" t="s">
        <v>367</v>
      </c>
      <c r="F817" s="152" t="s">
        <v>367</v>
      </c>
      <c r="G817" s="152"/>
      <c r="H817" s="152"/>
      <c r="I817" s="152"/>
      <c r="J817" s="152">
        <v>1899</v>
      </c>
      <c r="K817" s="152">
        <v>12</v>
      </c>
    </row>
    <row r="818" spans="1:11" ht="13.5" customHeight="1" x14ac:dyDescent="0.15">
      <c r="A818" s="141"/>
      <c r="B818" s="148">
        <v>815</v>
      </c>
      <c r="C818" s="163"/>
      <c r="D818" s="151"/>
      <c r="E818" s="151" t="s">
        <v>367</v>
      </c>
      <c r="F818" s="151" t="s">
        <v>367</v>
      </c>
      <c r="G818" s="151"/>
      <c r="H818" s="151"/>
      <c r="I818" s="151"/>
      <c r="J818" s="151">
        <v>1899</v>
      </c>
      <c r="K818" s="151">
        <v>12</v>
      </c>
    </row>
    <row r="819" spans="1:11" ht="13.5" customHeight="1" x14ac:dyDescent="0.15">
      <c r="A819" s="141"/>
      <c r="B819" s="148">
        <v>816</v>
      </c>
      <c r="C819" s="164"/>
      <c r="D819" s="152"/>
      <c r="E819" s="152" t="s">
        <v>367</v>
      </c>
      <c r="F819" s="152" t="s">
        <v>367</v>
      </c>
      <c r="G819" s="152"/>
      <c r="H819" s="152"/>
      <c r="I819" s="152"/>
      <c r="J819" s="152">
        <v>1899</v>
      </c>
      <c r="K819" s="152">
        <v>12</v>
      </c>
    </row>
    <row r="820" spans="1:11" ht="13.5" customHeight="1" x14ac:dyDescent="0.15">
      <c r="A820" s="141"/>
      <c r="B820" s="148">
        <v>817</v>
      </c>
      <c r="C820" s="163"/>
      <c r="D820" s="151"/>
      <c r="E820" s="151" t="s">
        <v>367</v>
      </c>
      <c r="F820" s="151" t="s">
        <v>367</v>
      </c>
      <c r="G820" s="151"/>
      <c r="H820" s="151"/>
      <c r="I820" s="151"/>
      <c r="J820" s="151">
        <v>1899</v>
      </c>
      <c r="K820" s="151">
        <v>12</v>
      </c>
    </row>
    <row r="821" spans="1:11" ht="13.5" customHeight="1" x14ac:dyDescent="0.15">
      <c r="A821" s="141"/>
      <c r="B821" s="148">
        <v>818</v>
      </c>
      <c r="C821" s="164"/>
      <c r="D821" s="152"/>
      <c r="E821" s="152" t="s">
        <v>367</v>
      </c>
      <c r="F821" s="152" t="s">
        <v>367</v>
      </c>
      <c r="G821" s="152"/>
      <c r="H821" s="152"/>
      <c r="I821" s="152"/>
      <c r="J821" s="152">
        <v>1899</v>
      </c>
      <c r="K821" s="152">
        <v>12</v>
      </c>
    </row>
    <row r="822" spans="1:11" ht="13.5" customHeight="1" x14ac:dyDescent="0.15">
      <c r="A822" s="141"/>
      <c r="B822" s="148">
        <v>819</v>
      </c>
      <c r="C822" s="163"/>
      <c r="D822" s="151"/>
      <c r="E822" s="151" t="s">
        <v>367</v>
      </c>
      <c r="F822" s="151" t="s">
        <v>367</v>
      </c>
      <c r="G822" s="151"/>
      <c r="H822" s="151"/>
      <c r="I822" s="151"/>
      <c r="J822" s="151">
        <v>1899</v>
      </c>
      <c r="K822" s="151">
        <v>12</v>
      </c>
    </row>
    <row r="823" spans="1:11" ht="13.5" customHeight="1" x14ac:dyDescent="0.15">
      <c r="A823" s="141"/>
      <c r="B823" s="148">
        <v>820</v>
      </c>
      <c r="C823" s="164"/>
      <c r="D823" s="152"/>
      <c r="E823" s="152" t="s">
        <v>367</v>
      </c>
      <c r="F823" s="152" t="s">
        <v>367</v>
      </c>
      <c r="G823" s="152"/>
      <c r="H823" s="152"/>
      <c r="I823" s="152"/>
      <c r="J823" s="152">
        <v>1899</v>
      </c>
      <c r="K823" s="152">
        <v>12</v>
      </c>
    </row>
    <row r="824" spans="1:11" ht="13.5" customHeight="1" x14ac:dyDescent="0.15">
      <c r="A824" s="141"/>
      <c r="B824" s="148">
        <v>821</v>
      </c>
      <c r="C824" s="163"/>
      <c r="D824" s="151"/>
      <c r="E824" s="151" t="s">
        <v>367</v>
      </c>
      <c r="F824" s="151" t="s">
        <v>367</v>
      </c>
      <c r="G824" s="151"/>
      <c r="H824" s="151"/>
      <c r="I824" s="151"/>
      <c r="J824" s="151">
        <v>1899</v>
      </c>
      <c r="K824" s="151">
        <v>12</v>
      </c>
    </row>
    <row r="825" spans="1:11" ht="13.5" customHeight="1" x14ac:dyDescent="0.15">
      <c r="A825" s="141"/>
      <c r="B825" s="148">
        <v>822</v>
      </c>
      <c r="C825" s="164"/>
      <c r="D825" s="152"/>
      <c r="E825" s="152" t="s">
        <v>367</v>
      </c>
      <c r="F825" s="152" t="s">
        <v>367</v>
      </c>
      <c r="G825" s="152"/>
      <c r="H825" s="152"/>
      <c r="I825" s="152"/>
      <c r="J825" s="152">
        <v>1899</v>
      </c>
      <c r="K825" s="152">
        <v>12</v>
      </c>
    </row>
    <row r="826" spans="1:11" ht="13.5" customHeight="1" x14ac:dyDescent="0.15">
      <c r="A826" s="141"/>
      <c r="B826" s="148">
        <v>823</v>
      </c>
      <c r="C826" s="163"/>
      <c r="D826" s="151"/>
      <c r="E826" s="151" t="s">
        <v>367</v>
      </c>
      <c r="F826" s="151" t="s">
        <v>367</v>
      </c>
      <c r="G826" s="151"/>
      <c r="H826" s="151"/>
      <c r="I826" s="151"/>
      <c r="J826" s="151">
        <v>1899</v>
      </c>
      <c r="K826" s="151">
        <v>12</v>
      </c>
    </row>
    <row r="827" spans="1:11" ht="13.5" customHeight="1" x14ac:dyDescent="0.15">
      <c r="A827" s="141"/>
      <c r="B827" s="148">
        <v>824</v>
      </c>
      <c r="C827" s="164"/>
      <c r="D827" s="152"/>
      <c r="E827" s="152" t="s">
        <v>367</v>
      </c>
      <c r="F827" s="152" t="s">
        <v>367</v>
      </c>
      <c r="G827" s="152"/>
      <c r="H827" s="152"/>
      <c r="I827" s="152"/>
      <c r="J827" s="152">
        <v>1899</v>
      </c>
      <c r="K827" s="152">
        <v>12</v>
      </c>
    </row>
    <row r="828" spans="1:11" ht="13.5" customHeight="1" x14ac:dyDescent="0.15">
      <c r="A828" s="141"/>
      <c r="B828" s="148">
        <v>825</v>
      </c>
      <c r="C828" s="163"/>
      <c r="D828" s="151"/>
      <c r="E828" s="151" t="s">
        <v>367</v>
      </c>
      <c r="F828" s="151" t="s">
        <v>367</v>
      </c>
      <c r="G828" s="151"/>
      <c r="H828" s="151"/>
      <c r="I828" s="151"/>
      <c r="J828" s="151">
        <v>1899</v>
      </c>
      <c r="K828" s="151">
        <v>12</v>
      </c>
    </row>
    <row r="829" spans="1:11" ht="13.5" customHeight="1" x14ac:dyDescent="0.15">
      <c r="A829" s="141"/>
      <c r="B829" s="148">
        <v>826</v>
      </c>
      <c r="C829" s="164"/>
      <c r="D829" s="152"/>
      <c r="E829" s="152" t="s">
        <v>367</v>
      </c>
      <c r="F829" s="152" t="s">
        <v>367</v>
      </c>
      <c r="G829" s="152"/>
      <c r="H829" s="152"/>
      <c r="I829" s="152"/>
      <c r="J829" s="152">
        <v>1899</v>
      </c>
      <c r="K829" s="152">
        <v>12</v>
      </c>
    </row>
    <row r="830" spans="1:11" ht="13.5" customHeight="1" x14ac:dyDescent="0.15">
      <c r="A830" s="141"/>
      <c r="B830" s="148">
        <v>827</v>
      </c>
      <c r="C830" s="163"/>
      <c r="D830" s="151"/>
      <c r="E830" s="151" t="s">
        <v>367</v>
      </c>
      <c r="F830" s="151" t="s">
        <v>367</v>
      </c>
      <c r="G830" s="151"/>
      <c r="H830" s="151"/>
      <c r="I830" s="151"/>
      <c r="J830" s="151">
        <v>1899</v>
      </c>
      <c r="K830" s="151">
        <v>12</v>
      </c>
    </row>
    <row r="831" spans="1:11" ht="13.5" customHeight="1" x14ac:dyDescent="0.15">
      <c r="A831" s="141"/>
      <c r="B831" s="148">
        <v>828</v>
      </c>
      <c r="C831" s="164"/>
      <c r="D831" s="152"/>
      <c r="E831" s="152" t="s">
        <v>367</v>
      </c>
      <c r="F831" s="152" t="s">
        <v>367</v>
      </c>
      <c r="G831" s="152"/>
      <c r="H831" s="152"/>
      <c r="I831" s="152"/>
      <c r="J831" s="152">
        <v>1899</v>
      </c>
      <c r="K831" s="152">
        <v>12</v>
      </c>
    </row>
    <row r="832" spans="1:11" ht="13.5" customHeight="1" x14ac:dyDescent="0.15">
      <c r="A832" s="141"/>
      <c r="B832" s="148">
        <v>829</v>
      </c>
      <c r="C832" s="163"/>
      <c r="D832" s="151"/>
      <c r="E832" s="151" t="s">
        <v>367</v>
      </c>
      <c r="F832" s="151" t="s">
        <v>367</v>
      </c>
      <c r="G832" s="151"/>
      <c r="H832" s="151"/>
      <c r="I832" s="151"/>
      <c r="J832" s="151">
        <v>1899</v>
      </c>
      <c r="K832" s="151">
        <v>12</v>
      </c>
    </row>
    <row r="833" spans="1:11" ht="13.5" customHeight="1" x14ac:dyDescent="0.15">
      <c r="A833" s="141"/>
      <c r="B833" s="148">
        <v>830</v>
      </c>
      <c r="C833" s="164"/>
      <c r="D833" s="152"/>
      <c r="E833" s="152" t="s">
        <v>367</v>
      </c>
      <c r="F833" s="152" t="s">
        <v>367</v>
      </c>
      <c r="G833" s="152"/>
      <c r="H833" s="152"/>
      <c r="I833" s="152"/>
      <c r="J833" s="152">
        <v>1899</v>
      </c>
      <c r="K833" s="152">
        <v>12</v>
      </c>
    </row>
    <row r="834" spans="1:11" ht="13.5" customHeight="1" x14ac:dyDescent="0.15">
      <c r="A834" s="141"/>
      <c r="B834" s="148">
        <v>831</v>
      </c>
      <c r="C834" s="163"/>
      <c r="D834" s="151"/>
      <c r="E834" s="151" t="s">
        <v>367</v>
      </c>
      <c r="F834" s="151" t="s">
        <v>367</v>
      </c>
      <c r="G834" s="151"/>
      <c r="H834" s="151"/>
      <c r="I834" s="151"/>
      <c r="J834" s="151">
        <v>1899</v>
      </c>
      <c r="K834" s="151">
        <v>12</v>
      </c>
    </row>
    <row r="835" spans="1:11" ht="13.5" customHeight="1" x14ac:dyDescent="0.15">
      <c r="A835" s="141"/>
      <c r="B835" s="148">
        <v>832</v>
      </c>
      <c r="C835" s="164"/>
      <c r="D835" s="152"/>
      <c r="E835" s="152" t="s">
        <v>367</v>
      </c>
      <c r="F835" s="152" t="s">
        <v>367</v>
      </c>
      <c r="G835" s="152"/>
      <c r="H835" s="152"/>
      <c r="I835" s="152"/>
      <c r="J835" s="152">
        <v>1899</v>
      </c>
      <c r="K835" s="152">
        <v>12</v>
      </c>
    </row>
    <row r="836" spans="1:11" ht="13.5" customHeight="1" x14ac:dyDescent="0.15">
      <c r="A836" s="141"/>
      <c r="B836" s="148">
        <v>833</v>
      </c>
      <c r="C836" s="163"/>
      <c r="D836" s="151"/>
      <c r="E836" s="151" t="s">
        <v>367</v>
      </c>
      <c r="F836" s="151" t="s">
        <v>367</v>
      </c>
      <c r="G836" s="151"/>
      <c r="H836" s="151"/>
      <c r="I836" s="151"/>
      <c r="J836" s="151">
        <v>1899</v>
      </c>
      <c r="K836" s="151">
        <v>12</v>
      </c>
    </row>
    <row r="837" spans="1:11" ht="13.5" customHeight="1" x14ac:dyDescent="0.15">
      <c r="A837" s="141"/>
      <c r="B837" s="148">
        <v>834</v>
      </c>
      <c r="C837" s="164"/>
      <c r="D837" s="152"/>
      <c r="E837" s="152" t="s">
        <v>367</v>
      </c>
      <c r="F837" s="152" t="s">
        <v>367</v>
      </c>
      <c r="G837" s="152"/>
      <c r="H837" s="152"/>
      <c r="I837" s="152"/>
      <c r="J837" s="152">
        <v>1899</v>
      </c>
      <c r="K837" s="152">
        <v>12</v>
      </c>
    </row>
    <row r="838" spans="1:11" ht="13.5" customHeight="1" x14ac:dyDescent="0.15">
      <c r="A838" s="141"/>
      <c r="B838" s="148">
        <v>835</v>
      </c>
      <c r="C838" s="163"/>
      <c r="D838" s="151"/>
      <c r="E838" s="151" t="s">
        <v>367</v>
      </c>
      <c r="F838" s="151" t="s">
        <v>367</v>
      </c>
      <c r="G838" s="151"/>
      <c r="H838" s="151"/>
      <c r="I838" s="151"/>
      <c r="J838" s="151">
        <v>1899</v>
      </c>
      <c r="K838" s="151">
        <v>12</v>
      </c>
    </row>
    <row r="839" spans="1:11" ht="13.5" customHeight="1" x14ac:dyDescent="0.15">
      <c r="A839" s="141"/>
      <c r="B839" s="148">
        <v>836</v>
      </c>
      <c r="C839" s="164"/>
      <c r="D839" s="152"/>
      <c r="E839" s="152" t="s">
        <v>367</v>
      </c>
      <c r="F839" s="152" t="s">
        <v>367</v>
      </c>
      <c r="G839" s="152"/>
      <c r="H839" s="152"/>
      <c r="I839" s="152"/>
      <c r="J839" s="152">
        <v>1899</v>
      </c>
      <c r="K839" s="152">
        <v>12</v>
      </c>
    </row>
    <row r="840" spans="1:11" ht="13.5" customHeight="1" x14ac:dyDescent="0.15">
      <c r="A840" s="141"/>
      <c r="B840" s="148">
        <v>837</v>
      </c>
      <c r="C840" s="163"/>
      <c r="D840" s="151"/>
      <c r="E840" s="151" t="s">
        <v>367</v>
      </c>
      <c r="F840" s="151" t="s">
        <v>367</v>
      </c>
      <c r="G840" s="151"/>
      <c r="H840" s="151"/>
      <c r="I840" s="151"/>
      <c r="J840" s="151">
        <v>1899</v>
      </c>
      <c r="K840" s="151">
        <v>12</v>
      </c>
    </row>
    <row r="841" spans="1:11" ht="13.5" customHeight="1" x14ac:dyDescent="0.15">
      <c r="A841" s="141"/>
      <c r="B841" s="148">
        <v>838</v>
      </c>
      <c r="C841" s="164"/>
      <c r="D841" s="152"/>
      <c r="E841" s="152" t="s">
        <v>367</v>
      </c>
      <c r="F841" s="152" t="s">
        <v>367</v>
      </c>
      <c r="G841" s="152"/>
      <c r="H841" s="152"/>
      <c r="I841" s="152"/>
      <c r="J841" s="152">
        <v>1899</v>
      </c>
      <c r="K841" s="152">
        <v>12</v>
      </c>
    </row>
    <row r="842" spans="1:11" ht="13.5" customHeight="1" x14ac:dyDescent="0.15">
      <c r="A842" s="141"/>
      <c r="B842" s="148">
        <v>839</v>
      </c>
      <c r="C842" s="163"/>
      <c r="D842" s="151"/>
      <c r="E842" s="151" t="s">
        <v>367</v>
      </c>
      <c r="F842" s="151" t="s">
        <v>367</v>
      </c>
      <c r="G842" s="151"/>
      <c r="H842" s="151"/>
      <c r="I842" s="151"/>
      <c r="J842" s="151">
        <v>1899</v>
      </c>
      <c r="K842" s="151">
        <v>12</v>
      </c>
    </row>
    <row r="843" spans="1:11" ht="13.5" customHeight="1" x14ac:dyDescent="0.15">
      <c r="A843" s="141"/>
      <c r="B843" s="148">
        <v>840</v>
      </c>
      <c r="C843" s="164"/>
      <c r="D843" s="152"/>
      <c r="E843" s="152" t="s">
        <v>367</v>
      </c>
      <c r="F843" s="152" t="s">
        <v>367</v>
      </c>
      <c r="G843" s="152"/>
      <c r="H843" s="152"/>
      <c r="I843" s="152"/>
      <c r="J843" s="152">
        <v>1899</v>
      </c>
      <c r="K843" s="152">
        <v>12</v>
      </c>
    </row>
    <row r="844" spans="1:11" ht="13.5" customHeight="1" x14ac:dyDescent="0.15">
      <c r="A844" s="141"/>
      <c r="B844" s="148">
        <v>841</v>
      </c>
      <c r="C844" s="163"/>
      <c r="D844" s="151"/>
      <c r="E844" s="151" t="s">
        <v>367</v>
      </c>
      <c r="F844" s="151" t="s">
        <v>367</v>
      </c>
      <c r="G844" s="151"/>
      <c r="H844" s="151"/>
      <c r="I844" s="151"/>
      <c r="J844" s="151">
        <v>1899</v>
      </c>
      <c r="K844" s="151">
        <v>12</v>
      </c>
    </row>
    <row r="845" spans="1:11" ht="13.5" customHeight="1" x14ac:dyDescent="0.15">
      <c r="A845" s="141"/>
      <c r="B845" s="148">
        <v>842</v>
      </c>
      <c r="C845" s="164"/>
      <c r="D845" s="152"/>
      <c r="E845" s="152" t="s">
        <v>367</v>
      </c>
      <c r="F845" s="152" t="s">
        <v>367</v>
      </c>
      <c r="G845" s="152"/>
      <c r="H845" s="152"/>
      <c r="I845" s="152"/>
      <c r="J845" s="152">
        <v>1899</v>
      </c>
      <c r="K845" s="152">
        <v>12</v>
      </c>
    </row>
    <row r="846" spans="1:11" ht="13.5" customHeight="1" x14ac:dyDescent="0.15">
      <c r="A846" s="141"/>
      <c r="B846" s="148">
        <v>843</v>
      </c>
      <c r="C846" s="163"/>
      <c r="D846" s="151"/>
      <c r="E846" s="151" t="s">
        <v>367</v>
      </c>
      <c r="F846" s="151" t="s">
        <v>367</v>
      </c>
      <c r="G846" s="151"/>
      <c r="H846" s="151"/>
      <c r="I846" s="151"/>
      <c r="J846" s="151">
        <v>1899</v>
      </c>
      <c r="K846" s="151">
        <v>12</v>
      </c>
    </row>
    <row r="847" spans="1:11" ht="13.5" customHeight="1" x14ac:dyDescent="0.15">
      <c r="A847" s="141"/>
      <c r="B847" s="148">
        <v>844</v>
      </c>
      <c r="C847" s="164"/>
      <c r="D847" s="152"/>
      <c r="E847" s="152" t="s">
        <v>367</v>
      </c>
      <c r="F847" s="152" t="s">
        <v>367</v>
      </c>
      <c r="G847" s="152"/>
      <c r="H847" s="152"/>
      <c r="I847" s="152"/>
      <c r="J847" s="152">
        <v>1899</v>
      </c>
      <c r="K847" s="152">
        <v>12</v>
      </c>
    </row>
    <row r="848" spans="1:11" ht="13.5" customHeight="1" x14ac:dyDescent="0.15">
      <c r="A848" s="141"/>
      <c r="B848" s="148">
        <v>845</v>
      </c>
      <c r="C848" s="163"/>
      <c r="D848" s="151"/>
      <c r="E848" s="151" t="s">
        <v>367</v>
      </c>
      <c r="F848" s="151" t="s">
        <v>367</v>
      </c>
      <c r="G848" s="151"/>
      <c r="H848" s="151"/>
      <c r="I848" s="151"/>
      <c r="J848" s="151">
        <v>1899</v>
      </c>
      <c r="K848" s="151">
        <v>12</v>
      </c>
    </row>
    <row r="849" spans="1:11" ht="13.5" customHeight="1" x14ac:dyDescent="0.15">
      <c r="A849" s="141"/>
      <c r="B849" s="148">
        <v>846</v>
      </c>
      <c r="C849" s="164"/>
      <c r="D849" s="152"/>
      <c r="E849" s="152" t="s">
        <v>367</v>
      </c>
      <c r="F849" s="152" t="s">
        <v>367</v>
      </c>
      <c r="G849" s="152"/>
      <c r="H849" s="152"/>
      <c r="I849" s="152"/>
      <c r="J849" s="152">
        <v>1899</v>
      </c>
      <c r="K849" s="152">
        <v>12</v>
      </c>
    </row>
    <row r="850" spans="1:11" ht="13.5" customHeight="1" x14ac:dyDescent="0.15">
      <c r="A850" s="141"/>
      <c r="B850" s="148">
        <v>847</v>
      </c>
      <c r="C850" s="163"/>
      <c r="D850" s="151"/>
      <c r="E850" s="151" t="s">
        <v>367</v>
      </c>
      <c r="F850" s="151" t="s">
        <v>367</v>
      </c>
      <c r="G850" s="151"/>
      <c r="H850" s="151"/>
      <c r="I850" s="151"/>
      <c r="J850" s="151">
        <v>1899</v>
      </c>
      <c r="K850" s="151">
        <v>12</v>
      </c>
    </row>
    <row r="851" spans="1:11" ht="13.5" customHeight="1" x14ac:dyDescent="0.15">
      <c r="A851" s="141"/>
      <c r="B851" s="148">
        <v>848</v>
      </c>
      <c r="C851" s="164"/>
      <c r="D851" s="152"/>
      <c r="E851" s="152" t="s">
        <v>367</v>
      </c>
      <c r="F851" s="152" t="s">
        <v>367</v>
      </c>
      <c r="G851" s="152"/>
      <c r="H851" s="152"/>
      <c r="I851" s="152"/>
      <c r="J851" s="152">
        <v>1899</v>
      </c>
      <c r="K851" s="152">
        <v>12</v>
      </c>
    </row>
    <row r="852" spans="1:11" ht="13.5" customHeight="1" x14ac:dyDescent="0.15">
      <c r="A852" s="141"/>
      <c r="B852" s="148">
        <v>849</v>
      </c>
      <c r="C852" s="163"/>
      <c r="D852" s="151"/>
      <c r="E852" s="151" t="s">
        <v>367</v>
      </c>
      <c r="F852" s="151" t="s">
        <v>367</v>
      </c>
      <c r="G852" s="151"/>
      <c r="H852" s="151"/>
      <c r="I852" s="151"/>
      <c r="J852" s="151">
        <v>1899</v>
      </c>
      <c r="K852" s="151">
        <v>12</v>
      </c>
    </row>
    <row r="853" spans="1:11" ht="13.5" customHeight="1" x14ac:dyDescent="0.15">
      <c r="A853" s="141"/>
      <c r="B853" s="148">
        <v>850</v>
      </c>
      <c r="C853" s="164"/>
      <c r="D853" s="152"/>
      <c r="E853" s="152" t="s">
        <v>367</v>
      </c>
      <c r="F853" s="152" t="s">
        <v>367</v>
      </c>
      <c r="G853" s="152"/>
      <c r="H853" s="152"/>
      <c r="I853" s="152"/>
      <c r="J853" s="152">
        <v>1899</v>
      </c>
      <c r="K853" s="152">
        <v>12</v>
      </c>
    </row>
    <row r="854" spans="1:11" ht="13.5" customHeight="1" x14ac:dyDescent="0.15">
      <c r="A854" s="141"/>
      <c r="B854" s="148">
        <v>851</v>
      </c>
      <c r="C854" s="163"/>
      <c r="D854" s="151"/>
      <c r="E854" s="151" t="s">
        <v>367</v>
      </c>
      <c r="F854" s="151" t="s">
        <v>367</v>
      </c>
      <c r="G854" s="151"/>
      <c r="H854" s="151"/>
      <c r="I854" s="151"/>
      <c r="J854" s="151">
        <v>1899</v>
      </c>
      <c r="K854" s="151">
        <v>12</v>
      </c>
    </row>
    <row r="855" spans="1:11" ht="13.5" customHeight="1" x14ac:dyDescent="0.15">
      <c r="A855" s="141"/>
      <c r="B855" s="148">
        <v>852</v>
      </c>
      <c r="C855" s="164"/>
      <c r="D855" s="152"/>
      <c r="E855" s="152" t="s">
        <v>367</v>
      </c>
      <c r="F855" s="152" t="s">
        <v>367</v>
      </c>
      <c r="G855" s="152"/>
      <c r="H855" s="152"/>
      <c r="I855" s="152"/>
      <c r="J855" s="152">
        <v>1899</v>
      </c>
      <c r="K855" s="152">
        <v>12</v>
      </c>
    </row>
    <row r="856" spans="1:11" ht="13.5" customHeight="1" x14ac:dyDescent="0.15">
      <c r="A856" s="141"/>
      <c r="B856" s="148">
        <v>853</v>
      </c>
      <c r="C856" s="163"/>
      <c r="D856" s="151"/>
      <c r="E856" s="151" t="s">
        <v>367</v>
      </c>
      <c r="F856" s="151" t="s">
        <v>367</v>
      </c>
      <c r="G856" s="151"/>
      <c r="H856" s="151"/>
      <c r="I856" s="151"/>
      <c r="J856" s="151">
        <v>1899</v>
      </c>
      <c r="K856" s="151">
        <v>12</v>
      </c>
    </row>
    <row r="857" spans="1:11" ht="13.5" customHeight="1" x14ac:dyDescent="0.15">
      <c r="A857" s="141"/>
      <c r="B857" s="148">
        <v>854</v>
      </c>
      <c r="C857" s="164"/>
      <c r="D857" s="152"/>
      <c r="E857" s="152" t="s">
        <v>367</v>
      </c>
      <c r="F857" s="152" t="s">
        <v>367</v>
      </c>
      <c r="G857" s="152"/>
      <c r="H857" s="152"/>
      <c r="I857" s="152"/>
      <c r="J857" s="152">
        <v>1899</v>
      </c>
      <c r="K857" s="152">
        <v>12</v>
      </c>
    </row>
    <row r="858" spans="1:11" ht="13.5" customHeight="1" x14ac:dyDescent="0.15">
      <c r="A858" s="141"/>
      <c r="B858" s="148">
        <v>855</v>
      </c>
      <c r="C858" s="163"/>
      <c r="D858" s="151"/>
      <c r="E858" s="151" t="s">
        <v>367</v>
      </c>
      <c r="F858" s="151" t="s">
        <v>367</v>
      </c>
      <c r="G858" s="151"/>
      <c r="H858" s="151"/>
      <c r="I858" s="151"/>
      <c r="J858" s="151">
        <v>1899</v>
      </c>
      <c r="K858" s="151">
        <v>12</v>
      </c>
    </row>
    <row r="859" spans="1:11" ht="13.5" customHeight="1" x14ac:dyDescent="0.15">
      <c r="A859" s="141"/>
      <c r="B859" s="148">
        <v>856</v>
      </c>
      <c r="C859" s="164"/>
      <c r="D859" s="152"/>
      <c r="E859" s="152" t="s">
        <v>367</v>
      </c>
      <c r="F859" s="152" t="s">
        <v>367</v>
      </c>
      <c r="G859" s="152"/>
      <c r="H859" s="152"/>
      <c r="I859" s="152"/>
      <c r="J859" s="152">
        <v>1899</v>
      </c>
      <c r="K859" s="152">
        <v>12</v>
      </c>
    </row>
    <row r="860" spans="1:11" ht="13.5" customHeight="1" x14ac:dyDescent="0.15">
      <c r="A860" s="141"/>
      <c r="B860" s="148">
        <v>857</v>
      </c>
      <c r="C860" s="163"/>
      <c r="D860" s="151"/>
      <c r="E860" s="151" t="s">
        <v>367</v>
      </c>
      <c r="F860" s="151" t="s">
        <v>367</v>
      </c>
      <c r="G860" s="151"/>
      <c r="H860" s="151"/>
      <c r="I860" s="151"/>
      <c r="J860" s="151">
        <v>1899</v>
      </c>
      <c r="K860" s="151">
        <v>12</v>
      </c>
    </row>
    <row r="861" spans="1:11" ht="13.5" customHeight="1" x14ac:dyDescent="0.15">
      <c r="A861" s="141"/>
      <c r="B861" s="148">
        <v>858</v>
      </c>
      <c r="C861" s="164"/>
      <c r="D861" s="152"/>
      <c r="E861" s="152" t="s">
        <v>367</v>
      </c>
      <c r="F861" s="152" t="s">
        <v>367</v>
      </c>
      <c r="G861" s="152"/>
      <c r="H861" s="152"/>
      <c r="I861" s="152"/>
      <c r="J861" s="152">
        <v>1899</v>
      </c>
      <c r="K861" s="152">
        <v>12</v>
      </c>
    </row>
    <row r="862" spans="1:11" ht="13.5" customHeight="1" x14ac:dyDescent="0.15">
      <c r="A862" s="141"/>
      <c r="B862" s="148">
        <v>859</v>
      </c>
      <c r="C862" s="163"/>
      <c r="D862" s="151"/>
      <c r="E862" s="151" t="s">
        <v>367</v>
      </c>
      <c r="F862" s="151" t="s">
        <v>367</v>
      </c>
      <c r="G862" s="151"/>
      <c r="H862" s="151"/>
      <c r="I862" s="151"/>
      <c r="J862" s="151">
        <v>1899</v>
      </c>
      <c r="K862" s="151">
        <v>12</v>
      </c>
    </row>
    <row r="863" spans="1:11" ht="13.5" customHeight="1" x14ac:dyDescent="0.15">
      <c r="A863" s="141"/>
      <c r="B863" s="148">
        <v>860</v>
      </c>
      <c r="C863" s="164"/>
      <c r="D863" s="152"/>
      <c r="E863" s="152" t="s">
        <v>367</v>
      </c>
      <c r="F863" s="152" t="s">
        <v>367</v>
      </c>
      <c r="G863" s="152"/>
      <c r="H863" s="152"/>
      <c r="I863" s="152"/>
      <c r="J863" s="152">
        <v>1899</v>
      </c>
      <c r="K863" s="152">
        <v>12</v>
      </c>
    </row>
    <row r="864" spans="1:11" ht="13.5" customHeight="1" x14ac:dyDescent="0.15">
      <c r="A864" s="141"/>
      <c r="B864" s="148">
        <v>861</v>
      </c>
      <c r="C864" s="163"/>
      <c r="D864" s="151"/>
      <c r="E864" s="151" t="s">
        <v>367</v>
      </c>
      <c r="F864" s="151" t="s">
        <v>367</v>
      </c>
      <c r="G864" s="151"/>
      <c r="H864" s="151"/>
      <c r="I864" s="151"/>
      <c r="J864" s="151">
        <v>1899</v>
      </c>
      <c r="K864" s="151">
        <v>12</v>
      </c>
    </row>
    <row r="865" spans="1:11" ht="13.5" customHeight="1" x14ac:dyDescent="0.15">
      <c r="A865" s="141"/>
      <c r="B865" s="148">
        <v>862</v>
      </c>
      <c r="C865" s="164"/>
      <c r="D865" s="152"/>
      <c r="E865" s="152" t="s">
        <v>367</v>
      </c>
      <c r="F865" s="152" t="s">
        <v>367</v>
      </c>
      <c r="G865" s="152"/>
      <c r="H865" s="152"/>
      <c r="I865" s="152"/>
      <c r="J865" s="152">
        <v>1899</v>
      </c>
      <c r="K865" s="152">
        <v>12</v>
      </c>
    </row>
    <row r="866" spans="1:11" ht="13.5" customHeight="1" x14ac:dyDescent="0.15">
      <c r="A866" s="141"/>
      <c r="B866" s="148">
        <v>863</v>
      </c>
      <c r="C866" s="163"/>
      <c r="D866" s="151"/>
      <c r="E866" s="151" t="s">
        <v>367</v>
      </c>
      <c r="F866" s="151" t="s">
        <v>367</v>
      </c>
      <c r="G866" s="151"/>
      <c r="H866" s="151"/>
      <c r="I866" s="151"/>
      <c r="J866" s="151">
        <v>1899</v>
      </c>
      <c r="K866" s="151">
        <v>12</v>
      </c>
    </row>
    <row r="867" spans="1:11" ht="13.5" customHeight="1" x14ac:dyDescent="0.15">
      <c r="A867" s="141"/>
      <c r="B867" s="148">
        <v>864</v>
      </c>
      <c r="C867" s="164"/>
      <c r="D867" s="152"/>
      <c r="E867" s="152" t="s">
        <v>367</v>
      </c>
      <c r="F867" s="152" t="s">
        <v>367</v>
      </c>
      <c r="G867" s="152"/>
      <c r="H867" s="152"/>
      <c r="I867" s="152"/>
      <c r="J867" s="152">
        <v>1899</v>
      </c>
      <c r="K867" s="152">
        <v>12</v>
      </c>
    </row>
    <row r="868" spans="1:11" ht="13.5" customHeight="1" x14ac:dyDescent="0.15">
      <c r="A868" s="141"/>
      <c r="B868" s="148">
        <v>865</v>
      </c>
      <c r="C868" s="163"/>
      <c r="D868" s="151"/>
      <c r="E868" s="151" t="s">
        <v>367</v>
      </c>
      <c r="F868" s="151" t="s">
        <v>367</v>
      </c>
      <c r="G868" s="151"/>
      <c r="H868" s="151"/>
      <c r="I868" s="151"/>
      <c r="J868" s="151">
        <v>1899</v>
      </c>
      <c r="K868" s="151">
        <v>12</v>
      </c>
    </row>
    <row r="869" spans="1:11" ht="13.5" customHeight="1" x14ac:dyDescent="0.15">
      <c r="A869" s="141"/>
      <c r="B869" s="148">
        <v>866</v>
      </c>
      <c r="C869" s="164"/>
      <c r="D869" s="152"/>
      <c r="E869" s="152" t="s">
        <v>367</v>
      </c>
      <c r="F869" s="152" t="s">
        <v>367</v>
      </c>
      <c r="G869" s="152"/>
      <c r="H869" s="152"/>
      <c r="I869" s="152"/>
      <c r="J869" s="152">
        <v>1899</v>
      </c>
      <c r="K869" s="152">
        <v>12</v>
      </c>
    </row>
    <row r="870" spans="1:11" ht="13.5" customHeight="1" x14ac:dyDescent="0.15">
      <c r="A870" s="141"/>
      <c r="B870" s="148">
        <v>867</v>
      </c>
      <c r="C870" s="163"/>
      <c r="D870" s="151"/>
      <c r="E870" s="151" t="s">
        <v>367</v>
      </c>
      <c r="F870" s="151" t="s">
        <v>367</v>
      </c>
      <c r="G870" s="151"/>
      <c r="H870" s="151"/>
      <c r="I870" s="151"/>
      <c r="J870" s="151">
        <v>1899</v>
      </c>
      <c r="K870" s="151">
        <v>12</v>
      </c>
    </row>
    <row r="871" spans="1:11" ht="13.5" customHeight="1" x14ac:dyDescent="0.15">
      <c r="A871" s="141"/>
      <c r="B871" s="148">
        <v>868</v>
      </c>
      <c r="C871" s="164"/>
      <c r="D871" s="152"/>
      <c r="E871" s="152" t="s">
        <v>367</v>
      </c>
      <c r="F871" s="152" t="s">
        <v>367</v>
      </c>
      <c r="G871" s="152"/>
      <c r="H871" s="152"/>
      <c r="I871" s="152"/>
      <c r="J871" s="152">
        <v>1899</v>
      </c>
      <c r="K871" s="152">
        <v>12</v>
      </c>
    </row>
    <row r="872" spans="1:11" ht="13.5" customHeight="1" x14ac:dyDescent="0.15">
      <c r="A872" s="141"/>
      <c r="B872" s="148">
        <v>869</v>
      </c>
      <c r="C872" s="163"/>
      <c r="D872" s="151"/>
      <c r="E872" s="151" t="s">
        <v>367</v>
      </c>
      <c r="F872" s="151" t="s">
        <v>367</v>
      </c>
      <c r="G872" s="151"/>
      <c r="H872" s="151"/>
      <c r="I872" s="151"/>
      <c r="J872" s="151">
        <v>1899</v>
      </c>
      <c r="K872" s="151">
        <v>12</v>
      </c>
    </row>
    <row r="873" spans="1:11" ht="13.5" customHeight="1" x14ac:dyDescent="0.15">
      <c r="A873" s="141"/>
      <c r="B873" s="148">
        <v>870</v>
      </c>
      <c r="C873" s="164"/>
      <c r="D873" s="152"/>
      <c r="E873" s="152" t="s">
        <v>367</v>
      </c>
      <c r="F873" s="152" t="s">
        <v>367</v>
      </c>
      <c r="G873" s="152"/>
      <c r="H873" s="152"/>
      <c r="I873" s="152"/>
      <c r="J873" s="152">
        <v>1899</v>
      </c>
      <c r="K873" s="152">
        <v>12</v>
      </c>
    </row>
    <row r="874" spans="1:11" ht="13.5" customHeight="1" x14ac:dyDescent="0.15">
      <c r="A874" s="141"/>
      <c r="B874" s="148">
        <v>871</v>
      </c>
      <c r="C874" s="163"/>
      <c r="D874" s="151"/>
      <c r="E874" s="151" t="s">
        <v>367</v>
      </c>
      <c r="F874" s="151" t="s">
        <v>367</v>
      </c>
      <c r="G874" s="151"/>
      <c r="H874" s="151"/>
      <c r="I874" s="151"/>
      <c r="J874" s="151">
        <v>1899</v>
      </c>
      <c r="K874" s="151">
        <v>12</v>
      </c>
    </row>
    <row r="875" spans="1:11" ht="13.5" customHeight="1" x14ac:dyDescent="0.15">
      <c r="A875" s="141"/>
      <c r="B875" s="148">
        <v>872</v>
      </c>
      <c r="C875" s="164"/>
      <c r="D875" s="152"/>
      <c r="E875" s="152" t="s">
        <v>367</v>
      </c>
      <c r="F875" s="152" t="s">
        <v>367</v>
      </c>
      <c r="G875" s="152"/>
      <c r="H875" s="152"/>
      <c r="I875" s="152"/>
      <c r="J875" s="152">
        <v>1899</v>
      </c>
      <c r="K875" s="152">
        <v>12</v>
      </c>
    </row>
    <row r="876" spans="1:11" ht="13.5" customHeight="1" x14ac:dyDescent="0.15">
      <c r="A876" s="141"/>
      <c r="B876" s="148">
        <v>873</v>
      </c>
      <c r="C876" s="163"/>
      <c r="D876" s="151"/>
      <c r="E876" s="151" t="s">
        <v>367</v>
      </c>
      <c r="F876" s="151" t="s">
        <v>367</v>
      </c>
      <c r="G876" s="151"/>
      <c r="H876" s="151"/>
      <c r="I876" s="151"/>
      <c r="J876" s="151">
        <v>1899</v>
      </c>
      <c r="K876" s="151">
        <v>12</v>
      </c>
    </row>
    <row r="877" spans="1:11" ht="13.5" customHeight="1" x14ac:dyDescent="0.15">
      <c r="A877" s="141"/>
      <c r="B877" s="148">
        <v>874</v>
      </c>
      <c r="C877" s="164"/>
      <c r="D877" s="152"/>
      <c r="E877" s="152" t="s">
        <v>367</v>
      </c>
      <c r="F877" s="152" t="s">
        <v>367</v>
      </c>
      <c r="G877" s="152"/>
      <c r="H877" s="152"/>
      <c r="I877" s="152"/>
      <c r="J877" s="152">
        <v>1899</v>
      </c>
      <c r="K877" s="152">
        <v>12</v>
      </c>
    </row>
    <row r="878" spans="1:11" ht="13.5" customHeight="1" x14ac:dyDescent="0.15">
      <c r="A878" s="141"/>
      <c r="B878" s="148">
        <v>875</v>
      </c>
      <c r="C878" s="163"/>
      <c r="D878" s="151"/>
      <c r="E878" s="151" t="s">
        <v>367</v>
      </c>
      <c r="F878" s="151" t="s">
        <v>367</v>
      </c>
      <c r="G878" s="151"/>
      <c r="H878" s="151"/>
      <c r="I878" s="151"/>
      <c r="J878" s="151">
        <v>1899</v>
      </c>
      <c r="K878" s="151">
        <v>12</v>
      </c>
    </row>
    <row r="879" spans="1:11" ht="13.5" customHeight="1" x14ac:dyDescent="0.15">
      <c r="A879" s="141"/>
      <c r="B879" s="148">
        <v>876</v>
      </c>
      <c r="C879" s="164"/>
      <c r="D879" s="152"/>
      <c r="E879" s="152" t="s">
        <v>367</v>
      </c>
      <c r="F879" s="152" t="s">
        <v>367</v>
      </c>
      <c r="G879" s="152"/>
      <c r="H879" s="152"/>
      <c r="I879" s="152"/>
      <c r="J879" s="152">
        <v>1899</v>
      </c>
      <c r="K879" s="152">
        <v>12</v>
      </c>
    </row>
    <row r="880" spans="1:11" ht="13.5" customHeight="1" x14ac:dyDescent="0.15">
      <c r="A880" s="141"/>
      <c r="B880" s="148">
        <v>877</v>
      </c>
      <c r="C880" s="163"/>
      <c r="D880" s="151"/>
      <c r="E880" s="151" t="s">
        <v>367</v>
      </c>
      <c r="F880" s="151" t="s">
        <v>367</v>
      </c>
      <c r="G880" s="151"/>
      <c r="H880" s="151"/>
      <c r="I880" s="151"/>
      <c r="J880" s="151">
        <v>1899</v>
      </c>
      <c r="K880" s="151">
        <v>12</v>
      </c>
    </row>
    <row r="881" spans="1:11" ht="13.5" customHeight="1" x14ac:dyDescent="0.15">
      <c r="A881" s="141"/>
      <c r="B881" s="148">
        <v>878</v>
      </c>
      <c r="C881" s="164"/>
      <c r="D881" s="152"/>
      <c r="E881" s="152" t="s">
        <v>367</v>
      </c>
      <c r="F881" s="152" t="s">
        <v>367</v>
      </c>
      <c r="G881" s="152"/>
      <c r="H881" s="152"/>
      <c r="I881" s="152"/>
      <c r="J881" s="152">
        <v>1899</v>
      </c>
      <c r="K881" s="152">
        <v>12</v>
      </c>
    </row>
    <row r="882" spans="1:11" ht="13.5" customHeight="1" x14ac:dyDescent="0.15">
      <c r="A882" s="141"/>
      <c r="B882" s="148">
        <v>879</v>
      </c>
      <c r="C882" s="163"/>
      <c r="D882" s="151"/>
      <c r="E882" s="151" t="s">
        <v>367</v>
      </c>
      <c r="F882" s="151" t="s">
        <v>367</v>
      </c>
      <c r="G882" s="151"/>
      <c r="H882" s="151"/>
      <c r="I882" s="151"/>
      <c r="J882" s="151">
        <v>1899</v>
      </c>
      <c r="K882" s="151">
        <v>12</v>
      </c>
    </row>
    <row r="883" spans="1:11" ht="13.5" customHeight="1" x14ac:dyDescent="0.15">
      <c r="A883" s="141"/>
      <c r="B883" s="148">
        <v>880</v>
      </c>
      <c r="C883" s="164"/>
      <c r="D883" s="152"/>
      <c r="E883" s="152" t="s">
        <v>367</v>
      </c>
      <c r="F883" s="152" t="s">
        <v>367</v>
      </c>
      <c r="G883" s="152"/>
      <c r="H883" s="152"/>
      <c r="I883" s="152"/>
      <c r="J883" s="152">
        <v>1899</v>
      </c>
      <c r="K883" s="152">
        <v>12</v>
      </c>
    </row>
    <row r="884" spans="1:11" ht="13.5" customHeight="1" x14ac:dyDescent="0.15">
      <c r="A884" s="141"/>
      <c r="B884" s="148">
        <v>881</v>
      </c>
      <c r="C884" s="163"/>
      <c r="D884" s="151"/>
      <c r="E884" s="151" t="s">
        <v>367</v>
      </c>
      <c r="F884" s="151" t="s">
        <v>367</v>
      </c>
      <c r="G884" s="151"/>
      <c r="H884" s="151"/>
      <c r="I884" s="151"/>
      <c r="J884" s="151">
        <v>1899</v>
      </c>
      <c r="K884" s="151">
        <v>12</v>
      </c>
    </row>
    <row r="885" spans="1:11" ht="13.5" customHeight="1" x14ac:dyDescent="0.15">
      <c r="A885" s="141"/>
      <c r="B885" s="148">
        <v>882</v>
      </c>
      <c r="C885" s="164"/>
      <c r="D885" s="152"/>
      <c r="E885" s="152" t="s">
        <v>367</v>
      </c>
      <c r="F885" s="152" t="s">
        <v>367</v>
      </c>
      <c r="G885" s="152"/>
      <c r="H885" s="152"/>
      <c r="I885" s="152"/>
      <c r="J885" s="152">
        <v>1899</v>
      </c>
      <c r="K885" s="152">
        <v>12</v>
      </c>
    </row>
    <row r="886" spans="1:11" ht="13.5" customHeight="1" x14ac:dyDescent="0.15">
      <c r="A886" s="141"/>
      <c r="B886" s="148">
        <v>883</v>
      </c>
      <c r="C886" s="163"/>
      <c r="D886" s="151"/>
      <c r="E886" s="151" t="s">
        <v>367</v>
      </c>
      <c r="F886" s="151" t="s">
        <v>367</v>
      </c>
      <c r="G886" s="151"/>
      <c r="H886" s="151"/>
      <c r="I886" s="151"/>
      <c r="J886" s="151">
        <v>1899</v>
      </c>
      <c r="K886" s="151">
        <v>12</v>
      </c>
    </row>
    <row r="887" spans="1:11" ht="13.5" customHeight="1" x14ac:dyDescent="0.15">
      <c r="A887" s="141"/>
      <c r="B887" s="148">
        <v>884</v>
      </c>
      <c r="C887" s="164"/>
      <c r="D887" s="152"/>
      <c r="E887" s="152" t="s">
        <v>367</v>
      </c>
      <c r="F887" s="152" t="s">
        <v>367</v>
      </c>
      <c r="G887" s="152"/>
      <c r="H887" s="152"/>
      <c r="I887" s="152"/>
      <c r="J887" s="152">
        <v>1899</v>
      </c>
      <c r="K887" s="152">
        <v>12</v>
      </c>
    </row>
    <row r="888" spans="1:11" ht="13.5" customHeight="1" x14ac:dyDescent="0.15">
      <c r="A888" s="141"/>
      <c r="B888" s="148">
        <v>885</v>
      </c>
      <c r="C888" s="163"/>
      <c r="D888" s="151"/>
      <c r="E888" s="151" t="s">
        <v>367</v>
      </c>
      <c r="F888" s="151" t="s">
        <v>367</v>
      </c>
      <c r="G888" s="151"/>
      <c r="H888" s="151"/>
      <c r="I888" s="151"/>
      <c r="J888" s="151">
        <v>1899</v>
      </c>
      <c r="K888" s="151">
        <v>12</v>
      </c>
    </row>
    <row r="889" spans="1:11" ht="13.5" customHeight="1" x14ac:dyDescent="0.15">
      <c r="A889" s="141"/>
      <c r="B889" s="148">
        <v>886</v>
      </c>
      <c r="C889" s="164"/>
      <c r="D889" s="152"/>
      <c r="E889" s="152" t="s">
        <v>367</v>
      </c>
      <c r="F889" s="152" t="s">
        <v>367</v>
      </c>
      <c r="G889" s="152"/>
      <c r="H889" s="152"/>
      <c r="I889" s="152"/>
      <c r="J889" s="152">
        <v>1899</v>
      </c>
      <c r="K889" s="152">
        <v>12</v>
      </c>
    </row>
    <row r="890" spans="1:11" ht="13.5" customHeight="1" x14ac:dyDescent="0.15">
      <c r="A890" s="141"/>
      <c r="B890" s="148">
        <v>887</v>
      </c>
      <c r="C890" s="163"/>
      <c r="D890" s="151"/>
      <c r="E890" s="151" t="s">
        <v>367</v>
      </c>
      <c r="F890" s="151" t="s">
        <v>367</v>
      </c>
      <c r="G890" s="151"/>
      <c r="H890" s="151"/>
      <c r="I890" s="151"/>
      <c r="J890" s="151">
        <v>1899</v>
      </c>
      <c r="K890" s="151">
        <v>12</v>
      </c>
    </row>
    <row r="891" spans="1:11" ht="13.5" customHeight="1" x14ac:dyDescent="0.15">
      <c r="A891" s="141"/>
      <c r="B891" s="148">
        <v>888</v>
      </c>
      <c r="C891" s="164"/>
      <c r="D891" s="152"/>
      <c r="E891" s="152" t="s">
        <v>367</v>
      </c>
      <c r="F891" s="152" t="s">
        <v>367</v>
      </c>
      <c r="G891" s="152"/>
      <c r="H891" s="152"/>
      <c r="I891" s="152"/>
      <c r="J891" s="152">
        <v>1899</v>
      </c>
      <c r="K891" s="152">
        <v>12</v>
      </c>
    </row>
    <row r="892" spans="1:11" ht="13.5" customHeight="1" x14ac:dyDescent="0.15">
      <c r="A892" s="141"/>
      <c r="B892" s="165">
        <v>889</v>
      </c>
      <c r="C892" s="166"/>
      <c r="D892" s="153"/>
      <c r="E892" s="153" t="s">
        <v>367</v>
      </c>
      <c r="F892" s="153" t="s">
        <v>367</v>
      </c>
      <c r="G892" s="153"/>
      <c r="H892" s="153"/>
      <c r="I892" s="153"/>
      <c r="J892" s="153">
        <v>1899</v>
      </c>
      <c r="K892" s="153">
        <v>12</v>
      </c>
    </row>
    <row r="893" spans="1:11" ht="13.5" customHeight="1" x14ac:dyDescent="0.15">
      <c r="A893" s="141"/>
      <c r="B893" s="165">
        <v>890</v>
      </c>
      <c r="C893" s="166"/>
      <c r="D893" s="153"/>
      <c r="E893" s="153" t="s">
        <v>367</v>
      </c>
      <c r="F893" s="153" t="s">
        <v>367</v>
      </c>
      <c r="G893" s="153"/>
      <c r="H893" s="153"/>
      <c r="I893" s="153"/>
      <c r="J893" s="153">
        <v>1899</v>
      </c>
      <c r="K893" s="153">
        <v>12</v>
      </c>
    </row>
    <row r="894" spans="1:11" ht="13.5" customHeight="1" x14ac:dyDescent="0.15">
      <c r="A894" s="141"/>
      <c r="B894" s="165">
        <v>891</v>
      </c>
      <c r="C894" s="166"/>
      <c r="D894" s="153"/>
      <c r="E894" s="153" t="s">
        <v>367</v>
      </c>
      <c r="F894" s="153" t="s">
        <v>367</v>
      </c>
      <c r="G894" s="153"/>
      <c r="H894" s="153"/>
      <c r="I894" s="153"/>
      <c r="J894" s="153">
        <v>1899</v>
      </c>
      <c r="K894" s="153">
        <v>12</v>
      </c>
    </row>
    <row r="895" spans="1:11" ht="13.5" customHeight="1" x14ac:dyDescent="0.15">
      <c r="A895" s="141"/>
      <c r="B895" s="165">
        <v>892</v>
      </c>
      <c r="C895" s="166"/>
      <c r="D895" s="153"/>
      <c r="E895" s="153" t="s">
        <v>367</v>
      </c>
      <c r="F895" s="153" t="s">
        <v>367</v>
      </c>
      <c r="G895" s="153"/>
      <c r="H895" s="153"/>
      <c r="I895" s="153"/>
      <c r="J895" s="153">
        <v>1899</v>
      </c>
      <c r="K895" s="153">
        <v>12</v>
      </c>
    </row>
    <row r="896" spans="1:11" ht="13.5" customHeight="1" x14ac:dyDescent="0.15">
      <c r="A896" s="141"/>
      <c r="B896" s="165">
        <v>893</v>
      </c>
      <c r="C896" s="166"/>
      <c r="D896" s="153"/>
      <c r="E896" s="153" t="s">
        <v>367</v>
      </c>
      <c r="F896" s="153" t="s">
        <v>367</v>
      </c>
      <c r="G896" s="153"/>
      <c r="H896" s="153"/>
      <c r="I896" s="153"/>
      <c r="J896" s="153">
        <v>1899</v>
      </c>
      <c r="K896" s="153">
        <v>12</v>
      </c>
    </row>
    <row r="897" spans="1:11" ht="13.5" customHeight="1" x14ac:dyDescent="0.15">
      <c r="A897" s="141"/>
      <c r="B897" s="165">
        <v>894</v>
      </c>
      <c r="C897" s="166"/>
      <c r="D897" s="153"/>
      <c r="E897" s="153" t="s">
        <v>367</v>
      </c>
      <c r="F897" s="153" t="s">
        <v>367</v>
      </c>
      <c r="G897" s="153"/>
      <c r="H897" s="153"/>
      <c r="I897" s="153"/>
      <c r="J897" s="153">
        <v>1899</v>
      </c>
      <c r="K897" s="153">
        <v>12</v>
      </c>
    </row>
    <row r="898" spans="1:11" ht="13.5" customHeight="1" x14ac:dyDescent="0.15">
      <c r="A898" s="141"/>
      <c r="B898" s="165">
        <v>895</v>
      </c>
      <c r="C898" s="166"/>
      <c r="D898" s="153"/>
      <c r="E898" s="153" t="s">
        <v>367</v>
      </c>
      <c r="F898" s="153" t="s">
        <v>367</v>
      </c>
      <c r="G898" s="153"/>
      <c r="H898" s="153"/>
      <c r="I898" s="153"/>
      <c r="J898" s="153">
        <v>1899</v>
      </c>
      <c r="K898" s="153">
        <v>12</v>
      </c>
    </row>
    <row r="899" spans="1:11" ht="13.5" customHeight="1" x14ac:dyDescent="0.15">
      <c r="A899" s="141"/>
      <c r="B899" s="165">
        <v>896</v>
      </c>
      <c r="C899" s="166"/>
      <c r="D899" s="153"/>
      <c r="E899" s="153" t="s">
        <v>367</v>
      </c>
      <c r="F899" s="153" t="s">
        <v>367</v>
      </c>
      <c r="G899" s="153"/>
      <c r="H899" s="153"/>
      <c r="I899" s="153"/>
      <c r="J899" s="153">
        <v>1899</v>
      </c>
      <c r="K899" s="153">
        <v>12</v>
      </c>
    </row>
    <row r="900" spans="1:11" ht="13.5" customHeight="1" x14ac:dyDescent="0.15">
      <c r="A900" s="141"/>
      <c r="B900" s="165">
        <v>897</v>
      </c>
      <c r="C900" s="166"/>
      <c r="D900" s="153"/>
      <c r="E900" s="153" t="s">
        <v>367</v>
      </c>
      <c r="F900" s="153" t="s">
        <v>367</v>
      </c>
      <c r="G900" s="153"/>
      <c r="H900" s="153"/>
      <c r="I900" s="153"/>
      <c r="J900" s="153">
        <v>1899</v>
      </c>
      <c r="K900" s="153">
        <v>12</v>
      </c>
    </row>
    <row r="901" spans="1:11" ht="13.5" customHeight="1" x14ac:dyDescent="0.15">
      <c r="A901" s="141"/>
      <c r="B901" s="165">
        <v>898</v>
      </c>
      <c r="C901" s="166"/>
      <c r="D901" s="153"/>
      <c r="E901" s="153" t="s">
        <v>367</v>
      </c>
      <c r="F901" s="153" t="s">
        <v>367</v>
      </c>
      <c r="G901" s="153"/>
      <c r="H901" s="153"/>
      <c r="I901" s="153"/>
      <c r="J901" s="153">
        <v>1899</v>
      </c>
      <c r="K901" s="153">
        <v>12</v>
      </c>
    </row>
    <row r="902" spans="1:11" ht="13.5" customHeight="1" x14ac:dyDescent="0.15">
      <c r="A902" s="141"/>
      <c r="B902" s="165">
        <v>899</v>
      </c>
      <c r="C902" s="166"/>
      <c r="D902" s="153"/>
      <c r="E902" s="153" t="s">
        <v>367</v>
      </c>
      <c r="F902" s="153" t="s">
        <v>367</v>
      </c>
      <c r="G902" s="153"/>
      <c r="H902" s="153"/>
      <c r="I902" s="153"/>
      <c r="J902" s="153">
        <v>1899</v>
      </c>
      <c r="K902" s="153">
        <v>12</v>
      </c>
    </row>
    <row r="903" spans="1:11" ht="13.5" customHeight="1" x14ac:dyDescent="0.15">
      <c r="A903" s="141"/>
      <c r="B903" s="165">
        <v>900</v>
      </c>
      <c r="C903" s="166"/>
      <c r="D903" s="153"/>
      <c r="E903" s="153" t="s">
        <v>367</v>
      </c>
      <c r="F903" s="153" t="s">
        <v>367</v>
      </c>
      <c r="G903" s="153"/>
      <c r="H903" s="153"/>
      <c r="I903" s="153"/>
      <c r="J903" s="153">
        <v>1899</v>
      </c>
      <c r="K903" s="153">
        <v>12</v>
      </c>
    </row>
    <row r="904" spans="1:11" ht="13.5" customHeight="1" x14ac:dyDescent="0.15">
      <c r="A904" s="141"/>
      <c r="B904" s="165">
        <v>901</v>
      </c>
      <c r="C904" s="166"/>
      <c r="D904" s="153"/>
      <c r="E904" s="153" t="s">
        <v>367</v>
      </c>
      <c r="F904" s="153" t="s">
        <v>367</v>
      </c>
      <c r="G904" s="153"/>
      <c r="H904" s="153"/>
      <c r="I904" s="153"/>
      <c r="J904" s="153">
        <v>1899</v>
      </c>
      <c r="K904" s="153">
        <v>12</v>
      </c>
    </row>
    <row r="905" spans="1:11" ht="13.5" customHeight="1" x14ac:dyDescent="0.15">
      <c r="A905" s="141"/>
      <c r="B905" s="165">
        <v>902</v>
      </c>
      <c r="C905" s="166"/>
      <c r="D905" s="153"/>
      <c r="E905" s="153" t="s">
        <v>367</v>
      </c>
      <c r="F905" s="153" t="s">
        <v>367</v>
      </c>
      <c r="G905" s="153"/>
      <c r="H905" s="153"/>
      <c r="I905" s="153"/>
      <c r="J905" s="153">
        <v>1899</v>
      </c>
      <c r="K905" s="153">
        <v>12</v>
      </c>
    </row>
    <row r="906" spans="1:11" ht="13.5" customHeight="1" x14ac:dyDescent="0.15">
      <c r="A906" s="141"/>
      <c r="B906" s="165">
        <v>903</v>
      </c>
      <c r="C906" s="166"/>
      <c r="D906" s="153"/>
      <c r="E906" s="153" t="s">
        <v>367</v>
      </c>
      <c r="F906" s="153" t="s">
        <v>367</v>
      </c>
      <c r="G906" s="153"/>
      <c r="H906" s="153"/>
      <c r="I906" s="153"/>
      <c r="J906" s="153">
        <v>1899</v>
      </c>
      <c r="K906" s="153">
        <v>12</v>
      </c>
    </row>
    <row r="907" spans="1:11" ht="13.5" customHeight="1" x14ac:dyDescent="0.15">
      <c r="A907" s="141"/>
      <c r="B907" s="165">
        <v>904</v>
      </c>
      <c r="C907" s="166"/>
      <c r="D907" s="153"/>
      <c r="E907" s="153" t="s">
        <v>367</v>
      </c>
      <c r="F907" s="153" t="s">
        <v>367</v>
      </c>
      <c r="G907" s="153"/>
      <c r="H907" s="153"/>
      <c r="I907" s="153"/>
      <c r="J907" s="153">
        <v>1899</v>
      </c>
      <c r="K907" s="153">
        <v>12</v>
      </c>
    </row>
    <row r="908" spans="1:11" ht="13.5" customHeight="1" x14ac:dyDescent="0.15">
      <c r="A908" s="141"/>
      <c r="B908" s="165">
        <v>905</v>
      </c>
      <c r="C908" s="166"/>
      <c r="D908" s="153"/>
      <c r="E908" s="153" t="s">
        <v>367</v>
      </c>
      <c r="F908" s="153" t="s">
        <v>367</v>
      </c>
      <c r="G908" s="153"/>
      <c r="H908" s="153"/>
      <c r="I908" s="153"/>
      <c r="J908" s="153">
        <v>1899</v>
      </c>
      <c r="K908" s="153">
        <v>12</v>
      </c>
    </row>
    <row r="909" spans="1:11" ht="13.5" customHeight="1" x14ac:dyDescent="0.15">
      <c r="A909" s="141"/>
      <c r="B909" s="165">
        <v>906</v>
      </c>
      <c r="C909" s="166"/>
      <c r="D909" s="153"/>
      <c r="E909" s="153" t="s">
        <v>367</v>
      </c>
      <c r="F909" s="153" t="s">
        <v>367</v>
      </c>
      <c r="G909" s="153"/>
      <c r="H909" s="153"/>
      <c r="I909" s="153"/>
      <c r="J909" s="153">
        <v>1899</v>
      </c>
      <c r="K909" s="153">
        <v>12</v>
      </c>
    </row>
    <row r="910" spans="1:11" ht="13.5" customHeight="1" x14ac:dyDescent="0.15">
      <c r="A910" s="141"/>
      <c r="B910" s="165">
        <v>907</v>
      </c>
      <c r="C910" s="166"/>
      <c r="D910" s="153"/>
      <c r="E910" s="153" t="s">
        <v>367</v>
      </c>
      <c r="F910" s="153" t="s">
        <v>367</v>
      </c>
      <c r="G910" s="153"/>
      <c r="H910" s="153"/>
      <c r="I910" s="153"/>
      <c r="J910" s="153">
        <v>1899</v>
      </c>
      <c r="K910" s="153">
        <v>12</v>
      </c>
    </row>
    <row r="911" spans="1:11" ht="13.5" customHeight="1" x14ac:dyDescent="0.15">
      <c r="A911" s="141"/>
      <c r="B911" s="165">
        <v>908</v>
      </c>
      <c r="C911" s="166"/>
      <c r="D911" s="153"/>
      <c r="E911" s="153" t="s">
        <v>367</v>
      </c>
      <c r="F911" s="153" t="s">
        <v>367</v>
      </c>
      <c r="G911" s="153"/>
      <c r="H911" s="153"/>
      <c r="I911" s="153"/>
      <c r="J911" s="153">
        <v>1899</v>
      </c>
      <c r="K911" s="153">
        <v>12</v>
      </c>
    </row>
    <row r="912" spans="1:11" ht="13.5" customHeight="1" x14ac:dyDescent="0.15">
      <c r="A912" s="141"/>
      <c r="B912" s="165">
        <v>909</v>
      </c>
      <c r="C912" s="166"/>
      <c r="D912" s="153"/>
      <c r="E912" s="153" t="s">
        <v>367</v>
      </c>
      <c r="F912" s="153" t="s">
        <v>367</v>
      </c>
      <c r="G912" s="153"/>
      <c r="H912" s="153"/>
      <c r="I912" s="153"/>
      <c r="J912" s="153">
        <v>1899</v>
      </c>
      <c r="K912" s="153">
        <v>12</v>
      </c>
    </row>
    <row r="913" spans="1:11" ht="13.5" customHeight="1" x14ac:dyDescent="0.15">
      <c r="A913" s="141"/>
      <c r="B913" s="165">
        <v>910</v>
      </c>
      <c r="C913" s="166"/>
      <c r="D913" s="153"/>
      <c r="E913" s="153" t="s">
        <v>367</v>
      </c>
      <c r="F913" s="153" t="s">
        <v>367</v>
      </c>
      <c r="G913" s="153"/>
      <c r="H913" s="153"/>
      <c r="I913" s="153"/>
      <c r="J913" s="153">
        <v>1899</v>
      </c>
      <c r="K913" s="153">
        <v>12</v>
      </c>
    </row>
    <row r="914" spans="1:11" ht="13.5" customHeight="1" x14ac:dyDescent="0.15">
      <c r="A914" s="141"/>
      <c r="B914" s="165">
        <v>911</v>
      </c>
      <c r="C914" s="166"/>
      <c r="D914" s="153"/>
      <c r="E914" s="153" t="s">
        <v>367</v>
      </c>
      <c r="F914" s="153" t="s">
        <v>367</v>
      </c>
      <c r="G914" s="153"/>
      <c r="H914" s="153"/>
      <c r="I914" s="153"/>
      <c r="J914" s="153">
        <v>1899</v>
      </c>
      <c r="K914" s="153">
        <v>12</v>
      </c>
    </row>
    <row r="915" spans="1:11" ht="13.5" customHeight="1" x14ac:dyDescent="0.15">
      <c r="A915" s="141"/>
      <c r="B915" s="165">
        <v>912</v>
      </c>
      <c r="C915" s="166"/>
      <c r="D915" s="153"/>
      <c r="E915" s="153" t="s">
        <v>367</v>
      </c>
      <c r="F915" s="153" t="s">
        <v>367</v>
      </c>
      <c r="G915" s="153"/>
      <c r="H915" s="153"/>
      <c r="I915" s="153"/>
      <c r="J915" s="153">
        <v>1899</v>
      </c>
      <c r="K915" s="153">
        <v>12</v>
      </c>
    </row>
    <row r="916" spans="1:11" ht="13.5" customHeight="1" x14ac:dyDescent="0.15">
      <c r="A916" s="141"/>
      <c r="B916" s="165">
        <v>913</v>
      </c>
      <c r="C916" s="166"/>
      <c r="D916" s="153"/>
      <c r="E916" s="153" t="s">
        <v>367</v>
      </c>
      <c r="F916" s="153" t="s">
        <v>367</v>
      </c>
      <c r="G916" s="153"/>
      <c r="H916" s="153"/>
      <c r="I916" s="153"/>
      <c r="J916" s="153">
        <v>1899</v>
      </c>
      <c r="K916" s="153">
        <v>12</v>
      </c>
    </row>
    <row r="917" spans="1:11" ht="13.5" customHeight="1" x14ac:dyDescent="0.15">
      <c r="A917" s="141"/>
      <c r="B917" s="165">
        <v>914</v>
      </c>
      <c r="C917" s="166"/>
      <c r="D917" s="153"/>
      <c r="E917" s="153" t="s">
        <v>367</v>
      </c>
      <c r="F917" s="153" t="s">
        <v>367</v>
      </c>
      <c r="G917" s="153"/>
      <c r="H917" s="153"/>
      <c r="I917" s="153"/>
      <c r="J917" s="153">
        <v>1899</v>
      </c>
      <c r="K917" s="153">
        <v>12</v>
      </c>
    </row>
    <row r="918" spans="1:11" ht="13.5" customHeight="1" x14ac:dyDescent="0.15">
      <c r="A918" s="141"/>
      <c r="B918" s="165">
        <v>915</v>
      </c>
      <c r="C918" s="166"/>
      <c r="D918" s="153"/>
      <c r="E918" s="153" t="s">
        <v>367</v>
      </c>
      <c r="F918" s="153" t="s">
        <v>367</v>
      </c>
      <c r="G918" s="153"/>
      <c r="H918" s="153"/>
      <c r="I918" s="153"/>
      <c r="J918" s="153">
        <v>1899</v>
      </c>
      <c r="K918" s="153">
        <v>12</v>
      </c>
    </row>
    <row r="919" spans="1:11" ht="13.5" customHeight="1" x14ac:dyDescent="0.15">
      <c r="A919" s="141"/>
      <c r="B919" s="165">
        <v>916</v>
      </c>
      <c r="C919" s="166"/>
      <c r="D919" s="153"/>
      <c r="E919" s="153" t="s">
        <v>367</v>
      </c>
      <c r="F919" s="153" t="s">
        <v>367</v>
      </c>
      <c r="G919" s="153"/>
      <c r="H919" s="153"/>
      <c r="I919" s="153"/>
      <c r="J919" s="153">
        <v>1899</v>
      </c>
      <c r="K919" s="153">
        <v>12</v>
      </c>
    </row>
    <row r="920" spans="1:11" ht="13.5" customHeight="1" x14ac:dyDescent="0.15">
      <c r="A920" s="141"/>
      <c r="B920" s="165">
        <v>917</v>
      </c>
      <c r="C920" s="166"/>
      <c r="D920" s="153"/>
      <c r="E920" s="153" t="s">
        <v>367</v>
      </c>
      <c r="F920" s="153" t="s">
        <v>367</v>
      </c>
      <c r="G920" s="153"/>
      <c r="H920" s="153"/>
      <c r="I920" s="153"/>
      <c r="J920" s="153">
        <v>1899</v>
      </c>
      <c r="K920" s="153">
        <v>12</v>
      </c>
    </row>
    <row r="921" spans="1:11" ht="13.5" customHeight="1" x14ac:dyDescent="0.15">
      <c r="A921" s="141"/>
      <c r="B921" s="165">
        <v>918</v>
      </c>
      <c r="C921" s="166"/>
      <c r="D921" s="153"/>
      <c r="E921" s="153" t="s">
        <v>367</v>
      </c>
      <c r="F921" s="153" t="s">
        <v>367</v>
      </c>
      <c r="G921" s="153"/>
      <c r="H921" s="153"/>
      <c r="I921" s="153"/>
      <c r="J921" s="153">
        <v>1899</v>
      </c>
      <c r="K921" s="153">
        <v>12</v>
      </c>
    </row>
    <row r="922" spans="1:11" ht="13.5" customHeight="1" x14ac:dyDescent="0.15">
      <c r="A922" s="141"/>
      <c r="B922" s="165">
        <v>919</v>
      </c>
      <c r="C922" s="166"/>
      <c r="D922" s="153"/>
      <c r="E922" s="153" t="s">
        <v>367</v>
      </c>
      <c r="F922" s="153" t="s">
        <v>367</v>
      </c>
      <c r="G922" s="153"/>
      <c r="H922" s="153"/>
      <c r="I922" s="153"/>
      <c r="J922" s="153">
        <v>1899</v>
      </c>
      <c r="K922" s="153">
        <v>12</v>
      </c>
    </row>
    <row r="923" spans="1:11" ht="13.5" customHeight="1" x14ac:dyDescent="0.15">
      <c r="A923" s="141"/>
      <c r="B923" s="165">
        <v>920</v>
      </c>
      <c r="C923" s="166"/>
      <c r="D923" s="153"/>
      <c r="E923" s="153" t="s">
        <v>367</v>
      </c>
      <c r="F923" s="153" t="s">
        <v>367</v>
      </c>
      <c r="G923" s="153"/>
      <c r="H923" s="153"/>
      <c r="I923" s="153"/>
      <c r="J923" s="153">
        <v>1899</v>
      </c>
      <c r="K923" s="153">
        <v>12</v>
      </c>
    </row>
    <row r="924" spans="1:11" ht="13.5" customHeight="1" x14ac:dyDescent="0.15">
      <c r="A924" s="141"/>
      <c r="B924" s="165">
        <v>921</v>
      </c>
      <c r="C924" s="166"/>
      <c r="D924" s="153"/>
      <c r="E924" s="153" t="s">
        <v>367</v>
      </c>
      <c r="F924" s="153" t="s">
        <v>367</v>
      </c>
      <c r="G924" s="153"/>
      <c r="H924" s="153"/>
      <c r="I924" s="153"/>
      <c r="J924" s="153">
        <v>1899</v>
      </c>
      <c r="K924" s="153">
        <v>12</v>
      </c>
    </row>
    <row r="925" spans="1:11" ht="13.5" customHeight="1" x14ac:dyDescent="0.15">
      <c r="A925" s="141"/>
      <c r="B925" s="165">
        <v>922</v>
      </c>
      <c r="C925" s="166"/>
      <c r="D925" s="153"/>
      <c r="E925" s="153" t="s">
        <v>367</v>
      </c>
      <c r="F925" s="153" t="s">
        <v>367</v>
      </c>
      <c r="G925" s="153"/>
      <c r="H925" s="153"/>
      <c r="I925" s="153"/>
      <c r="J925" s="153">
        <v>1899</v>
      </c>
      <c r="K925" s="153">
        <v>12</v>
      </c>
    </row>
    <row r="926" spans="1:11" ht="13.5" customHeight="1" x14ac:dyDescent="0.15">
      <c r="A926" s="141"/>
      <c r="B926" s="165">
        <v>923</v>
      </c>
      <c r="C926" s="166"/>
      <c r="D926" s="153"/>
      <c r="E926" s="153" t="s">
        <v>367</v>
      </c>
      <c r="F926" s="153" t="s">
        <v>367</v>
      </c>
      <c r="G926" s="153"/>
      <c r="H926" s="153"/>
      <c r="I926" s="153"/>
      <c r="J926" s="153">
        <v>1899</v>
      </c>
      <c r="K926" s="153">
        <v>12</v>
      </c>
    </row>
    <row r="927" spans="1:11" ht="13.5" customHeight="1" x14ac:dyDescent="0.15">
      <c r="A927" s="141"/>
      <c r="B927" s="165">
        <v>924</v>
      </c>
      <c r="C927" s="166"/>
      <c r="D927" s="153"/>
      <c r="E927" s="153" t="s">
        <v>367</v>
      </c>
      <c r="F927" s="153" t="s">
        <v>367</v>
      </c>
      <c r="G927" s="153"/>
      <c r="H927" s="153"/>
      <c r="I927" s="153"/>
      <c r="J927" s="153">
        <v>1899</v>
      </c>
      <c r="K927" s="153">
        <v>12</v>
      </c>
    </row>
    <row r="928" spans="1:11" ht="13.5" customHeight="1" x14ac:dyDescent="0.15">
      <c r="A928" s="141"/>
      <c r="B928" s="165">
        <v>925</v>
      </c>
      <c r="C928" s="166"/>
      <c r="D928" s="153"/>
      <c r="E928" s="153" t="s">
        <v>367</v>
      </c>
      <c r="F928" s="153" t="s">
        <v>367</v>
      </c>
      <c r="G928" s="153"/>
      <c r="H928" s="153"/>
      <c r="I928" s="153"/>
      <c r="J928" s="153">
        <v>1899</v>
      </c>
      <c r="K928" s="153">
        <v>12</v>
      </c>
    </row>
    <row r="929" spans="1:11" ht="13.5" customHeight="1" x14ac:dyDescent="0.15">
      <c r="A929" s="141"/>
      <c r="B929" s="165">
        <v>926</v>
      </c>
      <c r="C929" s="166"/>
      <c r="D929" s="153"/>
      <c r="E929" s="153" t="s">
        <v>367</v>
      </c>
      <c r="F929" s="153" t="s">
        <v>367</v>
      </c>
      <c r="G929" s="153"/>
      <c r="H929" s="153"/>
      <c r="I929" s="153"/>
      <c r="J929" s="153">
        <v>1899</v>
      </c>
      <c r="K929" s="153">
        <v>12</v>
      </c>
    </row>
    <row r="930" spans="1:11" ht="13.5" customHeight="1" x14ac:dyDescent="0.15">
      <c r="A930" s="141"/>
      <c r="B930" s="165">
        <v>927</v>
      </c>
      <c r="C930" s="166"/>
      <c r="D930" s="153"/>
      <c r="E930" s="153" t="s">
        <v>367</v>
      </c>
      <c r="F930" s="153" t="s">
        <v>367</v>
      </c>
      <c r="G930" s="153"/>
      <c r="H930" s="153"/>
      <c r="I930" s="153"/>
      <c r="J930" s="153">
        <v>1899</v>
      </c>
      <c r="K930" s="153">
        <v>12</v>
      </c>
    </row>
    <row r="931" spans="1:11" ht="13.5" customHeight="1" x14ac:dyDescent="0.15">
      <c r="A931" s="141"/>
      <c r="B931" s="165">
        <v>928</v>
      </c>
      <c r="C931" s="166"/>
      <c r="D931" s="153"/>
      <c r="E931" s="153" t="s">
        <v>367</v>
      </c>
      <c r="F931" s="153" t="s">
        <v>367</v>
      </c>
      <c r="G931" s="153"/>
      <c r="H931" s="153"/>
      <c r="I931" s="153"/>
      <c r="J931" s="153">
        <v>1899</v>
      </c>
      <c r="K931" s="153">
        <v>12</v>
      </c>
    </row>
    <row r="932" spans="1:11" ht="13.5" customHeight="1" x14ac:dyDescent="0.15">
      <c r="A932" s="141"/>
      <c r="B932" s="165">
        <v>929</v>
      </c>
      <c r="C932" s="166"/>
      <c r="D932" s="153"/>
      <c r="E932" s="153" t="s">
        <v>367</v>
      </c>
      <c r="F932" s="153" t="s">
        <v>367</v>
      </c>
      <c r="G932" s="153"/>
      <c r="H932" s="153"/>
      <c r="I932" s="153"/>
      <c r="J932" s="153">
        <v>1899</v>
      </c>
      <c r="K932" s="153">
        <v>12</v>
      </c>
    </row>
    <row r="933" spans="1:11" ht="13.5" customHeight="1" x14ac:dyDescent="0.15">
      <c r="A933" s="141"/>
      <c r="B933" s="165">
        <v>930</v>
      </c>
      <c r="C933" s="166"/>
      <c r="D933" s="153"/>
      <c r="E933" s="153" t="s">
        <v>367</v>
      </c>
      <c r="F933" s="153" t="s">
        <v>367</v>
      </c>
      <c r="G933" s="153"/>
      <c r="H933" s="153"/>
      <c r="I933" s="153"/>
      <c r="J933" s="153">
        <v>1899</v>
      </c>
      <c r="K933" s="153">
        <v>12</v>
      </c>
    </row>
    <row r="934" spans="1:11" ht="13.5" customHeight="1" x14ac:dyDescent="0.15">
      <c r="A934" s="141"/>
      <c r="B934" s="165">
        <v>931</v>
      </c>
      <c r="C934" s="166"/>
      <c r="D934" s="153"/>
      <c r="E934" s="153" t="s">
        <v>367</v>
      </c>
      <c r="F934" s="153" t="s">
        <v>367</v>
      </c>
      <c r="G934" s="153"/>
      <c r="H934" s="153"/>
      <c r="I934" s="153"/>
      <c r="J934" s="153">
        <v>1899</v>
      </c>
      <c r="K934" s="153">
        <v>12</v>
      </c>
    </row>
    <row r="935" spans="1:11" ht="13.5" customHeight="1" x14ac:dyDescent="0.15">
      <c r="A935" s="141"/>
      <c r="B935" s="165">
        <v>932</v>
      </c>
      <c r="C935" s="166"/>
      <c r="D935" s="153"/>
      <c r="E935" s="153" t="s">
        <v>367</v>
      </c>
      <c r="F935" s="153" t="s">
        <v>367</v>
      </c>
      <c r="G935" s="153"/>
      <c r="H935" s="153"/>
      <c r="I935" s="153"/>
      <c r="J935" s="153">
        <v>1899</v>
      </c>
      <c r="K935" s="153">
        <v>12</v>
      </c>
    </row>
    <row r="936" spans="1:11" ht="13.5" customHeight="1" x14ac:dyDescent="0.15">
      <c r="A936" s="141"/>
      <c r="B936" s="165">
        <v>933</v>
      </c>
      <c r="C936" s="166"/>
      <c r="D936" s="153"/>
      <c r="E936" s="153" t="s">
        <v>367</v>
      </c>
      <c r="F936" s="153" t="s">
        <v>367</v>
      </c>
      <c r="G936" s="153"/>
      <c r="H936" s="153"/>
      <c r="I936" s="153"/>
      <c r="J936" s="153">
        <v>1899</v>
      </c>
      <c r="K936" s="153">
        <v>12</v>
      </c>
    </row>
    <row r="937" spans="1:11" ht="13.5" customHeight="1" x14ac:dyDescent="0.15">
      <c r="A937" s="141"/>
      <c r="B937" s="165">
        <v>934</v>
      </c>
      <c r="C937" s="166"/>
      <c r="D937" s="153"/>
      <c r="E937" s="153" t="s">
        <v>367</v>
      </c>
      <c r="F937" s="153" t="s">
        <v>367</v>
      </c>
      <c r="G937" s="153"/>
      <c r="H937" s="153"/>
      <c r="I937" s="153"/>
      <c r="J937" s="153">
        <v>1899</v>
      </c>
      <c r="K937" s="153">
        <v>12</v>
      </c>
    </row>
    <row r="938" spans="1:11" ht="13.5" customHeight="1" x14ac:dyDescent="0.15">
      <c r="A938" s="141"/>
      <c r="B938" s="165">
        <v>935</v>
      </c>
      <c r="C938" s="166"/>
      <c r="D938" s="153"/>
      <c r="E938" s="153" t="s">
        <v>367</v>
      </c>
      <c r="F938" s="153" t="s">
        <v>367</v>
      </c>
      <c r="G938" s="153"/>
      <c r="H938" s="153"/>
      <c r="I938" s="153"/>
      <c r="J938" s="153">
        <v>1899</v>
      </c>
      <c r="K938" s="153">
        <v>12</v>
      </c>
    </row>
    <row r="939" spans="1:11" ht="13.5" customHeight="1" x14ac:dyDescent="0.15">
      <c r="A939" s="141"/>
      <c r="B939" s="165">
        <v>936</v>
      </c>
      <c r="C939" s="166"/>
      <c r="D939" s="153"/>
      <c r="E939" s="153" t="s">
        <v>367</v>
      </c>
      <c r="F939" s="153" t="s">
        <v>367</v>
      </c>
      <c r="G939" s="153"/>
      <c r="H939" s="153"/>
      <c r="I939" s="153"/>
      <c r="J939" s="153">
        <v>1899</v>
      </c>
      <c r="K939" s="153">
        <v>12</v>
      </c>
    </row>
    <row r="940" spans="1:11" ht="13.5" customHeight="1" x14ac:dyDescent="0.15">
      <c r="A940" s="141"/>
      <c r="B940" s="165">
        <v>937</v>
      </c>
      <c r="C940" s="166"/>
      <c r="D940" s="153"/>
      <c r="E940" s="153" t="s">
        <v>367</v>
      </c>
      <c r="F940" s="153" t="s">
        <v>367</v>
      </c>
      <c r="G940" s="153"/>
      <c r="H940" s="153"/>
      <c r="I940" s="153"/>
      <c r="J940" s="153">
        <v>1899</v>
      </c>
      <c r="K940" s="153">
        <v>12</v>
      </c>
    </row>
    <row r="941" spans="1:11" ht="13.5" customHeight="1" x14ac:dyDescent="0.15">
      <c r="A941" s="141"/>
      <c r="B941" s="165">
        <v>938</v>
      </c>
      <c r="C941" s="166"/>
      <c r="D941" s="153"/>
      <c r="E941" s="153" t="s">
        <v>367</v>
      </c>
      <c r="F941" s="153" t="s">
        <v>367</v>
      </c>
      <c r="G941" s="153"/>
      <c r="H941" s="153"/>
      <c r="I941" s="153"/>
      <c r="J941" s="153">
        <v>1899</v>
      </c>
      <c r="K941" s="153">
        <v>12</v>
      </c>
    </row>
    <row r="942" spans="1:11" ht="13.5" customHeight="1" x14ac:dyDescent="0.15">
      <c r="A942" s="141"/>
      <c r="B942" s="165">
        <v>939</v>
      </c>
      <c r="C942" s="166"/>
      <c r="D942" s="153"/>
      <c r="E942" s="153" t="s">
        <v>367</v>
      </c>
      <c r="F942" s="153" t="s">
        <v>367</v>
      </c>
      <c r="G942" s="153"/>
      <c r="H942" s="153"/>
      <c r="I942" s="153"/>
      <c r="J942" s="153">
        <v>1899</v>
      </c>
      <c r="K942" s="153">
        <v>12</v>
      </c>
    </row>
    <row r="943" spans="1:11" ht="13.5" customHeight="1" x14ac:dyDescent="0.15">
      <c r="A943" s="141"/>
      <c r="B943" s="165">
        <v>940</v>
      </c>
      <c r="C943" s="166"/>
      <c r="D943" s="153"/>
      <c r="E943" s="153" t="s">
        <v>367</v>
      </c>
      <c r="F943" s="153" t="s">
        <v>367</v>
      </c>
      <c r="G943" s="153"/>
      <c r="H943" s="153"/>
      <c r="I943" s="153"/>
      <c r="J943" s="153">
        <v>1899</v>
      </c>
      <c r="K943" s="153">
        <v>12</v>
      </c>
    </row>
    <row r="944" spans="1:11" ht="13.5" customHeight="1" x14ac:dyDescent="0.15">
      <c r="A944" s="141"/>
      <c r="B944" s="165">
        <v>941</v>
      </c>
      <c r="C944" s="166"/>
      <c r="D944" s="153"/>
      <c r="E944" s="153" t="s">
        <v>367</v>
      </c>
      <c r="F944" s="153" t="s">
        <v>367</v>
      </c>
      <c r="G944" s="153"/>
      <c r="H944" s="153"/>
      <c r="I944" s="153"/>
      <c r="J944" s="153">
        <v>1899</v>
      </c>
      <c r="K944" s="153">
        <v>12</v>
      </c>
    </row>
    <row r="945" spans="1:11" ht="13.5" customHeight="1" x14ac:dyDescent="0.15">
      <c r="A945" s="141"/>
      <c r="B945" s="165">
        <v>942</v>
      </c>
      <c r="C945" s="166"/>
      <c r="D945" s="153"/>
      <c r="E945" s="153" t="s">
        <v>367</v>
      </c>
      <c r="F945" s="153" t="s">
        <v>367</v>
      </c>
      <c r="G945" s="153"/>
      <c r="H945" s="153"/>
      <c r="I945" s="153"/>
      <c r="J945" s="153">
        <v>1899</v>
      </c>
      <c r="K945" s="153">
        <v>12</v>
      </c>
    </row>
    <row r="946" spans="1:11" ht="13.5" customHeight="1" x14ac:dyDescent="0.15">
      <c r="A946" s="141"/>
      <c r="B946" s="165">
        <v>943</v>
      </c>
      <c r="C946" s="166"/>
      <c r="D946" s="153"/>
      <c r="E946" s="153" t="s">
        <v>367</v>
      </c>
      <c r="F946" s="153" t="s">
        <v>367</v>
      </c>
      <c r="G946" s="153"/>
      <c r="H946" s="153"/>
      <c r="I946" s="153"/>
      <c r="J946" s="153">
        <v>1899</v>
      </c>
      <c r="K946" s="153">
        <v>12</v>
      </c>
    </row>
    <row r="947" spans="1:11" ht="13.5" customHeight="1" x14ac:dyDescent="0.15">
      <c r="A947" s="141"/>
      <c r="B947" s="165">
        <v>944</v>
      </c>
      <c r="C947" s="166"/>
      <c r="D947" s="153"/>
      <c r="E947" s="153" t="s">
        <v>367</v>
      </c>
      <c r="F947" s="153" t="s">
        <v>367</v>
      </c>
      <c r="G947" s="153"/>
      <c r="H947" s="153"/>
      <c r="I947" s="153"/>
      <c r="J947" s="153">
        <v>1899</v>
      </c>
      <c r="K947" s="153">
        <v>12</v>
      </c>
    </row>
    <row r="948" spans="1:11" ht="13.5" customHeight="1" x14ac:dyDescent="0.15">
      <c r="A948" s="141"/>
      <c r="B948" s="165">
        <v>945</v>
      </c>
      <c r="C948" s="166"/>
      <c r="D948" s="153"/>
      <c r="E948" s="153" t="s">
        <v>367</v>
      </c>
      <c r="F948" s="153" t="s">
        <v>367</v>
      </c>
      <c r="G948" s="153"/>
      <c r="H948" s="153"/>
      <c r="I948" s="153"/>
      <c r="J948" s="153">
        <v>1899</v>
      </c>
      <c r="K948" s="153">
        <v>12</v>
      </c>
    </row>
    <row r="949" spans="1:11" ht="13.5" customHeight="1" x14ac:dyDescent="0.15">
      <c r="A949" s="141"/>
      <c r="B949" s="165">
        <v>946</v>
      </c>
      <c r="C949" s="166"/>
      <c r="D949" s="153"/>
      <c r="E949" s="153" t="s">
        <v>367</v>
      </c>
      <c r="F949" s="153" t="s">
        <v>367</v>
      </c>
      <c r="G949" s="153"/>
      <c r="H949" s="153"/>
      <c r="I949" s="153"/>
      <c r="J949" s="153">
        <v>1899</v>
      </c>
      <c r="K949" s="153">
        <v>12</v>
      </c>
    </row>
    <row r="950" spans="1:11" ht="13.5" customHeight="1" x14ac:dyDescent="0.15">
      <c r="A950" s="141"/>
      <c r="B950" s="165">
        <v>947</v>
      </c>
      <c r="C950" s="166"/>
      <c r="D950" s="153"/>
      <c r="E950" s="153" t="s">
        <v>367</v>
      </c>
      <c r="F950" s="153" t="s">
        <v>367</v>
      </c>
      <c r="G950" s="153"/>
      <c r="H950" s="153"/>
      <c r="I950" s="153"/>
      <c r="J950" s="153">
        <v>1899</v>
      </c>
      <c r="K950" s="153">
        <v>12</v>
      </c>
    </row>
    <row r="951" spans="1:11" ht="13.5" customHeight="1" x14ac:dyDescent="0.15">
      <c r="A951" s="141"/>
      <c r="B951" s="165">
        <v>948</v>
      </c>
      <c r="C951" s="166"/>
      <c r="D951" s="153"/>
      <c r="E951" s="153" t="s">
        <v>367</v>
      </c>
      <c r="F951" s="153" t="s">
        <v>367</v>
      </c>
      <c r="G951" s="153"/>
      <c r="H951" s="153"/>
      <c r="I951" s="153"/>
      <c r="J951" s="153">
        <v>1899</v>
      </c>
      <c r="K951" s="153">
        <v>12</v>
      </c>
    </row>
    <row r="952" spans="1:11" ht="13.5" customHeight="1" x14ac:dyDescent="0.15">
      <c r="A952" s="141"/>
      <c r="B952" s="165">
        <v>949</v>
      </c>
      <c r="C952" s="166"/>
      <c r="D952" s="153"/>
      <c r="E952" s="153" t="s">
        <v>367</v>
      </c>
      <c r="F952" s="153" t="s">
        <v>367</v>
      </c>
      <c r="G952" s="153"/>
      <c r="H952" s="153"/>
      <c r="I952" s="153"/>
      <c r="J952" s="153">
        <v>1899</v>
      </c>
      <c r="K952" s="153">
        <v>12</v>
      </c>
    </row>
    <row r="953" spans="1:11" ht="13.5" customHeight="1" x14ac:dyDescent="0.15">
      <c r="A953" s="141"/>
      <c r="B953" s="165">
        <v>950</v>
      </c>
      <c r="C953" s="166"/>
      <c r="D953" s="153"/>
      <c r="E953" s="153" t="s">
        <v>367</v>
      </c>
      <c r="F953" s="153" t="s">
        <v>367</v>
      </c>
      <c r="G953" s="153"/>
      <c r="H953" s="153"/>
      <c r="I953" s="153"/>
      <c r="J953" s="153">
        <v>1899</v>
      </c>
      <c r="K953" s="153">
        <v>12</v>
      </c>
    </row>
    <row r="954" spans="1:11" ht="13.5" customHeight="1" x14ac:dyDescent="0.15">
      <c r="A954" s="141"/>
      <c r="B954" s="165">
        <v>951</v>
      </c>
      <c r="C954" s="166"/>
      <c r="D954" s="153"/>
      <c r="E954" s="153" t="s">
        <v>367</v>
      </c>
      <c r="F954" s="153" t="s">
        <v>367</v>
      </c>
      <c r="G954" s="153"/>
      <c r="H954" s="153"/>
      <c r="I954" s="153"/>
      <c r="J954" s="153">
        <v>1899</v>
      </c>
      <c r="K954" s="153">
        <v>12</v>
      </c>
    </row>
    <row r="955" spans="1:11" ht="13.5" customHeight="1" x14ac:dyDescent="0.15">
      <c r="A955" s="141"/>
      <c r="B955" s="165">
        <v>952</v>
      </c>
      <c r="C955" s="166"/>
      <c r="D955" s="153"/>
      <c r="E955" s="153" t="s">
        <v>367</v>
      </c>
      <c r="F955" s="153" t="s">
        <v>367</v>
      </c>
      <c r="G955" s="153"/>
      <c r="H955" s="153"/>
      <c r="I955" s="153"/>
      <c r="J955" s="153">
        <v>1899</v>
      </c>
      <c r="K955" s="153">
        <v>12</v>
      </c>
    </row>
    <row r="956" spans="1:11" ht="13.5" customHeight="1" x14ac:dyDescent="0.15">
      <c r="A956" s="141"/>
      <c r="B956" s="165">
        <v>953</v>
      </c>
      <c r="C956" s="166"/>
      <c r="D956" s="153"/>
      <c r="E956" s="153" t="s">
        <v>367</v>
      </c>
      <c r="F956" s="153" t="s">
        <v>367</v>
      </c>
      <c r="G956" s="153"/>
      <c r="H956" s="153"/>
      <c r="I956" s="153"/>
      <c r="J956" s="153">
        <v>1899</v>
      </c>
      <c r="K956" s="153">
        <v>12</v>
      </c>
    </row>
    <row r="957" spans="1:11" ht="13.5" customHeight="1" x14ac:dyDescent="0.15">
      <c r="A957" s="141"/>
      <c r="B957" s="165">
        <v>954</v>
      </c>
      <c r="C957" s="166"/>
      <c r="D957" s="153"/>
      <c r="E957" s="153" t="s">
        <v>367</v>
      </c>
      <c r="F957" s="153" t="s">
        <v>367</v>
      </c>
      <c r="G957" s="153"/>
      <c r="H957" s="153"/>
      <c r="I957" s="153"/>
      <c r="J957" s="153">
        <v>1899</v>
      </c>
      <c r="K957" s="153">
        <v>12</v>
      </c>
    </row>
    <row r="958" spans="1:11" ht="13.5" customHeight="1" x14ac:dyDescent="0.15">
      <c r="A958" s="141"/>
      <c r="B958" s="165">
        <v>955</v>
      </c>
      <c r="C958" s="166"/>
      <c r="D958" s="153"/>
      <c r="E958" s="153" t="s">
        <v>367</v>
      </c>
      <c r="F958" s="153" t="s">
        <v>367</v>
      </c>
      <c r="G958" s="153"/>
      <c r="H958" s="153"/>
      <c r="I958" s="153"/>
      <c r="J958" s="153">
        <v>1899</v>
      </c>
      <c r="K958" s="153">
        <v>12</v>
      </c>
    </row>
    <row r="959" spans="1:11" ht="13.5" customHeight="1" x14ac:dyDescent="0.15">
      <c r="A959" s="141"/>
      <c r="B959" s="165">
        <v>956</v>
      </c>
      <c r="C959" s="166"/>
      <c r="D959" s="153"/>
      <c r="E959" s="153" t="s">
        <v>367</v>
      </c>
      <c r="F959" s="153" t="s">
        <v>367</v>
      </c>
      <c r="G959" s="153"/>
      <c r="H959" s="153"/>
      <c r="I959" s="153"/>
      <c r="J959" s="153">
        <v>1899</v>
      </c>
      <c r="K959" s="153">
        <v>12</v>
      </c>
    </row>
    <row r="960" spans="1:11" ht="13.5" customHeight="1" x14ac:dyDescent="0.15">
      <c r="A960" s="141"/>
      <c r="B960" s="165">
        <v>957</v>
      </c>
      <c r="C960" s="166"/>
      <c r="D960" s="153"/>
      <c r="E960" s="153" t="s">
        <v>367</v>
      </c>
      <c r="F960" s="153" t="s">
        <v>367</v>
      </c>
      <c r="G960" s="153"/>
      <c r="H960" s="153"/>
      <c r="I960" s="153"/>
      <c r="J960" s="153">
        <v>1899</v>
      </c>
      <c r="K960" s="153">
        <v>12</v>
      </c>
    </row>
    <row r="961" spans="1:11" ht="13.5" customHeight="1" x14ac:dyDescent="0.15">
      <c r="A961" s="141"/>
      <c r="B961" s="165">
        <v>958</v>
      </c>
      <c r="C961" s="166"/>
      <c r="D961" s="153"/>
      <c r="E961" s="153" t="s">
        <v>367</v>
      </c>
      <c r="F961" s="153" t="s">
        <v>367</v>
      </c>
      <c r="G961" s="153"/>
      <c r="H961" s="153"/>
      <c r="I961" s="153"/>
      <c r="J961" s="153">
        <v>1899</v>
      </c>
      <c r="K961" s="153">
        <v>12</v>
      </c>
    </row>
    <row r="962" spans="1:11" ht="13.5" customHeight="1" x14ac:dyDescent="0.15">
      <c r="A962" s="141"/>
      <c r="B962" s="165">
        <v>959</v>
      </c>
      <c r="C962" s="166"/>
      <c r="D962" s="153"/>
      <c r="E962" s="153" t="s">
        <v>367</v>
      </c>
      <c r="F962" s="153" t="s">
        <v>367</v>
      </c>
      <c r="G962" s="153"/>
      <c r="H962" s="153"/>
      <c r="I962" s="153"/>
      <c r="J962" s="153">
        <v>1899</v>
      </c>
      <c r="K962" s="153">
        <v>12</v>
      </c>
    </row>
    <row r="963" spans="1:11" ht="13.5" customHeight="1" x14ac:dyDescent="0.15">
      <c r="A963" s="141"/>
      <c r="B963" s="165">
        <v>960</v>
      </c>
      <c r="C963" s="166"/>
      <c r="D963" s="153"/>
      <c r="E963" s="153" t="s">
        <v>367</v>
      </c>
      <c r="F963" s="153" t="s">
        <v>367</v>
      </c>
      <c r="G963" s="153"/>
      <c r="H963" s="153"/>
      <c r="I963" s="153"/>
      <c r="J963" s="153">
        <v>1899</v>
      </c>
      <c r="K963" s="153">
        <v>12</v>
      </c>
    </row>
    <row r="964" spans="1:11" ht="13.5" customHeight="1" x14ac:dyDescent="0.15">
      <c r="A964" s="141"/>
      <c r="B964" s="165">
        <v>961</v>
      </c>
      <c r="C964" s="166"/>
      <c r="D964" s="153"/>
      <c r="E964" s="153" t="s">
        <v>367</v>
      </c>
      <c r="F964" s="153" t="s">
        <v>367</v>
      </c>
      <c r="G964" s="153"/>
      <c r="H964" s="153"/>
      <c r="I964" s="153"/>
      <c r="J964" s="153">
        <v>1899</v>
      </c>
      <c r="K964" s="153">
        <v>12</v>
      </c>
    </row>
    <row r="965" spans="1:11" ht="13.5" customHeight="1" x14ac:dyDescent="0.15">
      <c r="A965" s="141"/>
      <c r="B965" s="165">
        <v>962</v>
      </c>
      <c r="C965" s="166"/>
      <c r="D965" s="153"/>
      <c r="E965" s="153" t="s">
        <v>367</v>
      </c>
      <c r="F965" s="153" t="s">
        <v>367</v>
      </c>
      <c r="G965" s="153"/>
      <c r="H965" s="153"/>
      <c r="I965" s="153"/>
      <c r="J965" s="153">
        <v>1899</v>
      </c>
      <c r="K965" s="153">
        <v>12</v>
      </c>
    </row>
    <row r="966" spans="1:11" ht="13.5" customHeight="1" x14ac:dyDescent="0.15">
      <c r="A966" s="141"/>
      <c r="B966" s="165">
        <v>963</v>
      </c>
      <c r="C966" s="166"/>
      <c r="D966" s="153"/>
      <c r="E966" s="153" t="s">
        <v>367</v>
      </c>
      <c r="F966" s="153" t="s">
        <v>367</v>
      </c>
      <c r="G966" s="153"/>
      <c r="H966" s="153"/>
      <c r="I966" s="153"/>
      <c r="J966" s="153">
        <v>1899</v>
      </c>
      <c r="K966" s="153">
        <v>12</v>
      </c>
    </row>
    <row r="967" spans="1:11" ht="13.5" customHeight="1" x14ac:dyDescent="0.15">
      <c r="A967" s="141"/>
      <c r="B967" s="165">
        <v>964</v>
      </c>
      <c r="C967" s="166"/>
      <c r="D967" s="153"/>
      <c r="E967" s="153" t="s">
        <v>367</v>
      </c>
      <c r="F967" s="153" t="s">
        <v>367</v>
      </c>
      <c r="G967" s="153"/>
      <c r="H967" s="153"/>
      <c r="I967" s="153"/>
      <c r="J967" s="153">
        <v>1899</v>
      </c>
      <c r="K967" s="153">
        <v>12</v>
      </c>
    </row>
    <row r="968" spans="1:11" ht="13.5" customHeight="1" x14ac:dyDescent="0.15">
      <c r="A968" s="141"/>
      <c r="B968" s="165">
        <v>965</v>
      </c>
      <c r="C968" s="166"/>
      <c r="D968" s="153"/>
      <c r="E968" s="153" t="s">
        <v>367</v>
      </c>
      <c r="F968" s="153" t="s">
        <v>367</v>
      </c>
      <c r="G968" s="153"/>
      <c r="H968" s="153"/>
      <c r="I968" s="153"/>
      <c r="J968" s="153">
        <v>1899</v>
      </c>
      <c r="K968" s="153">
        <v>12</v>
      </c>
    </row>
    <row r="969" spans="1:11" ht="13.5" customHeight="1" x14ac:dyDescent="0.15">
      <c r="A969" s="141"/>
      <c r="B969" s="165">
        <v>966</v>
      </c>
      <c r="C969" s="166"/>
      <c r="D969" s="153"/>
      <c r="E969" s="153" t="s">
        <v>367</v>
      </c>
      <c r="F969" s="153" t="s">
        <v>367</v>
      </c>
      <c r="G969" s="153"/>
      <c r="H969" s="153"/>
      <c r="I969" s="153"/>
      <c r="J969" s="153">
        <v>1899</v>
      </c>
      <c r="K969" s="153">
        <v>12</v>
      </c>
    </row>
    <row r="970" spans="1:11" ht="13.5" customHeight="1" x14ac:dyDescent="0.15">
      <c r="A970" s="141"/>
      <c r="B970" s="165">
        <v>967</v>
      </c>
      <c r="C970" s="166"/>
      <c r="D970" s="153"/>
      <c r="E970" s="153" t="s">
        <v>367</v>
      </c>
      <c r="F970" s="153" t="s">
        <v>367</v>
      </c>
      <c r="G970" s="153"/>
      <c r="H970" s="153"/>
      <c r="I970" s="153"/>
      <c r="J970" s="153">
        <v>1899</v>
      </c>
      <c r="K970" s="153">
        <v>12</v>
      </c>
    </row>
    <row r="971" spans="1:11" ht="13.5" customHeight="1" x14ac:dyDescent="0.15">
      <c r="A971" s="141"/>
      <c r="B971" s="165">
        <v>968</v>
      </c>
      <c r="C971" s="166"/>
      <c r="D971" s="153"/>
      <c r="E971" s="153" t="s">
        <v>367</v>
      </c>
      <c r="F971" s="153" t="s">
        <v>367</v>
      </c>
      <c r="G971" s="153"/>
      <c r="H971" s="153"/>
      <c r="I971" s="153"/>
      <c r="J971" s="153">
        <v>1899</v>
      </c>
      <c r="K971" s="153">
        <v>12</v>
      </c>
    </row>
    <row r="972" spans="1:11" ht="13.5" customHeight="1" x14ac:dyDescent="0.15">
      <c r="A972" s="141"/>
      <c r="B972" s="165">
        <v>969</v>
      </c>
      <c r="C972" s="166"/>
      <c r="D972" s="153"/>
      <c r="E972" s="153" t="s">
        <v>367</v>
      </c>
      <c r="F972" s="153" t="s">
        <v>367</v>
      </c>
      <c r="G972" s="153"/>
      <c r="H972" s="153"/>
      <c r="I972" s="153"/>
      <c r="J972" s="153">
        <v>1899</v>
      </c>
      <c r="K972" s="153">
        <v>12</v>
      </c>
    </row>
    <row r="973" spans="1:11" ht="13.5" customHeight="1" x14ac:dyDescent="0.15">
      <c r="A973" s="141"/>
      <c r="B973" s="165">
        <v>970</v>
      </c>
      <c r="C973" s="166"/>
      <c r="D973" s="153"/>
      <c r="E973" s="153" t="s">
        <v>367</v>
      </c>
      <c r="F973" s="153" t="s">
        <v>367</v>
      </c>
      <c r="G973" s="153"/>
      <c r="H973" s="153"/>
      <c r="I973" s="153"/>
      <c r="J973" s="153">
        <v>1899</v>
      </c>
      <c r="K973" s="153">
        <v>12</v>
      </c>
    </row>
    <row r="974" spans="1:11" ht="13.5" customHeight="1" x14ac:dyDescent="0.15">
      <c r="A974" s="141"/>
      <c r="B974" s="165">
        <v>971</v>
      </c>
      <c r="C974" s="166"/>
      <c r="D974" s="153"/>
      <c r="E974" s="153" t="s">
        <v>367</v>
      </c>
      <c r="F974" s="153" t="s">
        <v>367</v>
      </c>
      <c r="G974" s="153"/>
      <c r="H974" s="153"/>
      <c r="I974" s="153"/>
      <c r="J974" s="153">
        <v>1899</v>
      </c>
      <c r="K974" s="153">
        <v>12</v>
      </c>
    </row>
    <row r="975" spans="1:11" ht="13.5" customHeight="1" x14ac:dyDescent="0.15">
      <c r="A975" s="141"/>
      <c r="B975" s="165">
        <v>972</v>
      </c>
      <c r="C975" s="166"/>
      <c r="D975" s="153"/>
      <c r="E975" s="153" t="s">
        <v>367</v>
      </c>
      <c r="F975" s="153" t="s">
        <v>367</v>
      </c>
      <c r="G975" s="153"/>
      <c r="H975" s="153"/>
      <c r="I975" s="153"/>
      <c r="J975" s="153">
        <v>1899</v>
      </c>
      <c r="K975" s="153">
        <v>12</v>
      </c>
    </row>
    <row r="976" spans="1:11" ht="13.5" customHeight="1" x14ac:dyDescent="0.15">
      <c r="A976" s="141"/>
      <c r="B976" s="165">
        <v>973</v>
      </c>
      <c r="C976" s="166"/>
      <c r="D976" s="153"/>
      <c r="E976" s="153" t="s">
        <v>367</v>
      </c>
      <c r="F976" s="153" t="s">
        <v>367</v>
      </c>
      <c r="G976" s="153"/>
      <c r="H976" s="153"/>
      <c r="I976" s="153"/>
      <c r="J976" s="153">
        <v>1899</v>
      </c>
      <c r="K976" s="153">
        <v>12</v>
      </c>
    </row>
    <row r="977" spans="1:11" ht="13.5" customHeight="1" x14ac:dyDescent="0.15">
      <c r="A977" s="141"/>
      <c r="B977" s="165">
        <v>974</v>
      </c>
      <c r="C977" s="166"/>
      <c r="D977" s="153"/>
      <c r="E977" s="153" t="s">
        <v>367</v>
      </c>
      <c r="F977" s="153" t="s">
        <v>367</v>
      </c>
      <c r="G977" s="153"/>
      <c r="H977" s="153"/>
      <c r="I977" s="153"/>
      <c r="J977" s="153">
        <v>1899</v>
      </c>
      <c r="K977" s="153">
        <v>12</v>
      </c>
    </row>
    <row r="978" spans="1:11" ht="13.5" customHeight="1" x14ac:dyDescent="0.15">
      <c r="A978" s="141"/>
      <c r="B978" s="165">
        <v>975</v>
      </c>
      <c r="C978" s="166"/>
      <c r="D978" s="153"/>
      <c r="E978" s="153" t="s">
        <v>367</v>
      </c>
      <c r="F978" s="153" t="s">
        <v>367</v>
      </c>
      <c r="G978" s="153"/>
      <c r="H978" s="153"/>
      <c r="I978" s="153"/>
      <c r="J978" s="153">
        <v>1899</v>
      </c>
      <c r="K978" s="153">
        <v>12</v>
      </c>
    </row>
    <row r="979" spans="1:11" ht="13.5" customHeight="1" x14ac:dyDescent="0.15">
      <c r="A979" s="141"/>
      <c r="B979" s="165">
        <v>976</v>
      </c>
      <c r="C979" s="166"/>
      <c r="D979" s="153"/>
      <c r="E979" s="153" t="s">
        <v>367</v>
      </c>
      <c r="F979" s="153" t="s">
        <v>367</v>
      </c>
      <c r="G979" s="153"/>
      <c r="H979" s="153"/>
      <c r="I979" s="153"/>
      <c r="J979" s="153">
        <v>1899</v>
      </c>
      <c r="K979" s="153">
        <v>12</v>
      </c>
    </row>
    <row r="980" spans="1:11" ht="13.5" customHeight="1" x14ac:dyDescent="0.15">
      <c r="A980" s="141"/>
      <c r="B980" s="165">
        <v>977</v>
      </c>
      <c r="C980" s="166"/>
      <c r="D980" s="153"/>
      <c r="E980" s="153" t="s">
        <v>367</v>
      </c>
      <c r="F980" s="153" t="s">
        <v>367</v>
      </c>
      <c r="G980" s="153"/>
      <c r="H980" s="153"/>
      <c r="I980" s="153"/>
      <c r="J980" s="153">
        <v>1899</v>
      </c>
      <c r="K980" s="153">
        <v>12</v>
      </c>
    </row>
    <row r="981" spans="1:11" ht="13.5" customHeight="1" x14ac:dyDescent="0.15">
      <c r="A981" s="141"/>
      <c r="B981" s="165">
        <v>978</v>
      </c>
      <c r="C981" s="166"/>
      <c r="D981" s="153"/>
      <c r="E981" s="153" t="s">
        <v>367</v>
      </c>
      <c r="F981" s="153" t="s">
        <v>367</v>
      </c>
      <c r="G981" s="153"/>
      <c r="H981" s="153"/>
      <c r="I981" s="153"/>
      <c r="J981" s="153">
        <v>1899</v>
      </c>
      <c r="K981" s="153">
        <v>12</v>
      </c>
    </row>
    <row r="982" spans="1:11" ht="13.5" customHeight="1" x14ac:dyDescent="0.15">
      <c r="A982" s="141"/>
      <c r="B982" s="165">
        <v>979</v>
      </c>
      <c r="C982" s="166"/>
      <c r="D982" s="153"/>
      <c r="E982" s="153" t="s">
        <v>367</v>
      </c>
      <c r="F982" s="153" t="s">
        <v>367</v>
      </c>
      <c r="G982" s="153"/>
      <c r="H982" s="153"/>
      <c r="I982" s="153"/>
      <c r="J982" s="153">
        <v>1899</v>
      </c>
      <c r="K982" s="153">
        <v>12</v>
      </c>
    </row>
    <row r="983" spans="1:11" ht="13.5" customHeight="1" x14ac:dyDescent="0.15">
      <c r="A983" s="141"/>
      <c r="B983" s="165">
        <v>980</v>
      </c>
      <c r="C983" s="166"/>
      <c r="D983" s="153"/>
      <c r="E983" s="153" t="s">
        <v>367</v>
      </c>
      <c r="F983" s="153" t="s">
        <v>367</v>
      </c>
      <c r="G983" s="153"/>
      <c r="H983" s="153"/>
      <c r="I983" s="153"/>
      <c r="J983" s="153">
        <v>1899</v>
      </c>
      <c r="K983" s="153">
        <v>12</v>
      </c>
    </row>
    <row r="984" spans="1:11" ht="13.5" customHeight="1" x14ac:dyDescent="0.15">
      <c r="A984" s="141"/>
      <c r="B984" s="165">
        <v>981</v>
      </c>
      <c r="C984" s="166"/>
      <c r="D984" s="153"/>
      <c r="E984" s="153" t="s">
        <v>367</v>
      </c>
      <c r="F984" s="153" t="s">
        <v>367</v>
      </c>
      <c r="G984" s="153"/>
      <c r="H984" s="153"/>
      <c r="I984" s="153"/>
      <c r="J984" s="153">
        <v>1899</v>
      </c>
      <c r="K984" s="153">
        <v>12</v>
      </c>
    </row>
    <row r="985" spans="1:11" ht="13.5" customHeight="1" x14ac:dyDescent="0.15">
      <c r="A985" s="141"/>
      <c r="B985" s="165">
        <v>982</v>
      </c>
      <c r="C985" s="166"/>
      <c r="D985" s="153"/>
      <c r="E985" s="153" t="s">
        <v>367</v>
      </c>
      <c r="F985" s="153" t="s">
        <v>367</v>
      </c>
      <c r="G985" s="153"/>
      <c r="H985" s="153"/>
      <c r="I985" s="153"/>
      <c r="J985" s="153">
        <v>1899</v>
      </c>
      <c r="K985" s="153">
        <v>12</v>
      </c>
    </row>
    <row r="986" spans="1:11" ht="13.5" customHeight="1" x14ac:dyDescent="0.15">
      <c r="A986" s="141"/>
      <c r="B986" s="165">
        <v>983</v>
      </c>
      <c r="C986" s="166"/>
      <c r="D986" s="153"/>
      <c r="E986" s="153" t="s">
        <v>367</v>
      </c>
      <c r="F986" s="153" t="s">
        <v>367</v>
      </c>
      <c r="G986" s="153"/>
      <c r="H986" s="153"/>
      <c r="I986" s="153"/>
      <c r="J986" s="153">
        <v>1899</v>
      </c>
      <c r="K986" s="153">
        <v>12</v>
      </c>
    </row>
    <row r="987" spans="1:11" ht="13.5" customHeight="1" x14ac:dyDescent="0.15">
      <c r="A987" s="141"/>
      <c r="B987" s="165">
        <v>984</v>
      </c>
      <c r="C987" s="166"/>
      <c r="D987" s="153"/>
      <c r="E987" s="153" t="s">
        <v>367</v>
      </c>
      <c r="F987" s="153" t="s">
        <v>367</v>
      </c>
      <c r="G987" s="153"/>
      <c r="H987" s="153"/>
      <c r="I987" s="153"/>
      <c r="J987" s="153">
        <v>1899</v>
      </c>
      <c r="K987" s="153">
        <v>12</v>
      </c>
    </row>
    <row r="988" spans="1:11" ht="13.5" customHeight="1" x14ac:dyDescent="0.15">
      <c r="A988" s="141"/>
      <c r="B988" s="165">
        <v>985</v>
      </c>
      <c r="C988" s="166"/>
      <c r="D988" s="153"/>
      <c r="E988" s="153" t="s">
        <v>367</v>
      </c>
      <c r="F988" s="153" t="s">
        <v>367</v>
      </c>
      <c r="G988" s="153"/>
      <c r="H988" s="153"/>
      <c r="I988" s="153"/>
      <c r="J988" s="153">
        <v>1899</v>
      </c>
      <c r="K988" s="153">
        <v>12</v>
      </c>
    </row>
    <row r="989" spans="1:11" ht="13.5" customHeight="1" x14ac:dyDescent="0.15">
      <c r="A989" s="141"/>
      <c r="B989" s="165">
        <v>986</v>
      </c>
      <c r="C989" s="166"/>
      <c r="D989" s="153"/>
      <c r="E989" s="153" t="s">
        <v>367</v>
      </c>
      <c r="F989" s="153" t="s">
        <v>367</v>
      </c>
      <c r="G989" s="153"/>
      <c r="H989" s="153"/>
      <c r="I989" s="153"/>
      <c r="J989" s="153">
        <v>1899</v>
      </c>
      <c r="K989" s="153">
        <v>12</v>
      </c>
    </row>
    <row r="990" spans="1:11" ht="13.5" customHeight="1" x14ac:dyDescent="0.15">
      <c r="A990" s="141"/>
      <c r="B990" s="165">
        <v>987</v>
      </c>
      <c r="C990" s="166"/>
      <c r="D990" s="153"/>
      <c r="E990" s="153" t="s">
        <v>367</v>
      </c>
      <c r="F990" s="153" t="s">
        <v>367</v>
      </c>
      <c r="G990" s="153"/>
      <c r="H990" s="153"/>
      <c r="I990" s="153"/>
      <c r="J990" s="153">
        <v>1899</v>
      </c>
      <c r="K990" s="153">
        <v>12</v>
      </c>
    </row>
    <row r="991" spans="1:11" ht="13.5" customHeight="1" x14ac:dyDescent="0.15">
      <c r="A991" s="141"/>
      <c r="B991" s="165">
        <v>988</v>
      </c>
      <c r="C991" s="166"/>
      <c r="D991" s="153"/>
      <c r="E991" s="153" t="s">
        <v>367</v>
      </c>
      <c r="F991" s="153" t="s">
        <v>367</v>
      </c>
      <c r="G991" s="153"/>
      <c r="H991" s="153"/>
      <c r="I991" s="153"/>
      <c r="J991" s="153">
        <v>1899</v>
      </c>
      <c r="K991" s="153">
        <v>12</v>
      </c>
    </row>
    <row r="992" spans="1:11" ht="13.5" customHeight="1" x14ac:dyDescent="0.15">
      <c r="A992" s="141"/>
      <c r="B992" s="165">
        <v>989</v>
      </c>
      <c r="C992" s="166"/>
      <c r="D992" s="153"/>
      <c r="E992" s="153" t="s">
        <v>367</v>
      </c>
      <c r="F992" s="153" t="s">
        <v>367</v>
      </c>
      <c r="G992" s="153"/>
      <c r="H992" s="153"/>
      <c r="I992" s="153"/>
      <c r="J992" s="153">
        <v>1899</v>
      </c>
      <c r="K992" s="153">
        <v>12</v>
      </c>
    </row>
    <row r="993" spans="1:11" ht="13.5" customHeight="1" x14ac:dyDescent="0.15">
      <c r="A993" s="141"/>
      <c r="B993" s="165">
        <v>990</v>
      </c>
      <c r="C993" s="166"/>
      <c r="D993" s="153"/>
      <c r="E993" s="153" t="s">
        <v>367</v>
      </c>
      <c r="F993" s="153" t="s">
        <v>367</v>
      </c>
      <c r="G993" s="153"/>
      <c r="H993" s="153"/>
      <c r="I993" s="153"/>
      <c r="J993" s="153">
        <v>1899</v>
      </c>
      <c r="K993" s="153">
        <v>12</v>
      </c>
    </row>
    <row r="994" spans="1:11" ht="13.5" customHeight="1" x14ac:dyDescent="0.15">
      <c r="A994" s="141"/>
      <c r="B994" s="165">
        <v>991</v>
      </c>
      <c r="C994" s="166"/>
      <c r="D994" s="153"/>
      <c r="E994" s="153" t="s">
        <v>367</v>
      </c>
      <c r="F994" s="153" t="s">
        <v>367</v>
      </c>
      <c r="G994" s="153"/>
      <c r="H994" s="153"/>
      <c r="I994" s="153"/>
      <c r="J994" s="153">
        <v>1899</v>
      </c>
      <c r="K994" s="153">
        <v>12</v>
      </c>
    </row>
    <row r="995" spans="1:11" ht="13.5" customHeight="1" x14ac:dyDescent="0.15">
      <c r="A995" s="141"/>
      <c r="B995" s="165">
        <v>992</v>
      </c>
      <c r="C995" s="166"/>
      <c r="D995" s="153"/>
      <c r="E995" s="153" t="s">
        <v>367</v>
      </c>
      <c r="F995" s="153" t="s">
        <v>367</v>
      </c>
      <c r="G995" s="153"/>
      <c r="H995" s="153"/>
      <c r="I995" s="153"/>
      <c r="J995" s="153">
        <v>1899</v>
      </c>
      <c r="K995" s="153">
        <v>12</v>
      </c>
    </row>
    <row r="996" spans="1:11" ht="13.5" customHeight="1" x14ac:dyDescent="0.15">
      <c r="A996" s="141"/>
      <c r="B996" s="165">
        <v>993</v>
      </c>
      <c r="C996" s="166"/>
      <c r="D996" s="153"/>
      <c r="E996" s="153" t="s">
        <v>367</v>
      </c>
      <c r="F996" s="153" t="s">
        <v>367</v>
      </c>
      <c r="G996" s="153"/>
      <c r="H996" s="153"/>
      <c r="I996" s="153"/>
      <c r="J996" s="153">
        <v>1899</v>
      </c>
      <c r="K996" s="153">
        <v>12</v>
      </c>
    </row>
    <row r="997" spans="1:11" ht="13.5" customHeight="1" x14ac:dyDescent="0.15">
      <c r="A997" s="141"/>
      <c r="B997" s="165">
        <v>994</v>
      </c>
      <c r="C997" s="166"/>
      <c r="D997" s="153"/>
      <c r="E997" s="153" t="s">
        <v>367</v>
      </c>
      <c r="F997" s="153" t="s">
        <v>367</v>
      </c>
      <c r="G997" s="153"/>
      <c r="H997" s="153"/>
      <c r="I997" s="153"/>
      <c r="J997" s="153">
        <v>1899</v>
      </c>
      <c r="K997" s="153">
        <v>12</v>
      </c>
    </row>
    <row r="998" spans="1:11" ht="13.5" customHeight="1" x14ac:dyDescent="0.15">
      <c r="A998" s="141"/>
      <c r="B998" s="165">
        <v>995</v>
      </c>
      <c r="C998" s="166"/>
      <c r="D998" s="153"/>
      <c r="E998" s="153" t="s">
        <v>367</v>
      </c>
      <c r="F998" s="153" t="s">
        <v>367</v>
      </c>
      <c r="G998" s="153"/>
      <c r="H998" s="153"/>
      <c r="I998" s="153"/>
      <c r="J998" s="153">
        <v>1899</v>
      </c>
      <c r="K998" s="153">
        <v>12</v>
      </c>
    </row>
    <row r="999" spans="1:11" ht="13.5" customHeight="1" x14ac:dyDescent="0.15">
      <c r="A999" s="141"/>
      <c r="B999" s="165">
        <v>996</v>
      </c>
      <c r="C999" s="166"/>
      <c r="D999" s="153"/>
      <c r="E999" s="153" t="s">
        <v>367</v>
      </c>
      <c r="F999" s="153" t="s">
        <v>367</v>
      </c>
      <c r="G999" s="153"/>
      <c r="H999" s="153"/>
      <c r="I999" s="153"/>
      <c r="J999" s="153">
        <v>1899</v>
      </c>
      <c r="K999" s="153">
        <v>12</v>
      </c>
    </row>
    <row r="1000" spans="1:11" ht="13.5" customHeight="1" x14ac:dyDescent="0.15">
      <c r="A1000" s="141"/>
      <c r="B1000" s="165">
        <v>997</v>
      </c>
      <c r="C1000" s="166"/>
      <c r="D1000" s="153"/>
      <c r="E1000" s="153" t="s">
        <v>367</v>
      </c>
      <c r="F1000" s="153" t="s">
        <v>367</v>
      </c>
      <c r="G1000" s="153"/>
      <c r="H1000" s="153"/>
      <c r="I1000" s="153"/>
      <c r="J1000" s="153">
        <v>1899</v>
      </c>
      <c r="K1000" s="153">
        <v>12</v>
      </c>
    </row>
    <row r="1001" spans="1:11" ht="13.5" customHeight="1" x14ac:dyDescent="0.15">
      <c r="A1001" s="141"/>
      <c r="B1001" s="165">
        <v>998</v>
      </c>
      <c r="C1001" s="166"/>
      <c r="D1001" s="153"/>
      <c r="E1001" s="153" t="s">
        <v>367</v>
      </c>
      <c r="F1001" s="153" t="s">
        <v>367</v>
      </c>
      <c r="G1001" s="153"/>
      <c r="H1001" s="153"/>
      <c r="I1001" s="153"/>
      <c r="J1001" s="153">
        <v>1899</v>
      </c>
      <c r="K1001" s="153">
        <v>12</v>
      </c>
    </row>
    <row r="1002" spans="1:11" ht="13.5" customHeight="1" x14ac:dyDescent="0.15">
      <c r="A1002" s="141"/>
      <c r="B1002" s="165">
        <v>999</v>
      </c>
      <c r="C1002" s="166"/>
      <c r="D1002" s="153"/>
      <c r="E1002" s="153" t="s">
        <v>367</v>
      </c>
      <c r="F1002" s="153" t="s">
        <v>367</v>
      </c>
      <c r="G1002" s="153"/>
      <c r="H1002" s="153"/>
      <c r="I1002" s="153"/>
      <c r="J1002" s="153">
        <v>1899</v>
      </c>
      <c r="K1002" s="153">
        <v>12</v>
      </c>
    </row>
    <row r="1003" spans="1:11" ht="13.5" customHeight="1" x14ac:dyDescent="0.15">
      <c r="A1003" s="141"/>
      <c r="B1003" s="165">
        <v>1000</v>
      </c>
      <c r="C1003" s="166"/>
      <c r="D1003" s="153"/>
      <c r="E1003" s="153" t="s">
        <v>367</v>
      </c>
      <c r="F1003" s="153" t="s">
        <v>367</v>
      </c>
      <c r="G1003" s="153"/>
      <c r="H1003" s="153"/>
      <c r="I1003" s="153"/>
      <c r="J1003" s="153">
        <v>1899</v>
      </c>
      <c r="K1003" s="153">
        <v>12</v>
      </c>
    </row>
    <row r="1004" spans="1:11" ht="13.5" customHeight="1" x14ac:dyDescent="0.15">
      <c r="A1004" s="141"/>
      <c r="B1004" s="210" t="s">
        <v>387</v>
      </c>
      <c r="C1004" s="211"/>
      <c r="D1004" s="211"/>
      <c r="E1004" s="211"/>
      <c r="F1004" s="211"/>
      <c r="G1004" s="211"/>
      <c r="H1004" s="211"/>
      <c r="I1004" s="211"/>
      <c r="J1004" s="211"/>
      <c r="K1004" s="212"/>
    </row>
    <row r="1005" spans="1:11" ht="13.5" customHeight="1" x14ac:dyDescent="0.15">
      <c r="A1005" s="141"/>
      <c r="B1005" s="142"/>
      <c r="C1005" s="156"/>
      <c r="D1005" s="143"/>
      <c r="E1005" s="143"/>
      <c r="F1005" s="143"/>
      <c r="G1005" s="143"/>
      <c r="H1005" s="143"/>
      <c r="I1005" s="143"/>
      <c r="J1005" s="141"/>
      <c r="K1005" s="141"/>
    </row>
  </sheetData>
  <mergeCells count="1">
    <mergeCell ref="B1004:K1004"/>
  </mergeCells>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A00-000000000000}"/>
    <hyperlink ref="E2" location="'當前庫存'!D2" display="當前庫存" xr:uid="{00000000-0004-0000-0A00-000001000000}"/>
    <hyperlink ref="F2" location="'期初庫存'!F2" display="期初庫存" xr:uid="{00000000-0004-0000-0A00-000002000000}"/>
  </hyperlinks>
  <pageMargins left="0.7" right="0.7" top="0.75" bottom="0.75" header="0" footer="0"/>
  <pageSetup paperSize="9" fitToWidth="0" fitToHeight="0"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烤漆色號編碼!$A$2:$A$27</xm:f>
          </x14:formula1>
          <xm:sqref>D30:D47</xm:sqref>
        </x14:dataValidation>
        <x14:dataValidation type="list" allowBlank="1" showErrorMessage="1" xr:uid="{00000000-0002-0000-0A00-000001000000}">
          <x14:formula1>
            <xm:f>烤漆色號編碼!$A$2:$A$45</xm:f>
          </x14:formula1>
          <xm:sqref>D4:D29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
  <sheetViews>
    <sheetView workbookViewId="0">
      <pane ySplit="1" topLeftCell="A2" activePane="bottomLeft" state="frozen"/>
      <selection pane="bottomLeft" activeCell="B3" sqref="B3"/>
    </sheetView>
  </sheetViews>
  <sheetFormatPr defaultColWidth="13.97265625" defaultRowHeight="15" customHeight="1" x14ac:dyDescent="0.15"/>
  <cols>
    <col min="1" max="1" width="12.13671875" customWidth="1"/>
    <col min="2" max="2" width="6.984375" customWidth="1"/>
    <col min="3" max="3" width="16.1796875" customWidth="1"/>
    <col min="4" max="4" width="7.23046875" customWidth="1"/>
    <col min="5" max="5" width="4.90234375" customWidth="1"/>
    <col min="6" max="11" width="10.05078125" customWidth="1"/>
  </cols>
  <sheetData>
    <row r="1" spans="1:11" ht="13.5" customHeight="1" x14ac:dyDescent="0.15">
      <c r="A1" s="167" t="s">
        <v>16</v>
      </c>
      <c r="B1" s="167" t="s">
        <v>17</v>
      </c>
      <c r="C1" s="167" t="s">
        <v>362</v>
      </c>
      <c r="D1" s="167" t="s">
        <v>389</v>
      </c>
      <c r="E1" s="167" t="s">
        <v>301</v>
      </c>
      <c r="F1" s="168"/>
      <c r="G1" s="168"/>
      <c r="H1" s="168"/>
      <c r="I1" s="168"/>
      <c r="J1" s="168"/>
      <c r="K1" s="168"/>
    </row>
    <row r="2" spans="1:11" ht="13.5" customHeight="1" x14ac:dyDescent="0.15">
      <c r="A2" s="169" t="s">
        <v>37</v>
      </c>
      <c r="B2" s="170" t="s">
        <v>30</v>
      </c>
      <c r="C2" s="171" t="s">
        <v>390</v>
      </c>
      <c r="D2" s="171">
        <v>25</v>
      </c>
      <c r="E2" s="172" t="s">
        <v>38</v>
      </c>
      <c r="F2" s="173" t="s">
        <v>357</v>
      </c>
      <c r="G2" s="22"/>
      <c r="H2" s="22"/>
      <c r="I2" s="22"/>
      <c r="J2" s="22"/>
      <c r="K2" s="22"/>
    </row>
    <row r="3" spans="1:11" ht="13.5" customHeight="1" x14ac:dyDescent="0.15">
      <c r="A3" s="169" t="s">
        <v>50</v>
      </c>
      <c r="B3" s="170" t="s">
        <v>41</v>
      </c>
      <c r="C3" s="171" t="s">
        <v>391</v>
      </c>
      <c r="D3" s="171">
        <v>25</v>
      </c>
      <c r="E3" s="172" t="s">
        <v>38</v>
      </c>
      <c r="F3" s="22"/>
      <c r="G3" s="22"/>
      <c r="H3" s="22"/>
      <c r="I3" s="22"/>
      <c r="J3" s="22"/>
      <c r="K3" s="22"/>
    </row>
    <row r="4" spans="1:11" ht="13.5" customHeight="1" x14ac:dyDescent="0.15">
      <c r="A4" s="169" t="s">
        <v>392</v>
      </c>
      <c r="B4" s="170" t="s">
        <v>393</v>
      </c>
      <c r="C4" s="171" t="s">
        <v>77</v>
      </c>
      <c r="D4" s="171">
        <v>25</v>
      </c>
      <c r="E4" s="172" t="s">
        <v>38</v>
      </c>
      <c r="F4" s="174" t="s">
        <v>358</v>
      </c>
      <c r="G4" s="22"/>
      <c r="H4" s="22"/>
      <c r="I4" s="22"/>
      <c r="J4" s="22"/>
      <c r="K4" s="22"/>
    </row>
    <row r="5" spans="1:11" ht="13.5" customHeight="1" x14ac:dyDescent="0.15">
      <c r="A5" s="169" t="s">
        <v>394</v>
      </c>
      <c r="B5" s="170" t="s">
        <v>393</v>
      </c>
      <c r="C5" s="171" t="s">
        <v>77</v>
      </c>
      <c r="D5" s="171">
        <v>25</v>
      </c>
      <c r="E5" s="172" t="s">
        <v>38</v>
      </c>
      <c r="F5" s="174"/>
      <c r="G5" s="22"/>
      <c r="H5" s="22"/>
      <c r="I5" s="22"/>
      <c r="J5" s="22"/>
      <c r="K5" s="22"/>
    </row>
    <row r="6" spans="1:11" ht="13.5" customHeight="1" x14ac:dyDescent="0.15">
      <c r="A6" s="169" t="s">
        <v>395</v>
      </c>
      <c r="B6" s="170" t="s">
        <v>83</v>
      </c>
      <c r="C6" s="171" t="s">
        <v>82</v>
      </c>
      <c r="D6" s="171">
        <v>25</v>
      </c>
      <c r="E6" s="172" t="s">
        <v>85</v>
      </c>
      <c r="F6" s="22"/>
      <c r="G6" s="22"/>
      <c r="H6" s="22"/>
      <c r="I6" s="22"/>
      <c r="J6" s="22"/>
      <c r="K6" s="22"/>
    </row>
    <row r="7" spans="1:11" ht="13.5" customHeight="1" x14ac:dyDescent="0.15">
      <c r="A7" s="169" t="s">
        <v>341</v>
      </c>
      <c r="B7" s="170" t="s">
        <v>221</v>
      </c>
      <c r="C7" s="171" t="s">
        <v>220</v>
      </c>
      <c r="D7" s="171">
        <v>25</v>
      </c>
      <c r="E7" s="172" t="s">
        <v>85</v>
      </c>
      <c r="F7" s="174" t="s">
        <v>359</v>
      </c>
      <c r="G7" s="22"/>
      <c r="H7" s="22"/>
      <c r="I7" s="22"/>
      <c r="J7" s="22"/>
      <c r="K7" s="22"/>
    </row>
    <row r="8" spans="1:11" ht="13.5" customHeight="1" x14ac:dyDescent="0.15">
      <c r="A8" s="169" t="s">
        <v>203</v>
      </c>
      <c r="B8" s="170" t="s">
        <v>201</v>
      </c>
      <c r="C8" s="171" t="s">
        <v>200</v>
      </c>
      <c r="D8" s="171">
        <v>25</v>
      </c>
      <c r="E8" s="172" t="s">
        <v>46</v>
      </c>
      <c r="F8" s="22"/>
      <c r="G8" s="22"/>
      <c r="H8" s="22"/>
      <c r="I8" s="22"/>
      <c r="J8" s="22"/>
      <c r="K8" s="22"/>
    </row>
    <row r="9" spans="1:11" ht="13.5" customHeight="1" x14ac:dyDescent="0.15">
      <c r="A9" s="169" t="s">
        <v>334</v>
      </c>
      <c r="B9" s="170" t="s">
        <v>214</v>
      </c>
      <c r="C9" s="171" t="s">
        <v>396</v>
      </c>
      <c r="D9" s="171">
        <v>25</v>
      </c>
      <c r="E9" s="172" t="s">
        <v>85</v>
      </c>
      <c r="F9" s="174" t="s">
        <v>360</v>
      </c>
      <c r="G9" s="22"/>
      <c r="H9" s="22"/>
      <c r="I9" s="22"/>
      <c r="J9" s="22"/>
      <c r="K9" s="22"/>
    </row>
    <row r="10" spans="1:11" ht="13.5" customHeight="1" x14ac:dyDescent="0.15">
      <c r="A10" s="169" t="s">
        <v>2</v>
      </c>
      <c r="B10" s="170" t="s">
        <v>136</v>
      </c>
      <c r="C10" s="171" t="s">
        <v>135</v>
      </c>
      <c r="D10" s="171">
        <v>25</v>
      </c>
      <c r="E10" s="172" t="s">
        <v>46</v>
      </c>
      <c r="F10" s="22"/>
      <c r="G10" s="22"/>
      <c r="H10" s="22"/>
      <c r="I10" s="22"/>
      <c r="J10" s="22"/>
      <c r="K10" s="22"/>
    </row>
    <row r="11" spans="1:11" ht="13.5" customHeight="1" x14ac:dyDescent="0.15">
      <c r="A11" s="169" t="s">
        <v>335</v>
      </c>
      <c r="B11" s="170" t="s">
        <v>155</v>
      </c>
      <c r="C11" s="171" t="s">
        <v>154</v>
      </c>
      <c r="D11" s="171">
        <v>25</v>
      </c>
      <c r="E11" s="172" t="s">
        <v>397</v>
      </c>
      <c r="F11" s="22"/>
      <c r="G11" s="22"/>
      <c r="H11" s="22"/>
      <c r="I11" s="22"/>
      <c r="J11" s="22"/>
      <c r="K11" s="22"/>
    </row>
    <row r="12" spans="1:11" ht="13.5" customHeight="1" x14ac:dyDescent="0.15">
      <c r="A12" s="169" t="s">
        <v>339</v>
      </c>
      <c r="B12" s="170" t="s">
        <v>145</v>
      </c>
      <c r="C12" s="171" t="s">
        <v>144</v>
      </c>
      <c r="D12" s="171">
        <v>25</v>
      </c>
      <c r="E12" s="172" t="s">
        <v>38</v>
      </c>
      <c r="F12" s="22"/>
      <c r="G12" s="22"/>
      <c r="H12" s="22"/>
      <c r="I12" s="22"/>
      <c r="J12" s="22"/>
      <c r="K12" s="22"/>
    </row>
    <row r="13" spans="1:11" ht="13.5" customHeight="1" x14ac:dyDescent="0.15">
      <c r="A13" s="169" t="s">
        <v>142</v>
      </c>
      <c r="B13" s="170" t="s">
        <v>393</v>
      </c>
      <c r="C13" s="171" t="s">
        <v>138</v>
      </c>
      <c r="D13" s="171">
        <v>25</v>
      </c>
      <c r="E13" s="172" t="s">
        <v>85</v>
      </c>
      <c r="F13" s="22"/>
      <c r="G13" s="22"/>
      <c r="H13" s="22"/>
      <c r="I13" s="22"/>
      <c r="J13" s="22"/>
      <c r="K13" s="22"/>
    </row>
    <row r="14" spans="1:11" ht="13.5" customHeight="1" x14ac:dyDescent="0.15">
      <c r="A14" s="169" t="s">
        <v>336</v>
      </c>
      <c r="B14" s="170" t="s">
        <v>178</v>
      </c>
      <c r="C14" s="171" t="s">
        <v>177</v>
      </c>
      <c r="D14" s="171">
        <v>25</v>
      </c>
      <c r="E14" s="172" t="s">
        <v>46</v>
      </c>
      <c r="F14" s="22"/>
      <c r="G14" s="22"/>
      <c r="H14" s="22"/>
      <c r="I14" s="22"/>
      <c r="J14" s="22"/>
      <c r="K14" s="22"/>
    </row>
    <row r="15" spans="1:11" ht="13.5" customHeight="1" x14ac:dyDescent="0.15">
      <c r="A15" s="169" t="s">
        <v>176</v>
      </c>
      <c r="B15" s="170" t="s">
        <v>172</v>
      </c>
      <c r="C15" s="171" t="s">
        <v>175</v>
      </c>
      <c r="D15" s="171">
        <v>25</v>
      </c>
      <c r="E15" s="172" t="s">
        <v>38</v>
      </c>
      <c r="F15" s="22"/>
      <c r="G15" s="22"/>
      <c r="H15" s="22"/>
      <c r="I15" s="22"/>
      <c r="J15" s="22"/>
      <c r="K15" s="22"/>
    </row>
    <row r="16" spans="1:11" ht="13.5" customHeight="1" x14ac:dyDescent="0.15">
      <c r="A16" s="169" t="s">
        <v>346</v>
      </c>
      <c r="B16" s="170" t="s">
        <v>398</v>
      </c>
      <c r="C16" s="171" t="s">
        <v>171</v>
      </c>
      <c r="D16" s="171">
        <v>25</v>
      </c>
      <c r="E16" s="172" t="s">
        <v>38</v>
      </c>
      <c r="F16" s="22"/>
      <c r="G16" s="22"/>
      <c r="H16" s="22"/>
      <c r="I16" s="22"/>
      <c r="J16" s="22"/>
      <c r="K16" s="22"/>
    </row>
    <row r="17" spans="1:11" ht="13.5" customHeight="1" x14ac:dyDescent="0.15">
      <c r="A17" s="169" t="s">
        <v>342</v>
      </c>
      <c r="B17" s="170" t="s">
        <v>130</v>
      </c>
      <c r="C17" s="171" t="s">
        <v>129</v>
      </c>
      <c r="D17" s="171">
        <v>25</v>
      </c>
      <c r="E17" s="172" t="s">
        <v>397</v>
      </c>
      <c r="F17" s="22"/>
      <c r="G17" s="22"/>
      <c r="H17" s="22"/>
      <c r="I17" s="22"/>
      <c r="J17" s="22"/>
      <c r="K17" s="22"/>
    </row>
    <row r="18" spans="1:11" ht="13.5" customHeight="1" x14ac:dyDescent="0.15">
      <c r="A18" s="169" t="s">
        <v>399</v>
      </c>
      <c r="B18" s="170" t="s">
        <v>400</v>
      </c>
      <c r="C18" s="171" t="s">
        <v>401</v>
      </c>
      <c r="D18" s="171">
        <v>25</v>
      </c>
      <c r="E18" s="172" t="s">
        <v>38</v>
      </c>
      <c r="F18" s="22"/>
      <c r="G18" s="22"/>
      <c r="H18" s="22"/>
      <c r="I18" s="22"/>
      <c r="J18" s="22"/>
      <c r="K18" s="22"/>
    </row>
    <row r="19" spans="1:11" ht="13.5" customHeight="1" x14ac:dyDescent="0.15">
      <c r="A19" s="169" t="s">
        <v>402</v>
      </c>
      <c r="B19" s="170" t="s">
        <v>403</v>
      </c>
      <c r="C19" s="171" t="s">
        <v>404</v>
      </c>
      <c r="D19" s="171">
        <v>25</v>
      </c>
      <c r="E19" s="172" t="s">
        <v>38</v>
      </c>
      <c r="F19" s="22"/>
      <c r="G19" s="22"/>
      <c r="H19" s="22"/>
      <c r="I19" s="22"/>
      <c r="J19" s="22"/>
      <c r="K19" s="22"/>
    </row>
    <row r="20" spans="1:11" ht="13.5" customHeight="1" x14ac:dyDescent="0.15">
      <c r="A20" s="169" t="s">
        <v>405</v>
      </c>
      <c r="B20" s="170" t="s">
        <v>393</v>
      </c>
      <c r="C20" s="171" t="s">
        <v>406</v>
      </c>
      <c r="D20" s="171">
        <v>25</v>
      </c>
      <c r="E20" s="172" t="s">
        <v>38</v>
      </c>
      <c r="F20" s="22"/>
      <c r="G20" s="22"/>
      <c r="H20" s="22"/>
      <c r="I20" s="22"/>
      <c r="J20" s="22"/>
      <c r="K20" s="22"/>
    </row>
    <row r="21" spans="1:11" ht="13.5" customHeight="1" x14ac:dyDescent="0.15">
      <c r="A21" s="169" t="s">
        <v>407</v>
      </c>
      <c r="B21" s="170" t="s">
        <v>408</v>
      </c>
      <c r="C21" s="171" t="s">
        <v>254</v>
      </c>
      <c r="D21" s="171">
        <v>25</v>
      </c>
      <c r="E21" s="172" t="s">
        <v>38</v>
      </c>
      <c r="F21" s="22"/>
      <c r="G21" s="22"/>
      <c r="H21" s="22"/>
      <c r="I21" s="22"/>
      <c r="J21" s="22"/>
      <c r="K21" s="22"/>
    </row>
    <row r="22" spans="1:11" ht="13.5" customHeight="1" x14ac:dyDescent="0.15">
      <c r="A22" s="169" t="s">
        <v>409</v>
      </c>
      <c r="B22" s="170" t="s">
        <v>107</v>
      </c>
      <c r="C22" s="171" t="s">
        <v>106</v>
      </c>
      <c r="D22" s="171">
        <v>25</v>
      </c>
      <c r="E22" s="172" t="s">
        <v>85</v>
      </c>
      <c r="F22" s="22"/>
      <c r="G22" s="22"/>
      <c r="H22" s="22"/>
      <c r="I22" s="22"/>
      <c r="J22" s="22"/>
      <c r="K22" s="22"/>
    </row>
    <row r="23" spans="1:11" ht="13.5" customHeight="1" x14ac:dyDescent="0.15">
      <c r="A23" s="169" t="s">
        <v>410</v>
      </c>
      <c r="B23" s="170" t="s">
        <v>107</v>
      </c>
      <c r="C23" s="171" t="s">
        <v>106</v>
      </c>
      <c r="D23" s="171">
        <v>25</v>
      </c>
      <c r="E23" s="172" t="s">
        <v>85</v>
      </c>
      <c r="F23" s="22"/>
      <c r="G23" s="22"/>
      <c r="H23" s="22"/>
      <c r="I23" s="22"/>
      <c r="J23" s="22"/>
      <c r="K23" s="22"/>
    </row>
    <row r="24" spans="1:11" ht="13.5" customHeight="1" x14ac:dyDescent="0.15">
      <c r="A24" s="169" t="s">
        <v>411</v>
      </c>
      <c r="B24" s="170" t="s">
        <v>189</v>
      </c>
      <c r="C24" s="171" t="s">
        <v>188</v>
      </c>
      <c r="D24" s="171">
        <v>25</v>
      </c>
      <c r="E24" s="172" t="s">
        <v>85</v>
      </c>
      <c r="F24" s="22"/>
      <c r="G24" s="22"/>
      <c r="H24" s="22"/>
      <c r="I24" s="22"/>
      <c r="J24" s="22"/>
      <c r="K24" s="22"/>
    </row>
    <row r="25" spans="1:11" ht="13.5" customHeight="1" x14ac:dyDescent="0.15">
      <c r="A25" s="169" t="s">
        <v>412</v>
      </c>
      <c r="B25" s="170" t="s">
        <v>240</v>
      </c>
      <c r="C25" s="171" t="s">
        <v>239</v>
      </c>
      <c r="D25" s="171">
        <v>25</v>
      </c>
      <c r="E25" s="172" t="s">
        <v>46</v>
      </c>
      <c r="F25" s="22"/>
      <c r="G25" s="22"/>
      <c r="H25" s="22"/>
      <c r="I25" s="22"/>
      <c r="J25" s="22"/>
      <c r="K25" s="22"/>
    </row>
    <row r="26" spans="1:11" ht="13.5" customHeight="1" x14ac:dyDescent="0.15">
      <c r="A26" s="169" t="s">
        <v>337</v>
      </c>
      <c r="B26" s="170" t="s">
        <v>126</v>
      </c>
      <c r="C26" s="171" t="s">
        <v>125</v>
      </c>
      <c r="D26" s="171">
        <v>25</v>
      </c>
      <c r="E26" s="172" t="s">
        <v>46</v>
      </c>
      <c r="F26" s="22"/>
      <c r="G26" s="22"/>
      <c r="H26" s="22"/>
      <c r="I26" s="22"/>
      <c r="J26" s="22"/>
      <c r="K26" s="22"/>
    </row>
    <row r="27" spans="1:11" ht="13.5" customHeight="1" x14ac:dyDescent="0.15">
      <c r="A27" s="169" t="s">
        <v>98</v>
      </c>
      <c r="B27" s="170" t="s">
        <v>95</v>
      </c>
      <c r="C27" s="171" t="s">
        <v>94</v>
      </c>
      <c r="D27" s="171">
        <v>25</v>
      </c>
      <c r="E27" s="172" t="s">
        <v>46</v>
      </c>
      <c r="F27" s="22"/>
      <c r="G27" s="22"/>
      <c r="H27" s="22"/>
      <c r="I27" s="22"/>
      <c r="J27" s="22"/>
      <c r="K27" s="22"/>
    </row>
    <row r="28" spans="1:11" ht="13.5" customHeight="1" x14ac:dyDescent="0.15">
      <c r="A28" s="169" t="s">
        <v>228</v>
      </c>
      <c r="B28" s="170" t="s">
        <v>224</v>
      </c>
      <c r="C28" s="171" t="s">
        <v>413</v>
      </c>
      <c r="D28" s="171">
        <v>25</v>
      </c>
      <c r="E28" s="172" t="s">
        <v>46</v>
      </c>
      <c r="F28" s="22"/>
      <c r="G28" s="22"/>
      <c r="H28" s="22"/>
      <c r="I28" s="22"/>
      <c r="J28" s="22"/>
      <c r="K28" s="22"/>
    </row>
    <row r="29" spans="1:11" ht="13.5" customHeight="1" x14ac:dyDescent="0.15">
      <c r="A29" s="169" t="s">
        <v>414</v>
      </c>
      <c r="B29" s="170" t="s">
        <v>415</v>
      </c>
      <c r="C29" s="171" t="s">
        <v>416</v>
      </c>
      <c r="D29" s="171">
        <v>25</v>
      </c>
      <c r="E29" s="172" t="s">
        <v>38</v>
      </c>
      <c r="F29" s="22"/>
      <c r="G29" s="22"/>
      <c r="H29" s="22"/>
      <c r="I29" s="22"/>
      <c r="J29" s="22"/>
      <c r="K29" s="22"/>
    </row>
    <row r="30" spans="1:11" ht="13.5" customHeight="1" x14ac:dyDescent="0.15">
      <c r="A30" s="169" t="s">
        <v>417</v>
      </c>
      <c r="B30" s="170" t="s">
        <v>83</v>
      </c>
      <c r="C30" s="171" t="s">
        <v>82</v>
      </c>
      <c r="D30" s="171">
        <v>25</v>
      </c>
      <c r="E30" s="172" t="s">
        <v>38</v>
      </c>
      <c r="F30" s="22"/>
      <c r="G30" s="22"/>
      <c r="H30" s="22"/>
      <c r="I30" s="22"/>
      <c r="J30" s="22"/>
      <c r="K30" s="22"/>
    </row>
    <row r="31" spans="1:11" ht="13.5" customHeight="1" x14ac:dyDescent="0.15">
      <c r="A31" s="169" t="s">
        <v>418</v>
      </c>
      <c r="B31" s="170" t="s">
        <v>107</v>
      </c>
      <c r="C31" s="169" t="s">
        <v>419</v>
      </c>
      <c r="D31" s="169">
        <v>25</v>
      </c>
      <c r="E31" s="170" t="s">
        <v>420</v>
      </c>
      <c r="F31" s="22"/>
      <c r="G31" s="22"/>
      <c r="H31" s="22"/>
      <c r="I31" s="22"/>
      <c r="J31" s="22"/>
      <c r="K31" s="22"/>
    </row>
    <row r="32" spans="1:11" ht="13.5" customHeight="1" x14ac:dyDescent="0.15">
      <c r="A32" s="169" t="s">
        <v>421</v>
      </c>
      <c r="B32" s="170" t="s">
        <v>422</v>
      </c>
      <c r="C32" s="169" t="s">
        <v>404</v>
      </c>
      <c r="D32" s="169">
        <v>20</v>
      </c>
      <c r="E32" s="170" t="s">
        <v>85</v>
      </c>
      <c r="F32" s="22"/>
      <c r="G32" s="22"/>
      <c r="H32" s="22"/>
      <c r="I32" s="22"/>
      <c r="J32" s="22"/>
      <c r="K32" s="22"/>
    </row>
    <row r="33" spans="1:11" ht="13.5" customHeight="1" x14ac:dyDescent="0.15">
      <c r="A33" s="169" t="s">
        <v>423</v>
      </c>
      <c r="B33" s="170" t="s">
        <v>107</v>
      </c>
      <c r="C33" s="169" t="s">
        <v>424</v>
      </c>
      <c r="D33" s="169">
        <v>25</v>
      </c>
      <c r="E33" s="170" t="s">
        <v>43</v>
      </c>
      <c r="F33" s="22"/>
      <c r="G33" s="22"/>
      <c r="H33" s="22"/>
      <c r="I33" s="22"/>
      <c r="J33" s="22"/>
      <c r="K33" s="22"/>
    </row>
    <row r="34" spans="1:11" ht="13.5" customHeight="1" x14ac:dyDescent="0.15">
      <c r="A34" s="169" t="s">
        <v>338</v>
      </c>
      <c r="B34" s="170" t="s">
        <v>425</v>
      </c>
      <c r="C34" s="171" t="s">
        <v>77</v>
      </c>
      <c r="D34" s="171">
        <v>25</v>
      </c>
      <c r="E34" s="170" t="s">
        <v>426</v>
      </c>
      <c r="F34" s="22"/>
      <c r="G34" s="22"/>
      <c r="H34" s="22"/>
      <c r="I34" s="22"/>
      <c r="J34" s="22"/>
      <c r="K34" s="22"/>
    </row>
    <row r="35" spans="1:11" ht="13.5" customHeight="1" x14ac:dyDescent="0.15">
      <c r="A35" s="169" t="s">
        <v>332</v>
      </c>
      <c r="B35" s="170" t="s">
        <v>53</v>
      </c>
      <c r="C35" s="171" t="s">
        <v>390</v>
      </c>
      <c r="D35" s="171">
        <v>25</v>
      </c>
      <c r="E35" s="170" t="s">
        <v>426</v>
      </c>
      <c r="F35" s="22"/>
      <c r="G35" s="22"/>
      <c r="H35" s="22"/>
      <c r="I35" s="22"/>
      <c r="J35" s="22"/>
      <c r="K35" s="22"/>
    </row>
    <row r="36" spans="1:11" ht="13.5" customHeight="1" x14ac:dyDescent="0.15">
      <c r="A36" s="169" t="s">
        <v>427</v>
      </c>
      <c r="B36" s="170" t="s">
        <v>428</v>
      </c>
      <c r="C36" s="171" t="s">
        <v>239</v>
      </c>
      <c r="D36" s="171">
        <v>25</v>
      </c>
      <c r="E36" s="172" t="s">
        <v>38</v>
      </c>
      <c r="F36" s="22"/>
      <c r="G36" s="22"/>
      <c r="H36" s="22"/>
      <c r="I36" s="22"/>
      <c r="J36" s="22"/>
      <c r="K36" s="22"/>
    </row>
    <row r="37" spans="1:11" ht="13.5" customHeight="1" x14ac:dyDescent="0.15">
      <c r="A37" s="169" t="s">
        <v>429</v>
      </c>
      <c r="B37" s="170" t="s">
        <v>430</v>
      </c>
      <c r="C37" s="169" t="s">
        <v>431</v>
      </c>
      <c r="D37" s="169">
        <v>25</v>
      </c>
      <c r="E37" s="172" t="s">
        <v>38</v>
      </c>
      <c r="F37" s="22"/>
      <c r="G37" s="22"/>
      <c r="H37" s="22"/>
      <c r="I37" s="22"/>
      <c r="J37" s="22"/>
      <c r="K37" s="22"/>
    </row>
    <row r="38" spans="1:11" ht="13.5" customHeight="1" x14ac:dyDescent="0.15">
      <c r="A38" s="169" t="s">
        <v>432</v>
      </c>
      <c r="B38" s="170" t="s">
        <v>433</v>
      </c>
      <c r="C38" s="169" t="s">
        <v>239</v>
      </c>
      <c r="D38" s="169">
        <v>25</v>
      </c>
      <c r="E38" s="172" t="s">
        <v>426</v>
      </c>
      <c r="F38" s="22"/>
      <c r="G38" s="22"/>
      <c r="H38" s="22"/>
      <c r="I38" s="22"/>
      <c r="J38" s="22"/>
      <c r="K38" s="22"/>
    </row>
    <row r="39" spans="1:11" ht="13.5" customHeight="1" x14ac:dyDescent="0.15">
      <c r="A39" s="169" t="s">
        <v>434</v>
      </c>
      <c r="B39" s="170" t="s">
        <v>205</v>
      </c>
      <c r="C39" s="169" t="s">
        <v>204</v>
      </c>
      <c r="D39" s="169">
        <v>25</v>
      </c>
      <c r="E39" s="172" t="s">
        <v>85</v>
      </c>
      <c r="F39" s="22"/>
      <c r="G39" s="22"/>
      <c r="H39" s="22"/>
      <c r="I39" s="22"/>
      <c r="J39" s="22"/>
      <c r="K39" s="22"/>
    </row>
    <row r="40" spans="1:11" ht="13.5" customHeight="1" x14ac:dyDescent="0.15">
      <c r="A40" s="169" t="s">
        <v>435</v>
      </c>
      <c r="B40" s="170" t="s">
        <v>30</v>
      </c>
      <c r="C40" s="169" t="s">
        <v>29</v>
      </c>
      <c r="D40" s="169">
        <v>25</v>
      </c>
      <c r="E40" s="172" t="s">
        <v>46</v>
      </c>
      <c r="F40" s="22"/>
      <c r="G40" s="22"/>
      <c r="H40" s="22"/>
      <c r="I40" s="22"/>
      <c r="J40" s="22"/>
      <c r="K40" s="22"/>
    </row>
    <row r="41" spans="1:11" ht="13.5" customHeight="1" x14ac:dyDescent="0.15">
      <c r="A41" s="171" t="s">
        <v>436</v>
      </c>
      <c r="B41" s="170" t="s">
        <v>368</v>
      </c>
      <c r="C41" s="169" t="s">
        <v>368</v>
      </c>
      <c r="D41" s="169" t="s">
        <v>368</v>
      </c>
      <c r="E41" s="170" t="s">
        <v>368</v>
      </c>
      <c r="F41" s="22"/>
      <c r="G41" s="22"/>
      <c r="H41" s="22"/>
      <c r="I41" s="22"/>
      <c r="J41" s="22"/>
      <c r="K41" s="22"/>
    </row>
    <row r="42" spans="1:11" ht="13.5" customHeight="1" x14ac:dyDescent="0.15">
      <c r="A42" s="171" t="s">
        <v>340</v>
      </c>
      <c r="B42" s="170" t="s">
        <v>368</v>
      </c>
      <c r="C42" s="169" t="s">
        <v>368</v>
      </c>
      <c r="D42" s="169" t="s">
        <v>368</v>
      </c>
      <c r="E42" s="170" t="s">
        <v>368</v>
      </c>
      <c r="F42" s="22"/>
      <c r="G42" s="22"/>
      <c r="H42" s="22"/>
      <c r="I42" s="22"/>
      <c r="J42" s="22"/>
      <c r="K42" s="22"/>
    </row>
    <row r="43" spans="1:11" ht="13.5" customHeight="1" x14ac:dyDescent="0.15">
      <c r="A43" s="171" t="s">
        <v>350</v>
      </c>
      <c r="B43" s="170" t="s">
        <v>368</v>
      </c>
      <c r="C43" s="169" t="s">
        <v>368</v>
      </c>
      <c r="D43" s="169" t="s">
        <v>368</v>
      </c>
      <c r="E43" s="170" t="s">
        <v>368</v>
      </c>
      <c r="F43" s="22"/>
      <c r="G43" s="22"/>
      <c r="H43" s="22"/>
      <c r="I43" s="22"/>
      <c r="J43" s="22"/>
      <c r="K43" s="22"/>
    </row>
    <row r="44" spans="1:11" ht="13.5" customHeight="1" x14ac:dyDescent="0.15">
      <c r="A44" s="169" t="s">
        <v>343</v>
      </c>
      <c r="B44" s="170" t="s">
        <v>368</v>
      </c>
      <c r="C44" s="169" t="s">
        <v>368</v>
      </c>
      <c r="D44" s="169" t="s">
        <v>368</v>
      </c>
      <c r="E44" s="170" t="s">
        <v>368</v>
      </c>
      <c r="F44" s="22"/>
      <c r="G44" s="22"/>
      <c r="H44" s="22"/>
      <c r="I44" s="22"/>
      <c r="J44" s="22"/>
      <c r="K44" s="22"/>
    </row>
    <row r="45" spans="1:11" ht="13.5" customHeight="1" x14ac:dyDescent="0.15">
      <c r="A45" s="171" t="s">
        <v>437</v>
      </c>
      <c r="B45" s="170" t="s">
        <v>368</v>
      </c>
      <c r="C45" s="169" t="s">
        <v>368</v>
      </c>
      <c r="D45" s="169" t="s">
        <v>368</v>
      </c>
      <c r="E45" s="170" t="s">
        <v>368</v>
      </c>
      <c r="F45" s="22"/>
      <c r="G45" s="22"/>
      <c r="H45" s="22"/>
      <c r="I45" s="22"/>
      <c r="J45" s="22"/>
      <c r="K45" s="22"/>
    </row>
    <row r="46" spans="1:11" ht="13.5" customHeight="1" x14ac:dyDescent="0.15">
      <c r="A46" s="171" t="s">
        <v>344</v>
      </c>
      <c r="B46" s="170" t="s">
        <v>368</v>
      </c>
      <c r="C46" s="169" t="s">
        <v>368</v>
      </c>
      <c r="D46" s="169" t="s">
        <v>368</v>
      </c>
      <c r="E46" s="170" t="s">
        <v>368</v>
      </c>
      <c r="F46" s="22"/>
      <c r="G46" s="22"/>
      <c r="H46" s="22"/>
      <c r="I46" s="22"/>
      <c r="J46" s="22"/>
      <c r="K46" s="22"/>
    </row>
    <row r="47" spans="1:11" ht="13.5" customHeight="1" x14ac:dyDescent="0.15">
      <c r="A47" s="171" t="s">
        <v>333</v>
      </c>
      <c r="B47" s="170" t="s">
        <v>368</v>
      </c>
      <c r="C47" s="169" t="s">
        <v>368</v>
      </c>
      <c r="D47" s="169">
        <v>25</v>
      </c>
      <c r="E47" s="170" t="s">
        <v>368</v>
      </c>
      <c r="F47" s="22"/>
      <c r="G47" s="22"/>
      <c r="H47" s="22"/>
      <c r="I47" s="22"/>
      <c r="J47" s="22"/>
      <c r="K47" s="22"/>
    </row>
    <row r="48" spans="1:11" ht="13.5" customHeight="1" x14ac:dyDescent="0.15">
      <c r="A48" s="171"/>
      <c r="B48" s="170" t="s">
        <v>368</v>
      </c>
      <c r="C48" s="169" t="s">
        <v>368</v>
      </c>
      <c r="D48" s="169" t="s">
        <v>368</v>
      </c>
      <c r="E48" s="170" t="s">
        <v>368</v>
      </c>
      <c r="F48" s="22"/>
      <c r="G48" s="22"/>
      <c r="H48" s="22"/>
      <c r="I48" s="22"/>
      <c r="J48" s="22"/>
      <c r="K48" s="22"/>
    </row>
    <row r="49" spans="1:11" ht="13.5" customHeight="1" x14ac:dyDescent="0.15">
      <c r="A49" s="171"/>
      <c r="B49" s="170" t="s">
        <v>368</v>
      </c>
      <c r="C49" s="169" t="s">
        <v>368</v>
      </c>
      <c r="D49" s="169" t="s">
        <v>368</v>
      </c>
      <c r="E49" s="170" t="s">
        <v>368</v>
      </c>
      <c r="F49" s="22"/>
      <c r="G49" s="22"/>
      <c r="H49" s="22"/>
      <c r="I49" s="22"/>
      <c r="J49" s="22"/>
      <c r="K49" s="22"/>
    </row>
    <row r="50" spans="1:11" ht="13.5" customHeight="1" x14ac:dyDescent="0.15">
      <c r="A50" s="171"/>
      <c r="B50" s="170" t="s">
        <v>368</v>
      </c>
      <c r="C50" s="169" t="s">
        <v>368</v>
      </c>
      <c r="D50" s="169" t="s">
        <v>368</v>
      </c>
      <c r="E50" s="170" t="s">
        <v>368</v>
      </c>
      <c r="F50" s="22"/>
      <c r="G50" s="22"/>
      <c r="H50" s="22"/>
      <c r="I50" s="22"/>
      <c r="J50" s="22"/>
      <c r="K50" s="22"/>
    </row>
    <row r="51" spans="1:11" ht="13.5" customHeight="1" x14ac:dyDescent="0.15">
      <c r="A51" s="171"/>
      <c r="B51" s="170" t="s">
        <v>368</v>
      </c>
      <c r="C51" s="169" t="s">
        <v>368</v>
      </c>
      <c r="D51" s="169" t="s">
        <v>368</v>
      </c>
      <c r="E51" s="170" t="s">
        <v>368</v>
      </c>
      <c r="F51" s="22"/>
      <c r="G51" s="22"/>
      <c r="H51" s="22"/>
      <c r="I51" s="22"/>
      <c r="J51" s="22"/>
      <c r="K51" s="22"/>
    </row>
    <row r="52" spans="1:11" ht="13.5" customHeight="1" x14ac:dyDescent="0.15">
      <c r="A52" s="171"/>
      <c r="B52" s="170" t="s">
        <v>368</v>
      </c>
      <c r="C52" s="169" t="s">
        <v>368</v>
      </c>
      <c r="D52" s="169" t="s">
        <v>368</v>
      </c>
      <c r="E52" s="170" t="s">
        <v>368</v>
      </c>
      <c r="F52" s="22"/>
      <c r="G52" s="22"/>
      <c r="H52" s="22"/>
      <c r="I52" s="22"/>
      <c r="J52" s="22"/>
      <c r="K52" s="22"/>
    </row>
    <row r="53" spans="1:11" ht="13.5" customHeight="1" x14ac:dyDescent="0.15">
      <c r="A53" s="171"/>
      <c r="B53" s="170" t="s">
        <v>368</v>
      </c>
      <c r="C53" s="169" t="s">
        <v>368</v>
      </c>
      <c r="D53" s="169" t="s">
        <v>368</v>
      </c>
      <c r="E53" s="170" t="s">
        <v>368</v>
      </c>
      <c r="F53" s="22"/>
      <c r="G53" s="22"/>
      <c r="H53" s="22"/>
      <c r="I53" s="22"/>
      <c r="J53" s="22"/>
      <c r="K53" s="22"/>
    </row>
    <row r="54" spans="1:11" ht="13.5" customHeight="1" x14ac:dyDescent="0.15">
      <c r="A54" s="171"/>
      <c r="B54" s="170" t="s">
        <v>368</v>
      </c>
      <c r="C54" s="169" t="s">
        <v>368</v>
      </c>
      <c r="D54" s="169" t="s">
        <v>368</v>
      </c>
      <c r="E54" s="170" t="s">
        <v>368</v>
      </c>
      <c r="F54" s="22"/>
      <c r="G54" s="22"/>
      <c r="H54" s="22"/>
      <c r="I54" s="22"/>
      <c r="J54" s="22"/>
      <c r="K54" s="22"/>
    </row>
    <row r="55" spans="1:11" ht="13.5" customHeight="1" x14ac:dyDescent="0.15">
      <c r="A55" s="171"/>
      <c r="B55" s="170" t="s">
        <v>368</v>
      </c>
      <c r="C55" s="169" t="s">
        <v>368</v>
      </c>
      <c r="D55" s="169" t="s">
        <v>368</v>
      </c>
      <c r="E55" s="170" t="s">
        <v>368</v>
      </c>
      <c r="F55" s="22"/>
      <c r="G55" s="22"/>
      <c r="H55" s="22"/>
      <c r="I55" s="22"/>
      <c r="J55" s="22"/>
      <c r="K55" s="22"/>
    </row>
    <row r="56" spans="1:11" ht="13.5" customHeight="1" x14ac:dyDescent="0.15">
      <c r="A56" s="171"/>
      <c r="B56" s="170" t="s">
        <v>368</v>
      </c>
      <c r="C56" s="169" t="s">
        <v>368</v>
      </c>
      <c r="D56" s="169" t="s">
        <v>368</v>
      </c>
      <c r="E56" s="170" t="s">
        <v>368</v>
      </c>
      <c r="F56" s="22"/>
      <c r="G56" s="22"/>
      <c r="H56" s="22"/>
      <c r="I56" s="22"/>
      <c r="J56" s="22"/>
      <c r="K56" s="22"/>
    </row>
    <row r="57" spans="1:11" ht="13.5" customHeight="1" x14ac:dyDescent="0.15">
      <c r="A57" s="171"/>
      <c r="B57" s="170" t="s">
        <v>368</v>
      </c>
      <c r="C57" s="169" t="s">
        <v>368</v>
      </c>
      <c r="D57" s="169" t="s">
        <v>368</v>
      </c>
      <c r="E57" s="170" t="s">
        <v>368</v>
      </c>
      <c r="F57" s="22"/>
      <c r="G57" s="22"/>
      <c r="H57" s="22"/>
      <c r="I57" s="22"/>
      <c r="J57" s="22"/>
      <c r="K57" s="22"/>
    </row>
    <row r="58" spans="1:11" ht="13.5" customHeight="1" x14ac:dyDescent="0.15">
      <c r="A58" s="171"/>
      <c r="B58" s="170" t="s">
        <v>368</v>
      </c>
      <c r="C58" s="169" t="s">
        <v>368</v>
      </c>
      <c r="D58" s="169" t="s">
        <v>368</v>
      </c>
      <c r="E58" s="170" t="s">
        <v>368</v>
      </c>
      <c r="F58" s="22"/>
      <c r="G58" s="22"/>
      <c r="H58" s="22"/>
      <c r="I58" s="22"/>
      <c r="J58" s="22"/>
      <c r="K58" s="22"/>
    </row>
    <row r="59" spans="1:11" ht="13.5" customHeight="1" x14ac:dyDescent="0.15">
      <c r="A59" s="171"/>
      <c r="B59" s="170" t="s">
        <v>368</v>
      </c>
      <c r="C59" s="169" t="s">
        <v>368</v>
      </c>
      <c r="D59" s="169" t="s">
        <v>368</v>
      </c>
      <c r="E59" s="170" t="s">
        <v>368</v>
      </c>
      <c r="F59" s="22"/>
      <c r="G59" s="22"/>
      <c r="H59" s="22"/>
      <c r="I59" s="22"/>
      <c r="J59" s="22"/>
      <c r="K59" s="22"/>
    </row>
    <row r="60" spans="1:11" ht="13.5" customHeight="1" x14ac:dyDescent="0.15">
      <c r="A60" s="171"/>
      <c r="B60" s="170" t="s">
        <v>368</v>
      </c>
      <c r="C60" s="169" t="s">
        <v>368</v>
      </c>
      <c r="D60" s="169" t="s">
        <v>368</v>
      </c>
      <c r="E60" s="170" t="s">
        <v>368</v>
      </c>
      <c r="F60" s="22"/>
      <c r="G60" s="22"/>
      <c r="H60" s="22"/>
      <c r="I60" s="22"/>
      <c r="J60" s="22"/>
      <c r="K60" s="22"/>
    </row>
    <row r="61" spans="1:11" ht="13.5" customHeight="1" x14ac:dyDescent="0.15">
      <c r="A61" s="171"/>
      <c r="B61" s="170" t="s">
        <v>368</v>
      </c>
      <c r="C61" s="169" t="s">
        <v>368</v>
      </c>
      <c r="D61" s="169" t="s">
        <v>368</v>
      </c>
      <c r="E61" s="170" t="s">
        <v>368</v>
      </c>
      <c r="F61" s="22"/>
      <c r="G61" s="22"/>
      <c r="H61" s="22"/>
      <c r="I61" s="22"/>
      <c r="J61" s="22"/>
      <c r="K61" s="22"/>
    </row>
    <row r="62" spans="1:11" ht="13.5" customHeight="1" x14ac:dyDescent="0.15">
      <c r="A62" s="171"/>
      <c r="B62" s="170" t="s">
        <v>368</v>
      </c>
      <c r="C62" s="169" t="s">
        <v>368</v>
      </c>
      <c r="D62" s="169" t="s">
        <v>368</v>
      </c>
      <c r="E62" s="170" t="s">
        <v>368</v>
      </c>
      <c r="F62" s="22"/>
      <c r="G62" s="22"/>
      <c r="H62" s="22"/>
      <c r="I62" s="22"/>
      <c r="J62" s="22"/>
      <c r="K62" s="22"/>
    </row>
    <row r="63" spans="1:11" ht="13.5" customHeight="1" x14ac:dyDescent="0.15">
      <c r="A63" s="171"/>
      <c r="B63" s="170" t="s">
        <v>368</v>
      </c>
      <c r="C63" s="169" t="s">
        <v>368</v>
      </c>
      <c r="D63" s="169" t="s">
        <v>368</v>
      </c>
      <c r="E63" s="170" t="s">
        <v>368</v>
      </c>
      <c r="F63" s="22"/>
      <c r="G63" s="22"/>
      <c r="H63" s="22"/>
      <c r="I63" s="22"/>
      <c r="J63" s="22"/>
      <c r="K63" s="22"/>
    </row>
    <row r="64" spans="1:11" ht="13.5" customHeight="1" x14ac:dyDescent="0.15">
      <c r="A64" s="171"/>
      <c r="B64" s="170" t="s">
        <v>368</v>
      </c>
      <c r="C64" s="169" t="s">
        <v>368</v>
      </c>
      <c r="D64" s="169" t="s">
        <v>368</v>
      </c>
      <c r="E64" s="170" t="s">
        <v>368</v>
      </c>
      <c r="F64" s="22"/>
      <c r="G64" s="22"/>
      <c r="H64" s="22"/>
      <c r="I64" s="22"/>
      <c r="J64" s="22"/>
      <c r="K64" s="22"/>
    </row>
    <row r="65" spans="1:11" ht="13.5" customHeight="1" x14ac:dyDescent="0.15">
      <c r="A65" s="171"/>
      <c r="B65" s="170" t="s">
        <v>368</v>
      </c>
      <c r="C65" s="169" t="s">
        <v>368</v>
      </c>
      <c r="D65" s="169" t="s">
        <v>368</v>
      </c>
      <c r="E65" s="170" t="s">
        <v>368</v>
      </c>
      <c r="F65" s="22"/>
      <c r="G65" s="22"/>
      <c r="H65" s="22"/>
      <c r="I65" s="22"/>
      <c r="J65" s="22"/>
      <c r="K65" s="22"/>
    </row>
    <row r="66" spans="1:11" ht="13.5" customHeight="1" x14ac:dyDescent="0.15">
      <c r="A66" s="171"/>
      <c r="B66" s="170" t="s">
        <v>368</v>
      </c>
      <c r="C66" s="169" t="s">
        <v>368</v>
      </c>
      <c r="D66" s="169" t="s">
        <v>368</v>
      </c>
      <c r="E66" s="170" t="s">
        <v>368</v>
      </c>
      <c r="F66" s="22"/>
      <c r="G66" s="22"/>
      <c r="H66" s="22"/>
      <c r="I66" s="22"/>
      <c r="J66" s="22"/>
      <c r="K66" s="22"/>
    </row>
    <row r="67" spans="1:11" ht="13.5" customHeight="1" x14ac:dyDescent="0.15">
      <c r="A67" s="171"/>
      <c r="B67" s="170" t="s">
        <v>368</v>
      </c>
      <c r="C67" s="169" t="s">
        <v>368</v>
      </c>
      <c r="D67" s="169" t="s">
        <v>368</v>
      </c>
      <c r="E67" s="170" t="s">
        <v>368</v>
      </c>
      <c r="F67" s="22"/>
      <c r="G67" s="22"/>
      <c r="H67" s="22"/>
      <c r="I67" s="22"/>
      <c r="J67" s="22"/>
      <c r="K67" s="22"/>
    </row>
    <row r="68" spans="1:11" ht="13.5" customHeight="1" x14ac:dyDescent="0.15">
      <c r="A68" s="168"/>
      <c r="B68" s="168"/>
      <c r="C68" s="168"/>
      <c r="D68" s="168"/>
      <c r="E68" s="168"/>
      <c r="F68" s="22"/>
      <c r="G68" s="22"/>
      <c r="H68" s="22"/>
      <c r="I68" s="22"/>
      <c r="J68" s="22"/>
      <c r="K68" s="22"/>
    </row>
    <row r="69" spans="1:11" ht="13.5" customHeight="1" x14ac:dyDescent="0.15">
      <c r="A69" s="168"/>
      <c r="B69" s="168"/>
      <c r="C69" s="168"/>
      <c r="D69" s="168"/>
      <c r="E69" s="168"/>
      <c r="F69" s="22"/>
      <c r="G69" s="22"/>
      <c r="H69" s="22"/>
      <c r="I69" s="22"/>
      <c r="J69" s="22"/>
      <c r="K69" s="22"/>
    </row>
    <row r="70" spans="1:11" ht="13.5" customHeight="1" x14ac:dyDescent="0.15">
      <c r="A70" s="168"/>
      <c r="B70" s="168"/>
      <c r="C70" s="168"/>
      <c r="D70" s="168"/>
      <c r="E70" s="168"/>
      <c r="F70" s="22"/>
      <c r="G70" s="22"/>
      <c r="H70" s="22"/>
      <c r="I70" s="22"/>
      <c r="J70" s="22"/>
      <c r="K70" s="22"/>
    </row>
    <row r="71" spans="1:11" ht="13.5" customHeight="1" x14ac:dyDescent="0.15">
      <c r="A71" s="168"/>
      <c r="B71" s="168"/>
      <c r="C71" s="168"/>
      <c r="D71" s="168"/>
      <c r="E71" s="168"/>
      <c r="F71" s="22"/>
      <c r="G71" s="22"/>
      <c r="H71" s="22"/>
      <c r="I71" s="22"/>
      <c r="J71" s="22"/>
      <c r="K71" s="22"/>
    </row>
    <row r="72" spans="1:11" ht="13.5" customHeight="1" x14ac:dyDescent="0.15">
      <c r="A72" s="168"/>
      <c r="B72" s="168"/>
      <c r="C72" s="168"/>
      <c r="D72" s="168"/>
      <c r="E72" s="168"/>
      <c r="F72" s="22"/>
      <c r="G72" s="22"/>
      <c r="H72" s="22"/>
      <c r="I72" s="22"/>
      <c r="J72" s="22"/>
      <c r="K72" s="22"/>
    </row>
    <row r="73" spans="1:11" ht="13.5" customHeight="1" x14ac:dyDescent="0.15">
      <c r="A73" s="168"/>
      <c r="B73" s="168"/>
      <c r="C73" s="168"/>
      <c r="D73" s="168"/>
      <c r="E73" s="168"/>
      <c r="F73" s="22"/>
      <c r="G73" s="22"/>
      <c r="H73" s="22"/>
      <c r="I73" s="22"/>
      <c r="J73" s="22"/>
      <c r="K73" s="22"/>
    </row>
    <row r="74" spans="1:11" ht="13.5" customHeight="1" x14ac:dyDescent="0.15">
      <c r="A74" s="168"/>
      <c r="B74" s="168"/>
      <c r="C74" s="168"/>
      <c r="D74" s="168"/>
      <c r="E74" s="168"/>
      <c r="F74" s="22"/>
      <c r="G74" s="22"/>
      <c r="H74" s="22"/>
      <c r="I74" s="22"/>
      <c r="J74" s="22"/>
      <c r="K74" s="22"/>
    </row>
    <row r="75" spans="1:11" ht="13.5" customHeight="1" x14ac:dyDescent="0.15">
      <c r="A75" s="168"/>
      <c r="B75" s="168"/>
      <c r="C75" s="168"/>
      <c r="D75" s="168"/>
      <c r="E75" s="168"/>
      <c r="F75" s="22"/>
      <c r="G75" s="22"/>
      <c r="H75" s="22"/>
      <c r="I75" s="22"/>
      <c r="J75" s="22"/>
      <c r="K75" s="22"/>
    </row>
    <row r="76" spans="1:11" ht="13.5" customHeight="1" x14ac:dyDescent="0.15">
      <c r="A76" s="168"/>
      <c r="B76" s="168"/>
      <c r="C76" s="168"/>
      <c r="D76" s="168"/>
      <c r="E76" s="168"/>
      <c r="F76" s="22"/>
      <c r="G76" s="22"/>
      <c r="H76" s="22"/>
      <c r="I76" s="22"/>
      <c r="J76" s="22"/>
      <c r="K76" s="22"/>
    </row>
    <row r="77" spans="1:11" ht="13.5" customHeight="1" x14ac:dyDescent="0.15">
      <c r="A77" s="168"/>
      <c r="B77" s="168"/>
      <c r="C77" s="168"/>
      <c r="D77" s="168"/>
      <c r="E77" s="168"/>
      <c r="F77" s="22"/>
      <c r="G77" s="22"/>
      <c r="H77" s="22"/>
      <c r="I77" s="22"/>
      <c r="J77" s="22"/>
      <c r="K77" s="22"/>
    </row>
    <row r="78" spans="1:11" ht="13.5" customHeight="1" x14ac:dyDescent="0.15">
      <c r="A78" s="168"/>
      <c r="B78" s="168"/>
      <c r="C78" s="168"/>
      <c r="D78" s="168"/>
      <c r="E78" s="168"/>
      <c r="F78" s="22"/>
      <c r="G78" s="22"/>
      <c r="H78" s="22"/>
      <c r="I78" s="22"/>
      <c r="J78" s="22"/>
      <c r="K78" s="22"/>
    </row>
    <row r="79" spans="1:11" ht="13.5" customHeight="1" x14ac:dyDescent="0.15">
      <c r="A79" s="168"/>
      <c r="B79" s="168"/>
      <c r="C79" s="168"/>
      <c r="D79" s="168"/>
      <c r="E79" s="168"/>
      <c r="F79" s="22"/>
      <c r="G79" s="22"/>
      <c r="H79" s="22"/>
      <c r="I79" s="22"/>
      <c r="J79" s="22"/>
      <c r="K79" s="22"/>
    </row>
    <row r="80" spans="1:11" ht="13.5" customHeight="1" x14ac:dyDescent="0.15">
      <c r="A80" s="168"/>
      <c r="B80" s="168"/>
      <c r="C80" s="168"/>
      <c r="D80" s="168"/>
      <c r="E80" s="168"/>
      <c r="F80" s="22"/>
      <c r="G80" s="22"/>
      <c r="H80" s="22"/>
      <c r="I80" s="22"/>
      <c r="J80" s="22"/>
      <c r="K80" s="22"/>
    </row>
    <row r="81" spans="1:11" ht="13.5" customHeight="1" x14ac:dyDescent="0.15">
      <c r="A81" s="168"/>
      <c r="B81" s="168"/>
      <c r="C81" s="168"/>
      <c r="D81" s="168"/>
      <c r="E81" s="168"/>
      <c r="F81" s="22"/>
      <c r="G81" s="22"/>
      <c r="H81" s="22"/>
      <c r="I81" s="22"/>
      <c r="J81" s="22"/>
      <c r="K81" s="22"/>
    </row>
    <row r="82" spans="1:11" ht="13.5" customHeight="1" x14ac:dyDescent="0.15">
      <c r="A82" s="168"/>
      <c r="B82" s="168"/>
      <c r="C82" s="168"/>
      <c r="D82" s="168"/>
      <c r="E82" s="168"/>
      <c r="F82" s="22"/>
      <c r="G82" s="22"/>
      <c r="H82" s="22"/>
      <c r="I82" s="22"/>
      <c r="J82" s="22"/>
      <c r="K82" s="22"/>
    </row>
    <row r="83" spans="1:11" ht="13.5" customHeight="1" x14ac:dyDescent="0.15">
      <c r="A83" s="168"/>
      <c r="B83" s="168"/>
      <c r="C83" s="168"/>
      <c r="D83" s="168"/>
      <c r="E83" s="168"/>
      <c r="F83" s="22"/>
      <c r="G83" s="22"/>
      <c r="H83" s="22"/>
      <c r="I83" s="22"/>
      <c r="J83" s="22"/>
      <c r="K83" s="22"/>
    </row>
    <row r="84" spans="1:11" ht="13.5" customHeight="1" x14ac:dyDescent="0.15">
      <c r="A84" s="168"/>
      <c r="B84" s="168"/>
      <c r="C84" s="168"/>
      <c r="D84" s="168"/>
      <c r="E84" s="168"/>
      <c r="F84" s="22"/>
      <c r="G84" s="22"/>
      <c r="H84" s="22"/>
      <c r="I84" s="22"/>
      <c r="J84" s="22"/>
      <c r="K84" s="22"/>
    </row>
    <row r="85" spans="1:11" ht="13.5" customHeight="1" x14ac:dyDescent="0.15">
      <c r="A85" s="168"/>
      <c r="B85" s="168"/>
      <c r="C85" s="168"/>
      <c r="D85" s="168"/>
      <c r="E85" s="168"/>
      <c r="F85" s="22"/>
      <c r="G85" s="22"/>
      <c r="H85" s="22"/>
      <c r="I85" s="22"/>
      <c r="J85" s="22"/>
      <c r="K85" s="22"/>
    </row>
    <row r="86" spans="1:11" ht="13.5" customHeight="1" x14ac:dyDescent="0.15">
      <c r="A86" s="168"/>
      <c r="B86" s="168"/>
      <c r="C86" s="168"/>
      <c r="D86" s="168"/>
      <c r="E86" s="168"/>
      <c r="F86" s="22"/>
      <c r="G86" s="22"/>
      <c r="H86" s="22"/>
      <c r="I86" s="22"/>
      <c r="J86" s="22"/>
      <c r="K86" s="22"/>
    </row>
    <row r="87" spans="1:11" ht="13.5" customHeight="1" x14ac:dyDescent="0.15">
      <c r="A87" s="168"/>
      <c r="B87" s="168"/>
      <c r="C87" s="168"/>
      <c r="D87" s="168"/>
      <c r="E87" s="168"/>
      <c r="F87" s="22"/>
      <c r="G87" s="22"/>
      <c r="H87" s="22"/>
      <c r="I87" s="22"/>
      <c r="J87" s="22"/>
      <c r="K87" s="22"/>
    </row>
    <row r="88" spans="1:11" ht="13.5" customHeight="1" x14ac:dyDescent="0.15">
      <c r="A88" s="168"/>
      <c r="B88" s="168"/>
      <c r="C88" s="168"/>
      <c r="D88" s="168"/>
      <c r="E88" s="168"/>
      <c r="F88" s="22"/>
      <c r="G88" s="22"/>
      <c r="H88" s="22"/>
      <c r="I88" s="22"/>
      <c r="J88" s="22"/>
      <c r="K88" s="22"/>
    </row>
    <row r="89" spans="1:11" ht="13.5" customHeight="1" x14ac:dyDescent="0.15">
      <c r="A89" s="168"/>
      <c r="B89" s="168"/>
      <c r="C89" s="168"/>
      <c r="D89" s="168"/>
      <c r="E89" s="168"/>
      <c r="F89" s="22"/>
      <c r="G89" s="22"/>
      <c r="H89" s="22"/>
      <c r="I89" s="22"/>
      <c r="J89" s="22"/>
      <c r="K89" s="22"/>
    </row>
    <row r="90" spans="1:11" ht="13.5" customHeight="1" x14ac:dyDescent="0.15">
      <c r="A90" s="168"/>
      <c r="B90" s="168"/>
      <c r="C90" s="168"/>
      <c r="D90" s="168"/>
      <c r="E90" s="168"/>
      <c r="F90" s="22"/>
      <c r="G90" s="22"/>
      <c r="H90" s="22"/>
      <c r="I90" s="22"/>
      <c r="J90" s="22"/>
      <c r="K90" s="22"/>
    </row>
    <row r="91" spans="1:11" ht="13.5" customHeight="1" x14ac:dyDescent="0.15">
      <c r="A91" s="168"/>
      <c r="B91" s="168"/>
      <c r="C91" s="168"/>
      <c r="D91" s="168"/>
      <c r="E91" s="168"/>
      <c r="F91" s="22"/>
      <c r="G91" s="22"/>
      <c r="H91" s="22"/>
      <c r="I91" s="22"/>
      <c r="J91" s="22"/>
      <c r="K91" s="22"/>
    </row>
    <row r="92" spans="1:11" ht="13.5" customHeight="1" x14ac:dyDescent="0.15">
      <c r="A92" s="168"/>
      <c r="B92" s="168"/>
      <c r="C92" s="168"/>
      <c r="D92" s="168"/>
      <c r="E92" s="168"/>
      <c r="F92" s="22"/>
      <c r="G92" s="22"/>
      <c r="H92" s="22"/>
      <c r="I92" s="22"/>
      <c r="J92" s="22"/>
      <c r="K92" s="22"/>
    </row>
    <row r="93" spans="1:11" ht="13.5" customHeight="1" x14ac:dyDescent="0.15">
      <c r="A93" s="168"/>
      <c r="B93" s="168"/>
      <c r="C93" s="168"/>
      <c r="D93" s="168"/>
      <c r="E93" s="168"/>
      <c r="F93" s="22"/>
      <c r="G93" s="22"/>
      <c r="H93" s="22"/>
      <c r="I93" s="22"/>
      <c r="J93" s="22"/>
      <c r="K93" s="22"/>
    </row>
    <row r="94" spans="1:11" ht="13.5" customHeight="1" x14ac:dyDescent="0.15">
      <c r="A94" s="168"/>
      <c r="B94" s="168"/>
      <c r="C94" s="168"/>
      <c r="D94" s="168"/>
      <c r="E94" s="168"/>
      <c r="F94" s="22"/>
      <c r="G94" s="22"/>
      <c r="H94" s="22"/>
      <c r="I94" s="22"/>
      <c r="J94" s="22"/>
      <c r="K94" s="22"/>
    </row>
    <row r="95" spans="1:11" ht="13.5" customHeight="1" x14ac:dyDescent="0.15">
      <c r="A95" s="168"/>
      <c r="B95" s="168"/>
      <c r="C95" s="168"/>
      <c r="D95" s="168"/>
      <c r="E95" s="168"/>
      <c r="F95" s="22"/>
      <c r="G95" s="22"/>
      <c r="H95" s="22"/>
      <c r="I95" s="22"/>
      <c r="J95" s="22"/>
      <c r="K95" s="22"/>
    </row>
    <row r="96" spans="1:11" ht="13.5" customHeight="1" x14ac:dyDescent="0.15">
      <c r="A96" s="168"/>
      <c r="B96" s="168"/>
      <c r="C96" s="168"/>
      <c r="D96" s="168"/>
      <c r="E96" s="168"/>
      <c r="F96" s="22"/>
      <c r="G96" s="22"/>
      <c r="H96" s="22"/>
      <c r="I96" s="22"/>
      <c r="J96" s="22"/>
      <c r="K96" s="22"/>
    </row>
    <row r="97" spans="1:11" ht="13.5" customHeight="1" x14ac:dyDescent="0.15">
      <c r="A97" s="168"/>
      <c r="B97" s="168"/>
      <c r="C97" s="168"/>
      <c r="D97" s="168"/>
      <c r="E97" s="168"/>
      <c r="F97" s="22"/>
      <c r="G97" s="22"/>
      <c r="H97" s="22"/>
      <c r="I97" s="22"/>
      <c r="J97" s="22"/>
      <c r="K97" s="22"/>
    </row>
    <row r="98" spans="1:11" ht="13.5" customHeight="1" x14ac:dyDescent="0.15">
      <c r="A98" s="168"/>
      <c r="B98" s="168"/>
      <c r="C98" s="168"/>
      <c r="D98" s="168"/>
      <c r="E98" s="168"/>
      <c r="F98" s="22"/>
      <c r="G98" s="22"/>
      <c r="H98" s="22"/>
      <c r="I98" s="22"/>
      <c r="J98" s="22"/>
      <c r="K98" s="22"/>
    </row>
    <row r="99" spans="1:11" ht="13.5" customHeight="1" x14ac:dyDescent="0.15">
      <c r="A99" s="168"/>
      <c r="B99" s="168"/>
      <c r="C99" s="168"/>
      <c r="D99" s="168"/>
      <c r="E99" s="168"/>
      <c r="F99" s="22"/>
      <c r="G99" s="22"/>
      <c r="H99" s="22"/>
      <c r="I99" s="22"/>
      <c r="J99" s="22"/>
      <c r="K99" s="22"/>
    </row>
    <row r="100" spans="1:11" ht="13.5" customHeight="1" x14ac:dyDescent="0.15">
      <c r="A100" s="168"/>
      <c r="B100" s="168"/>
      <c r="C100" s="168"/>
      <c r="D100" s="168"/>
      <c r="E100" s="168"/>
      <c r="F100" s="22"/>
      <c r="G100" s="22"/>
      <c r="H100" s="22"/>
      <c r="I100" s="22"/>
      <c r="J100" s="22"/>
      <c r="K100" s="22"/>
    </row>
  </sheetData>
  <hyperlinks>
    <hyperlink ref="F2" location="'每日用粉紀錄表'!A1" display="紀錄表" xr:uid="{00000000-0004-0000-0B00-000000000000}"/>
    <hyperlink ref="F4" location="'當前庫存'!D2" display="當前庫存" xr:uid="{00000000-0004-0000-0B00-000001000000}"/>
    <hyperlink ref="F7" location="'期初庫存'!F2" display="期初庫存" xr:uid="{00000000-0004-0000-0B00-000002000000}"/>
    <hyperlink ref="F9" location="'採購入庫'!G2" display="採購入庫" xr:uid="{00000000-0004-0000-0B00-000003000000}"/>
  </hyperlinks>
  <pageMargins left="0.7" right="0.7" top="0.75" bottom="0.75" header="0" footer="0"/>
  <pageSetup paperSize="9" fitToWidth="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00"/>
  <sheetViews>
    <sheetView workbookViewId="0">
      <pane ySplit="1" topLeftCell="A2" activePane="bottomLeft" state="frozen"/>
      <selection pane="bottomLeft" activeCell="B3" sqref="B3"/>
    </sheetView>
  </sheetViews>
  <sheetFormatPr defaultColWidth="13.97265625" defaultRowHeight="15" customHeight="1" x14ac:dyDescent="0.15"/>
  <cols>
    <col min="1" max="1" width="8.82421875" customWidth="1"/>
    <col min="2" max="3" width="12.13671875" customWidth="1"/>
    <col min="4" max="4" width="11.5234375" customWidth="1"/>
    <col min="5" max="5" width="6.6171875" customWidth="1"/>
    <col min="6" max="11" width="8.82421875" customWidth="1"/>
  </cols>
  <sheetData>
    <row r="1" spans="1:11" ht="13.5" customHeight="1" x14ac:dyDescent="0.15">
      <c r="A1" s="175"/>
      <c r="B1" s="176" t="s">
        <v>16</v>
      </c>
      <c r="C1" s="176" t="s">
        <v>362</v>
      </c>
      <c r="D1" s="176" t="s">
        <v>438</v>
      </c>
      <c r="E1" s="176" t="s">
        <v>17</v>
      </c>
      <c r="F1" s="176" t="s">
        <v>301</v>
      </c>
      <c r="G1" s="175"/>
      <c r="H1" s="175"/>
      <c r="I1" s="175"/>
      <c r="J1" s="175"/>
      <c r="K1" s="175"/>
    </row>
    <row r="2" spans="1:11" ht="13.5" customHeight="1" x14ac:dyDescent="0.15">
      <c r="A2" s="175"/>
      <c r="B2" s="177" t="str">
        <f>IF(烤漆色號編碼!A2="","-",烤漆色號編碼!A2)</f>
        <v>DP-11485</v>
      </c>
      <c r="C2" s="177" t="s">
        <v>29</v>
      </c>
      <c r="D2" s="177" t="str">
        <f>IFERROR(VLOOKUP($B2,烤漆色號編碼!$A:$E,3,FALSE),"-")</f>
        <v>白亮光</v>
      </c>
      <c r="E2" s="177" t="str">
        <f>IFERROR(VLOOKUP($B2,烤漆色號編碼!$A:$E,2,FALSE),"-")</f>
        <v>WE</v>
      </c>
      <c r="F2" s="177" t="str">
        <f>IFERROR(VLOOKUP($B2,烤漆色號編碼!$A:$E,5,FALSE),"-")</f>
        <v>國麗</v>
      </c>
      <c r="G2" s="175"/>
      <c r="H2" s="175"/>
      <c r="I2" s="175"/>
      <c r="J2" s="175"/>
      <c r="K2" s="175"/>
    </row>
    <row r="3" spans="1:11" ht="13.5" customHeight="1" x14ac:dyDescent="0.15">
      <c r="A3" s="175"/>
      <c r="B3" s="177" t="str">
        <f>IF(烤漆色號編碼!A3="","-",烤漆色號編碼!A3)</f>
        <v>DP-1856</v>
      </c>
      <c r="C3" s="177" t="s">
        <v>29</v>
      </c>
      <c r="D3" s="177" t="str">
        <f>IFERROR(VLOOKUP($B3,烤漆色號編碼!$A:$E,3,FALSE),"-")</f>
        <v>灰白</v>
      </c>
      <c r="E3" s="177" t="str">
        <f>IFERROR(VLOOKUP($B3,烤漆色號編碼!$A:$E,2,FALSE),"-")</f>
        <v>WE1</v>
      </c>
      <c r="F3" s="177" t="str">
        <f>IFERROR(VLOOKUP($B3,烤漆色號編碼!$A:$E,5,FALSE),"-")</f>
        <v>國麗</v>
      </c>
      <c r="G3" s="175"/>
      <c r="H3" s="175"/>
      <c r="I3" s="175"/>
      <c r="J3" s="175"/>
      <c r="K3" s="175"/>
    </row>
    <row r="4" spans="1:11" ht="13.5" customHeight="1" x14ac:dyDescent="0.15">
      <c r="A4" s="175"/>
      <c r="B4" s="177" t="str">
        <f>IF(烤漆色號編碼!A6="","-",烤漆色號編碼!A6)</f>
        <v>790-41540H</v>
      </c>
      <c r="C4" s="177" t="s">
        <v>439</v>
      </c>
      <c r="D4" s="177" t="str">
        <f>IFERROR(VLOOKUP($B4,烤漆色號編碼!$A:$E,3,FALSE),"-")</f>
        <v>黃錘紋</v>
      </c>
      <c r="E4" s="177" t="str">
        <f>IFERROR(VLOOKUP($B4,烤漆色號編碼!$A:$E,2,FALSE),"-")</f>
        <v>YWH</v>
      </c>
      <c r="F4" s="177" t="str">
        <f>IFERROR(VLOOKUP($B4,烤漆色號編碼!$A:$E,5,FALSE),"-")</f>
        <v>國邦</v>
      </c>
      <c r="G4" s="175"/>
      <c r="H4" s="175"/>
      <c r="I4" s="175"/>
      <c r="J4" s="175"/>
      <c r="K4" s="175"/>
    </row>
    <row r="5" spans="1:11" ht="13.5" customHeight="1" x14ac:dyDescent="0.15">
      <c r="A5" s="175"/>
      <c r="B5" s="177" t="str">
        <f>IF(烤漆色號編碼!A7="","-",烤漆色號編碼!A7)</f>
        <v>780-310AT</v>
      </c>
      <c r="C5" s="177" t="s">
        <v>440</v>
      </c>
      <c r="D5" s="177" t="str">
        <f>IFERROR(VLOOKUP($B5,烤漆色號編碼!$A:$E,3,FALSE),"-")</f>
        <v>法拉利紅</v>
      </c>
      <c r="E5" s="177" t="str">
        <f>IFERROR(VLOOKUP($B5,烤漆色號編碼!$A:$E,2,FALSE),"-")</f>
        <v>RD</v>
      </c>
      <c r="F5" s="177" t="str">
        <f>IFERROR(VLOOKUP($B5,烤漆色號編碼!$A:$E,5,FALSE),"-")</f>
        <v>國邦</v>
      </c>
      <c r="G5" s="175"/>
      <c r="H5" s="175"/>
      <c r="I5" s="175"/>
      <c r="J5" s="175"/>
      <c r="K5" s="175"/>
    </row>
    <row r="6" spans="1:11" ht="13.5" customHeight="1" x14ac:dyDescent="0.15">
      <c r="A6" s="175"/>
      <c r="B6" s="177" t="str">
        <f>IF(烤漆色號編碼!A8="","-",烤漆色號編碼!A8)</f>
        <v>LT-90442</v>
      </c>
      <c r="C6" s="177" t="s">
        <v>200</v>
      </c>
      <c r="D6" s="177" t="str">
        <f>IFERROR(VLOOKUP($B6,烤漆色號編碼!$A:$E,3,FALSE),"-")</f>
        <v>藍色</v>
      </c>
      <c r="E6" s="177" t="str">
        <f>IFERROR(VLOOKUP($B6,烤漆色號編碼!$A:$E,2,FALSE),"-")</f>
        <v>BE</v>
      </c>
      <c r="F6" s="177" t="str">
        <f>IFERROR(VLOOKUP($B6,烤漆色號編碼!$A:$E,5,FALSE),"-")</f>
        <v>台粉</v>
      </c>
      <c r="G6" s="175"/>
      <c r="H6" s="175"/>
      <c r="I6" s="175"/>
      <c r="J6" s="175"/>
      <c r="K6" s="175"/>
    </row>
    <row r="7" spans="1:11" ht="13.5" customHeight="1" x14ac:dyDescent="0.15">
      <c r="A7" s="175"/>
      <c r="B7" s="177" t="str">
        <f>IF(烤漆色號編碼!A9="","-",烤漆色號編碼!A9)</f>
        <v>770-739</v>
      </c>
      <c r="C7" s="177" t="s">
        <v>200</v>
      </c>
      <c r="D7" s="177" t="str">
        <f>IFERROR(VLOOKUP($B7,烤漆色號編碼!$A:$E,3,FALSE),"-")</f>
        <v>豔藍-孔雀藍</v>
      </c>
      <c r="E7" s="177" t="str">
        <f>IFERROR(VLOOKUP($B7,烤漆色號編碼!$A:$E,2,FALSE),"-")</f>
        <v>BEG</v>
      </c>
      <c r="F7" s="177" t="str">
        <f>IFERROR(VLOOKUP($B7,烤漆色號編碼!$A:$E,5,FALSE),"-")</f>
        <v>國邦</v>
      </c>
      <c r="G7" s="175"/>
      <c r="H7" s="175"/>
      <c r="I7" s="175"/>
      <c r="J7" s="175"/>
      <c r="K7" s="175"/>
    </row>
    <row r="8" spans="1:11" ht="13.5" customHeight="1" x14ac:dyDescent="0.15">
      <c r="A8" s="175"/>
      <c r="B8" s="177" t="str">
        <f>IF(烤漆色號編碼!A10="","-",烤漆色號編碼!A10)</f>
        <v>4950-502</v>
      </c>
      <c r="C8" s="177" t="s">
        <v>441</v>
      </c>
      <c r="D8" s="177" t="str">
        <f>IFERROR(VLOOKUP($B8,烤漆色號編碼!$A:$E,3,FALSE),"-")</f>
        <v>黑平光</v>
      </c>
      <c r="E8" s="177" t="str">
        <f>IFERROR(VLOOKUP($B8,烤漆色號編碼!$A:$E,2,FALSE),"-")</f>
        <v>BK</v>
      </c>
      <c r="F8" s="177" t="str">
        <f>IFERROR(VLOOKUP($B8,烤漆色號編碼!$A:$E,5,FALSE),"-")</f>
        <v>台粉</v>
      </c>
      <c r="G8" s="175"/>
      <c r="H8" s="175"/>
      <c r="I8" s="175"/>
      <c r="J8" s="175"/>
      <c r="K8" s="175"/>
    </row>
    <row r="9" spans="1:11" ht="13.5" customHeight="1" x14ac:dyDescent="0.15">
      <c r="A9" s="175"/>
      <c r="B9" s="177" t="str">
        <f>IF(烤漆色號編碼!A11="","-",烤漆色號編碼!A11)</f>
        <v>EN-402T</v>
      </c>
      <c r="C9" s="177" t="s">
        <v>441</v>
      </c>
      <c r="D9" s="177" t="str">
        <f>IFERROR(VLOOKUP($B9,烤漆色號編碼!$A:$E,3,FALSE),"-")</f>
        <v>黑錘紋</v>
      </c>
      <c r="E9" s="177" t="str">
        <f>IFERROR(VLOOKUP($B9,烤漆色號編碼!$A:$E,2,FALSE),"-")</f>
        <v>BKH</v>
      </c>
      <c r="F9" s="177" t="str">
        <f>IFERROR(VLOOKUP($B9,烤漆色號編碼!$A:$E,5,FALSE),"-")</f>
        <v>長誠</v>
      </c>
      <c r="G9" s="175"/>
      <c r="H9" s="175"/>
      <c r="I9" s="175"/>
      <c r="J9" s="175"/>
      <c r="K9" s="175"/>
    </row>
    <row r="10" spans="1:11" ht="13.5" customHeight="1" x14ac:dyDescent="0.15">
      <c r="A10" s="175"/>
      <c r="B10" s="177" t="str">
        <f>IF(烤漆色號編碼!A12="","-",烤漆色號編碼!A12)</f>
        <v>K-91097G</v>
      </c>
      <c r="C10" s="177" t="s">
        <v>441</v>
      </c>
      <c r="D10" s="177" t="str">
        <f>IFERROR(VLOOKUP($B10,烤漆色號編碼!$A:$E,3,FALSE),"-")</f>
        <v>新黑砂</v>
      </c>
      <c r="E10" s="177" t="str">
        <f>IFERROR(VLOOKUP($B10,烤漆色號編碼!$A:$E,2,FALSE),"-")</f>
        <v>BKS1</v>
      </c>
      <c r="F10" s="177" t="str">
        <f>IFERROR(VLOOKUP($B10,烤漆色號編碼!$A:$E,5,FALSE),"-")</f>
        <v>國麗</v>
      </c>
      <c r="G10" s="175"/>
      <c r="H10" s="175"/>
      <c r="I10" s="175"/>
      <c r="J10" s="175"/>
      <c r="K10" s="175"/>
    </row>
    <row r="11" spans="1:11" ht="13.5" customHeight="1" x14ac:dyDescent="0.15">
      <c r="A11" s="175"/>
      <c r="B11" s="177" t="str">
        <f>IF(烤漆色號編碼!A14="","-",烤漆色號編碼!A14)</f>
        <v>4605-505</v>
      </c>
      <c r="C11" s="177" t="s">
        <v>441</v>
      </c>
      <c r="D11" s="177" t="str">
        <f>IFERROR(VLOOKUP($B11,烤漆色號編碼!$A:$E,3,FALSE),"-")</f>
        <v>消光黑</v>
      </c>
      <c r="E11" s="177" t="str">
        <f>IFERROR(VLOOKUP($B11,烤漆色號編碼!$A:$E,2,FALSE),"-")</f>
        <v>EBK</v>
      </c>
      <c r="F11" s="177" t="str">
        <f>IFERROR(VLOOKUP($B11,烤漆色號編碼!$A:$E,5,FALSE),"-")</f>
        <v>台粉</v>
      </c>
      <c r="G11" s="175"/>
      <c r="H11" s="175"/>
      <c r="I11" s="175"/>
      <c r="J11" s="175"/>
      <c r="K11" s="175"/>
    </row>
    <row r="12" spans="1:11" ht="13.5" customHeight="1" x14ac:dyDescent="0.15">
      <c r="A12" s="175"/>
      <c r="B12" s="177" t="str">
        <f>IF(烤漆色號編碼!A15="","-",烤漆色號編碼!A15)</f>
        <v>O-9850GSNB</v>
      </c>
      <c r="C12" s="177" t="s">
        <v>441</v>
      </c>
      <c r="D12" s="177" t="str">
        <f>IFERROR(VLOOKUP($B12,烤漆色號編碼!$A:$E,3,FALSE),"-")</f>
        <v>黑砂閃銀</v>
      </c>
      <c r="E12" s="177" t="str">
        <f>IFERROR(VLOOKUP($B12,烤漆色號編碼!$A:$E,2,FALSE),"-")</f>
        <v>BKSA</v>
      </c>
      <c r="F12" s="177" t="str">
        <f>IFERROR(VLOOKUP($B12,烤漆色號編碼!$A:$E,5,FALSE),"-")</f>
        <v>國麗</v>
      </c>
      <c r="G12" s="175"/>
      <c r="H12" s="175"/>
      <c r="I12" s="175"/>
      <c r="J12" s="175"/>
      <c r="K12" s="175"/>
    </row>
    <row r="13" spans="1:11" ht="13.5" customHeight="1" x14ac:dyDescent="0.15">
      <c r="A13" s="175"/>
      <c r="B13" s="177" t="str">
        <f>IF(烤漆色號編碼!A16="","-",烤漆色號編碼!A16)</f>
        <v>K-9287S</v>
      </c>
      <c r="C13" s="177" t="s">
        <v>441</v>
      </c>
      <c r="D13" s="177" t="str">
        <f>IFERROR(VLOOKUP($B13,烤漆色號編碼!$A:$E,3,FALSE),"-")</f>
        <v>黑閃銀</v>
      </c>
      <c r="E13" s="177" t="str">
        <f>IFERROR(VLOOKUP($B13,烤漆色號編碼!$A:$E,2,FALSE),"-")</f>
        <v>BKSA1</v>
      </c>
      <c r="F13" s="177" t="str">
        <f>IFERROR(VLOOKUP($B13,烤漆色號編碼!$A:$E,5,FALSE),"-")</f>
        <v>國麗</v>
      </c>
      <c r="G13" s="175"/>
      <c r="H13" s="175"/>
      <c r="I13" s="175"/>
      <c r="J13" s="175"/>
      <c r="K13" s="175"/>
    </row>
    <row r="14" spans="1:11" ht="13.5" customHeight="1" x14ac:dyDescent="0.15">
      <c r="A14" s="175"/>
      <c r="B14" s="177" t="str">
        <f>IF(烤漆色號編碼!A17="","-",烤漆色號編碼!A17)</f>
        <v>EL-0365T</v>
      </c>
      <c r="C14" s="177" t="s">
        <v>419</v>
      </c>
      <c r="D14" s="177" t="str">
        <f>IFERROR(VLOOKUP($B14,烤漆色號編碼!$A:$E,3,FALSE),"-")</f>
        <v>鐵灰砂</v>
      </c>
      <c r="E14" s="177" t="str">
        <f>IFERROR(VLOOKUP($B14,烤漆色號編碼!$A:$E,2,FALSE),"-")</f>
        <v>IGS</v>
      </c>
      <c r="F14" s="177" t="str">
        <f>IFERROR(VLOOKUP($B14,烤漆色號編碼!$A:$E,5,FALSE),"-")</f>
        <v>長誠</v>
      </c>
      <c r="G14" s="175"/>
      <c r="H14" s="175"/>
      <c r="I14" s="175"/>
      <c r="J14" s="175"/>
      <c r="K14" s="175"/>
    </row>
    <row r="15" spans="1:11" ht="13.5" customHeight="1" x14ac:dyDescent="0.15">
      <c r="A15" s="175"/>
      <c r="B15" s="177" t="str">
        <f>IF(烤漆色號編碼!A18="","-",烤漆色號編碼!A18)</f>
        <v>O-22170G</v>
      </c>
      <c r="C15" s="177" t="s">
        <v>419</v>
      </c>
      <c r="D15" s="177" t="str">
        <f>IFERROR(VLOOKUP($B15,烤漆色號編碼!$A:$E,3,FALSE),"-")</f>
        <v>深灰砂</v>
      </c>
      <c r="E15" s="177" t="str">
        <f>IFERROR(VLOOKUP($B15,烤漆色號編碼!$A:$E,2,FALSE),"-")</f>
        <v>DGS</v>
      </c>
      <c r="F15" s="177" t="str">
        <f>IFERROR(VLOOKUP($B15,烤漆色號編碼!$A:$E,5,FALSE),"-")</f>
        <v>國麗</v>
      </c>
      <c r="G15" s="175"/>
      <c r="H15" s="175"/>
      <c r="I15" s="175"/>
      <c r="J15" s="175"/>
      <c r="K15" s="175"/>
    </row>
    <row r="16" spans="1:11" ht="13.5" customHeight="1" x14ac:dyDescent="0.15">
      <c r="A16" s="175"/>
      <c r="B16" s="177" t="str">
        <f>IF(烤漆色號編碼!A21="","-",烤漆色號編碼!A21)</f>
        <v>K-4654</v>
      </c>
      <c r="C16" s="177" t="s">
        <v>254</v>
      </c>
      <c r="D16" s="177" t="str">
        <f>IFERROR(VLOOKUP($B16,烤漆色號編碼!$A:$E,3,FALSE),"-")</f>
        <v>紫色</v>
      </c>
      <c r="E16" s="177" t="str">
        <f>IFERROR(VLOOKUP($B16,烤漆色號編碼!$A:$E,2,FALSE),"-")</f>
        <v>PEL</v>
      </c>
      <c r="F16" s="177" t="str">
        <f>IFERROR(VLOOKUP($B16,烤漆色號編碼!$A:$E,5,FALSE),"-")</f>
        <v>國麗</v>
      </c>
      <c r="G16" s="175"/>
      <c r="H16" s="175"/>
      <c r="I16" s="175"/>
      <c r="J16" s="175"/>
      <c r="K16" s="175"/>
    </row>
    <row r="17" spans="1:11" ht="13.5" customHeight="1" x14ac:dyDescent="0.15">
      <c r="A17" s="175"/>
      <c r="B17" s="177" t="str">
        <f>IF(烤漆色號編碼!A22="","-",烤漆色號編碼!A22)</f>
        <v>780-9B65</v>
      </c>
      <c r="C17" s="177" t="s">
        <v>100</v>
      </c>
      <c r="D17" s="177" t="str">
        <f>IFERROR(VLOOKUP($B17,烤漆色號編碼!$A:$E,3,FALSE),"-")</f>
        <v>銀灰</v>
      </c>
      <c r="E17" s="177" t="str">
        <f>IFERROR(VLOOKUP($B17,烤漆色號編碼!$A:$E,2,FALSE),"-")</f>
        <v>ATG</v>
      </c>
      <c r="F17" s="177" t="str">
        <f>IFERROR(VLOOKUP($B17,烤漆色號編碼!$A:$E,5,FALSE),"-")</f>
        <v>國邦</v>
      </c>
      <c r="G17" s="175"/>
      <c r="H17" s="175"/>
      <c r="I17" s="175"/>
      <c r="J17" s="175"/>
      <c r="K17" s="175"/>
    </row>
    <row r="18" spans="1:11" ht="13.5" customHeight="1" x14ac:dyDescent="0.15">
      <c r="A18" s="175"/>
      <c r="B18" s="177" t="str">
        <f>IF(烤漆色號編碼!A24="","-",烤漆色號編碼!A24)</f>
        <v>780-6902</v>
      </c>
      <c r="C18" s="177" t="s">
        <v>188</v>
      </c>
      <c r="D18" s="177" t="str">
        <f>IFERROR(VLOOKUP($B18,烤漆色號編碼!$A:$E,3,FALSE),"-")</f>
        <v>綠色</v>
      </c>
      <c r="E18" s="177" t="str">
        <f>IFERROR(VLOOKUP($B18,烤漆色號編碼!$A:$E,2,FALSE),"-")</f>
        <v>GN</v>
      </c>
      <c r="F18" s="177" t="str">
        <f>IFERROR(VLOOKUP($B18,烤漆色號編碼!$A:$E,5,FALSE),"-")</f>
        <v>國邦</v>
      </c>
      <c r="G18" s="175"/>
      <c r="H18" s="175"/>
      <c r="I18" s="175"/>
      <c r="J18" s="175"/>
      <c r="K18" s="175"/>
    </row>
    <row r="19" spans="1:11" ht="13.5" customHeight="1" x14ac:dyDescent="0.15">
      <c r="A19" s="175"/>
      <c r="B19" s="177" t="str">
        <f>IF(烤漆色號編碼!A25="","-",烤漆色號編碼!A25)</f>
        <v>A-10067</v>
      </c>
      <c r="C19" s="177" t="s">
        <v>239</v>
      </c>
      <c r="D19" s="177" t="str">
        <f>IFERROR(VLOOKUP($B19,烤漆色號編碼!$A:$E,3,FALSE),"-")</f>
        <v>橘色</v>
      </c>
      <c r="E19" s="177" t="str">
        <f>IFERROR(VLOOKUP($B19,烤漆色號編碼!$A:$E,2,FALSE),"-")</f>
        <v>OE</v>
      </c>
      <c r="F19" s="177" t="str">
        <f>IFERROR(VLOOKUP($B19,烤漆色號編碼!$A:$E,5,FALSE),"-")</f>
        <v>台粉</v>
      </c>
      <c r="G19" s="175"/>
      <c r="H19" s="175"/>
      <c r="I19" s="175"/>
      <c r="J19" s="175"/>
      <c r="K19" s="175"/>
    </row>
    <row r="20" spans="1:11" ht="13.5" customHeight="1" x14ac:dyDescent="0.15">
      <c r="A20" s="175"/>
      <c r="B20" s="177" t="str">
        <f>IF(烤漆色號編碼!A26="","-",烤漆色號編碼!A26)</f>
        <v>4605-702A</v>
      </c>
      <c r="C20" s="177" t="s">
        <v>419</v>
      </c>
      <c r="D20" s="177" t="str">
        <f>IFERROR(VLOOKUP($B20,烤漆色號編碼!$A:$E,3,FALSE),"-")</f>
        <v>鐵灰</v>
      </c>
      <c r="E20" s="177" t="str">
        <f>IFERROR(VLOOKUP($B20,烤漆色號編碼!$A:$E,2,FALSE),"-")</f>
        <v>IG</v>
      </c>
      <c r="F20" s="177" t="str">
        <f>IFERROR(VLOOKUP($B20,烤漆色號編碼!$A:$E,5,FALSE),"-")</f>
        <v>台粉</v>
      </c>
      <c r="G20" s="175"/>
      <c r="H20" s="175"/>
      <c r="I20" s="175"/>
      <c r="J20" s="175"/>
      <c r="K20" s="175"/>
    </row>
    <row r="21" spans="1:11" ht="13.5" customHeight="1" x14ac:dyDescent="0.15">
      <c r="A21" s="175"/>
      <c r="B21" s="177" t="str">
        <f>IF(烤漆色號編碼!A27="","-",烤漆色號編碼!A27)</f>
        <v>4900-246</v>
      </c>
      <c r="C21" s="177" t="s">
        <v>439</v>
      </c>
      <c r="D21" s="177" t="str">
        <f>IFERROR(VLOOKUP($B21,烤漆色號編碼!$A:$E,3,FALSE),"-")</f>
        <v>鵝黃色</v>
      </c>
      <c r="E21" s="177" t="str">
        <f>IFERROR(VLOOKUP($B21,烤漆色號編碼!$A:$E,2,FALSE),"-")</f>
        <v>GYW</v>
      </c>
      <c r="F21" s="177" t="str">
        <f>IFERROR(VLOOKUP($B21,烤漆色號編碼!$A:$E,5,FALSE),"-")</f>
        <v>台粉</v>
      </c>
      <c r="G21" s="175"/>
      <c r="H21" s="175"/>
      <c r="I21" s="175"/>
      <c r="J21" s="175"/>
      <c r="K21" s="175"/>
    </row>
    <row r="22" spans="1:11" ht="13.5" customHeight="1" x14ac:dyDescent="0.15">
      <c r="A22" s="175"/>
      <c r="B22" s="177" t="str">
        <f>IF(烤漆色號編碼!A28="","-",烤漆色號編碼!A28)</f>
        <v>4900-149</v>
      </c>
      <c r="C22" s="177" t="s">
        <v>413</v>
      </c>
      <c r="D22" s="177" t="str">
        <f>IFERROR(VLOOKUP($B22,烤漆色號編碼!$A:$E,3,FALSE),"-")</f>
        <v>粉紅色</v>
      </c>
      <c r="E22" s="177" t="str">
        <f>IFERROR(VLOOKUP($B22,烤漆色號編碼!$A:$E,2,FALSE),"-")</f>
        <v>PK</v>
      </c>
      <c r="F22" s="177" t="str">
        <f>IFERROR(VLOOKUP($B22,烤漆色號編碼!$A:$E,5,FALSE),"-")</f>
        <v>台粉</v>
      </c>
      <c r="G22" s="175"/>
      <c r="H22" s="175"/>
      <c r="I22" s="175"/>
      <c r="J22" s="175"/>
      <c r="K22" s="175"/>
    </row>
    <row r="23" spans="1:11" ht="13.5" customHeight="1" x14ac:dyDescent="0.15">
      <c r="A23" s="175"/>
      <c r="B23" s="177" t="str">
        <f>IF(烤漆色號編碼!A29="","-",烤漆色號編碼!A29)</f>
        <v>K-5510SCB</v>
      </c>
      <c r="C23" s="177" t="s">
        <v>442</v>
      </c>
      <c r="D23" s="177" t="str">
        <f>IFERROR(VLOOKUP($B23,烤漆色號編碼!$A:$E,3,FALSE),"-")</f>
        <v>黃金閃銀</v>
      </c>
      <c r="E23" s="177" t="str">
        <f>IFERROR(VLOOKUP($B23,烤漆色號編碼!$A:$E,2,FALSE),"-")</f>
        <v>GSAT</v>
      </c>
      <c r="F23" s="177" t="str">
        <f>IFERROR(VLOOKUP($B23,烤漆色號編碼!$A:$E,5,FALSE),"-")</f>
        <v>國麗</v>
      </c>
      <c r="G23" s="175"/>
      <c r="H23" s="175"/>
      <c r="I23" s="175"/>
      <c r="J23" s="175"/>
      <c r="K23" s="175"/>
    </row>
    <row r="24" spans="1:11" ht="13.5" customHeight="1" x14ac:dyDescent="0.15">
      <c r="A24" s="175"/>
      <c r="B24" s="177" t="str">
        <f>IF(烤漆色號編碼!A32="","-",烤漆色號編碼!A32)</f>
        <v>BP-133S</v>
      </c>
      <c r="C24" s="177" t="s">
        <v>100</v>
      </c>
      <c r="D24" s="177" t="str">
        <f>IFERROR(VLOOKUP($B24,烤漆色號編碼!$A:$E,3,FALSE),"-")</f>
        <v>閃銀</v>
      </c>
      <c r="E24" s="177" t="str">
        <f>IFERROR(VLOOKUP($B24,烤漆色號編碼!$A:$E,2,FALSE),"-")</f>
        <v>SAT2</v>
      </c>
      <c r="F24" s="177" t="str">
        <f>IFERROR(VLOOKUP($B24,烤漆色號編碼!$A:$E,5,FALSE),"-")</f>
        <v>國邦</v>
      </c>
      <c r="G24" s="175"/>
      <c r="H24" s="175"/>
      <c r="I24" s="175"/>
      <c r="J24" s="175"/>
      <c r="K24" s="175"/>
    </row>
    <row r="25" spans="1:11" ht="13.5" customHeight="1" x14ac:dyDescent="0.15">
      <c r="A25" s="175"/>
      <c r="B25" s="177" t="str">
        <f>IF(烤漆色號編碼!A34="","-",烤漆色號編碼!A34)</f>
        <v>008/2H056</v>
      </c>
      <c r="C25" s="177" t="s">
        <v>439</v>
      </c>
      <c r="D25" s="177" t="str">
        <f>IFERROR(VLOOKUP($B25,烤漆色號編碼!$A:$E,3,FALSE),"-")</f>
        <v>黃亮光</v>
      </c>
      <c r="E25" s="177" t="str">
        <f>IFERROR(VLOOKUP($B25,烤漆色號編碼!$A:$E,2,FALSE),"-")</f>
        <v>YW1</v>
      </c>
      <c r="F25" s="177" t="str">
        <f>IFERROR(VLOOKUP($B25,烤漆色號編碼!$A:$E,5,FALSE),"-")</f>
        <v>老虎</v>
      </c>
      <c r="G25" s="175"/>
      <c r="H25" s="175"/>
      <c r="I25" s="175"/>
      <c r="J25" s="175"/>
      <c r="K25" s="175"/>
    </row>
    <row r="26" spans="1:11" ht="13.5" customHeight="1" x14ac:dyDescent="0.15">
      <c r="A26" s="175"/>
      <c r="B26" s="177" t="str">
        <f>IF(烤漆色號編碼!A37="","-",烤漆色號編碼!A37)</f>
        <v>K-7618</v>
      </c>
      <c r="C26" s="177" t="s">
        <v>188</v>
      </c>
      <c r="D26" s="177" t="str">
        <f>IFERROR(VLOOKUP($B26,烤漆色號編碼!$A:$E,3,FALSE),"-")</f>
        <v>青綠色</v>
      </c>
      <c r="E26" s="177" t="str">
        <f>IFERROR(VLOOKUP($B26,烤漆色號編碼!$A:$E,2,FALSE),"-")</f>
        <v>FGN</v>
      </c>
      <c r="F26" s="177" t="str">
        <f>IFERROR(VLOOKUP($B26,烤漆色號編碼!$A:$E,5,FALSE),"-")</f>
        <v>國麗</v>
      </c>
      <c r="G26" s="175"/>
      <c r="H26" s="175"/>
      <c r="I26" s="175"/>
      <c r="J26" s="175"/>
      <c r="K26" s="175"/>
    </row>
    <row r="27" spans="1:11" ht="13.5" customHeight="1" x14ac:dyDescent="0.15">
      <c r="A27" s="175"/>
      <c r="B27" s="177" t="str">
        <f>IF(烤漆色號編碼!A38="","-",烤漆色號編碼!A38)</f>
        <v>008/35624</v>
      </c>
      <c r="C27" s="177" t="s">
        <v>239</v>
      </c>
      <c r="D27" s="177" t="str">
        <f>IFERROR(VLOOKUP($B27,烤漆色號編碼!$A:$E,3,FALSE),"-")</f>
        <v>橘色</v>
      </c>
      <c r="E27" s="177" t="str">
        <f>IFERROR(VLOOKUP($B27,烤漆色號編碼!$A:$E,2,FALSE),"-")</f>
        <v>OE2</v>
      </c>
      <c r="F27" s="177" t="str">
        <f>IFERROR(VLOOKUP($B27,烤漆色號編碼!$A:$E,5,FALSE),"-")</f>
        <v>老虎</v>
      </c>
      <c r="G27" s="175"/>
      <c r="H27" s="175"/>
      <c r="I27" s="175"/>
      <c r="J27" s="175"/>
      <c r="K27" s="175"/>
    </row>
    <row r="28" spans="1:11" ht="13.5" customHeight="1" x14ac:dyDescent="0.15">
      <c r="A28" s="175"/>
      <c r="B28" s="177" t="str">
        <f>IF(烤漆色號編碼!A39="","-",烤漆色號編碼!A39)</f>
        <v>780-7847AT</v>
      </c>
      <c r="C28" s="177" t="s">
        <v>200</v>
      </c>
      <c r="D28" s="177" t="str">
        <f>IFERROR(VLOOKUP($B28,烤漆色號編碼!$A:$E,3,FALSE),"-")</f>
        <v>深藍</v>
      </c>
      <c r="E28" s="177" t="str">
        <f>IFERROR(VLOOKUP($B28,烤漆色號編碼!$A:$E,2,FALSE),"-")</f>
        <v>DBE</v>
      </c>
      <c r="F28" s="177" t="str">
        <f>IFERROR(VLOOKUP($B28,烤漆色號編碼!$A:$E,5,FALSE),"-")</f>
        <v>國邦</v>
      </c>
      <c r="G28" s="175"/>
      <c r="H28" s="175"/>
      <c r="I28" s="175"/>
      <c r="J28" s="175"/>
      <c r="K28" s="175"/>
    </row>
    <row r="29" spans="1:11" ht="13.5" customHeight="1" x14ac:dyDescent="0.15">
      <c r="A29" s="175"/>
      <c r="B29" s="175"/>
      <c r="C29" s="175"/>
      <c r="D29" s="175"/>
      <c r="E29" s="175"/>
      <c r="F29" s="175"/>
      <c r="G29" s="175"/>
      <c r="H29" s="175"/>
      <c r="I29" s="175"/>
      <c r="J29" s="175"/>
      <c r="K29" s="175"/>
    </row>
    <row r="30" spans="1:11" ht="13.5" customHeight="1" x14ac:dyDescent="0.15">
      <c r="A30" s="175"/>
      <c r="B30" s="175"/>
      <c r="C30" s="175"/>
      <c r="D30" s="175"/>
      <c r="E30" s="175"/>
      <c r="F30" s="175"/>
      <c r="G30" s="175"/>
      <c r="H30" s="175"/>
      <c r="I30" s="175"/>
      <c r="J30" s="175"/>
      <c r="K30" s="175"/>
    </row>
    <row r="31" spans="1:11" ht="13.5" customHeight="1" x14ac:dyDescent="0.15">
      <c r="A31" s="175"/>
      <c r="B31" s="175"/>
      <c r="C31" s="175"/>
      <c r="D31" s="175"/>
      <c r="E31" s="175"/>
      <c r="F31" s="175"/>
      <c r="G31" s="175"/>
      <c r="H31" s="175"/>
      <c r="I31" s="175"/>
      <c r="J31" s="175"/>
      <c r="K31" s="175"/>
    </row>
    <row r="32" spans="1:11" ht="13.5" customHeight="1" x14ac:dyDescent="0.15">
      <c r="A32" s="175"/>
      <c r="B32" s="175"/>
      <c r="C32" s="175"/>
      <c r="D32" s="175"/>
      <c r="E32" s="175"/>
      <c r="F32" s="175"/>
      <c r="G32" s="175"/>
      <c r="H32" s="175"/>
      <c r="I32" s="175"/>
      <c r="J32" s="175"/>
      <c r="K32" s="175"/>
    </row>
    <row r="33" spans="1:11" ht="13.5" customHeight="1" x14ac:dyDescent="0.15">
      <c r="A33" s="175"/>
      <c r="B33" s="175"/>
      <c r="C33" s="175"/>
      <c r="D33" s="175"/>
      <c r="E33" s="175"/>
      <c r="F33" s="175"/>
      <c r="G33" s="175"/>
      <c r="H33" s="175"/>
      <c r="I33" s="175"/>
      <c r="J33" s="175"/>
      <c r="K33" s="175"/>
    </row>
    <row r="34" spans="1:11" ht="13.5" customHeight="1" x14ac:dyDescent="0.15">
      <c r="A34" s="175"/>
      <c r="B34" s="175"/>
      <c r="C34" s="175"/>
      <c r="D34" s="175"/>
      <c r="E34" s="175"/>
      <c r="F34" s="175"/>
      <c r="G34" s="175"/>
      <c r="H34" s="175"/>
      <c r="I34" s="175"/>
      <c r="J34" s="175"/>
      <c r="K34" s="175"/>
    </row>
    <row r="35" spans="1:11" ht="13.5" customHeight="1" x14ac:dyDescent="0.15">
      <c r="A35" s="175"/>
      <c r="B35" s="175"/>
      <c r="C35" s="175"/>
      <c r="D35" s="175"/>
      <c r="E35" s="175"/>
      <c r="F35" s="175"/>
      <c r="G35" s="175"/>
      <c r="H35" s="175"/>
      <c r="I35" s="175"/>
      <c r="J35" s="175"/>
      <c r="K35" s="175"/>
    </row>
    <row r="36" spans="1:11" ht="13.5" customHeight="1" x14ac:dyDescent="0.15">
      <c r="A36" s="175"/>
      <c r="B36" s="175"/>
      <c r="C36" s="175"/>
      <c r="D36" s="175"/>
      <c r="E36" s="175"/>
      <c r="F36" s="175"/>
      <c r="G36" s="175"/>
      <c r="H36" s="175"/>
      <c r="I36" s="175"/>
      <c r="J36" s="175"/>
      <c r="K36" s="175"/>
    </row>
    <row r="37" spans="1:11" ht="13.5" customHeight="1" x14ac:dyDescent="0.15">
      <c r="A37" s="175"/>
      <c r="B37" s="175"/>
      <c r="C37" s="175"/>
      <c r="D37" s="175"/>
      <c r="E37" s="175"/>
      <c r="F37" s="175"/>
      <c r="G37" s="175"/>
      <c r="H37" s="175"/>
      <c r="I37" s="175"/>
      <c r="J37" s="175"/>
      <c r="K37" s="175"/>
    </row>
    <row r="38" spans="1:11" ht="13.5" customHeight="1" x14ac:dyDescent="0.15">
      <c r="A38" s="175"/>
      <c r="B38" s="175"/>
      <c r="C38" s="175"/>
      <c r="D38" s="175"/>
      <c r="E38" s="175"/>
      <c r="F38" s="175"/>
      <c r="G38" s="175"/>
      <c r="H38" s="175"/>
      <c r="I38" s="175"/>
      <c r="J38" s="175"/>
      <c r="K38" s="175"/>
    </row>
    <row r="39" spans="1:11" ht="13.5" customHeight="1" x14ac:dyDescent="0.15">
      <c r="A39" s="175"/>
      <c r="B39" s="175"/>
      <c r="C39" s="175"/>
      <c r="D39" s="175"/>
      <c r="E39" s="175"/>
      <c r="F39" s="175"/>
      <c r="G39" s="175"/>
      <c r="H39" s="175"/>
      <c r="I39" s="175"/>
      <c r="J39" s="175"/>
      <c r="K39" s="175"/>
    </row>
    <row r="40" spans="1:11" ht="13.5" customHeight="1" x14ac:dyDescent="0.15">
      <c r="A40" s="175"/>
      <c r="B40" s="175"/>
      <c r="C40" s="175"/>
      <c r="D40" s="175"/>
      <c r="E40" s="175"/>
      <c r="F40" s="175"/>
      <c r="G40" s="175"/>
      <c r="H40" s="175"/>
      <c r="I40" s="175"/>
      <c r="J40" s="175"/>
      <c r="K40" s="175"/>
    </row>
    <row r="41" spans="1:11" ht="13.5" customHeight="1" x14ac:dyDescent="0.15">
      <c r="A41" s="175"/>
      <c r="B41" s="175"/>
      <c r="C41" s="175"/>
      <c r="D41" s="175"/>
      <c r="E41" s="175"/>
      <c r="F41" s="175"/>
      <c r="G41" s="175"/>
      <c r="H41" s="175"/>
      <c r="I41" s="175"/>
      <c r="J41" s="175"/>
      <c r="K41" s="175"/>
    </row>
    <row r="42" spans="1:11" ht="13.5" customHeight="1" x14ac:dyDescent="0.15">
      <c r="A42" s="175"/>
      <c r="B42" s="175"/>
      <c r="C42" s="175"/>
      <c r="D42" s="175"/>
      <c r="E42" s="175"/>
      <c r="F42" s="175"/>
      <c r="G42" s="175"/>
      <c r="H42" s="175"/>
      <c r="I42" s="175"/>
      <c r="J42" s="175"/>
      <c r="K42" s="175"/>
    </row>
    <row r="43" spans="1:11" ht="13.5" customHeight="1" x14ac:dyDescent="0.15">
      <c r="A43" s="175"/>
      <c r="B43" s="175"/>
      <c r="C43" s="175"/>
      <c r="D43" s="175"/>
      <c r="E43" s="175"/>
      <c r="F43" s="175"/>
      <c r="G43" s="175"/>
      <c r="H43" s="175"/>
      <c r="I43" s="175"/>
      <c r="J43" s="175"/>
      <c r="K43" s="175"/>
    </row>
    <row r="44" spans="1:11" ht="13.5" customHeight="1" x14ac:dyDescent="0.15">
      <c r="A44" s="175"/>
      <c r="B44" s="175"/>
      <c r="C44" s="175"/>
      <c r="D44" s="175"/>
      <c r="E44" s="175"/>
      <c r="F44" s="175"/>
      <c r="G44" s="175"/>
      <c r="H44" s="175"/>
      <c r="I44" s="175"/>
      <c r="J44" s="175"/>
      <c r="K44" s="175"/>
    </row>
    <row r="45" spans="1:11" ht="13.5" customHeight="1" x14ac:dyDescent="0.15">
      <c r="A45" s="175"/>
      <c r="B45" s="175"/>
      <c r="C45" s="175"/>
      <c r="D45" s="175"/>
      <c r="E45" s="175"/>
      <c r="F45" s="175"/>
      <c r="G45" s="175"/>
      <c r="H45" s="175"/>
      <c r="I45" s="175"/>
      <c r="J45" s="175"/>
      <c r="K45" s="175"/>
    </row>
    <row r="46" spans="1:11" ht="13.5" customHeight="1" x14ac:dyDescent="0.15">
      <c r="A46" s="175"/>
      <c r="B46" s="175"/>
      <c r="C46" s="175"/>
      <c r="D46" s="175"/>
      <c r="E46" s="175"/>
      <c r="F46" s="175"/>
      <c r="G46" s="175"/>
      <c r="H46" s="175"/>
      <c r="I46" s="175"/>
      <c r="J46" s="175"/>
      <c r="K46" s="175"/>
    </row>
    <row r="47" spans="1:11" ht="13.5" customHeight="1" x14ac:dyDescent="0.15">
      <c r="A47" s="175"/>
      <c r="B47" s="175"/>
      <c r="C47" s="175"/>
      <c r="D47" s="175"/>
      <c r="E47" s="175"/>
      <c r="F47" s="175"/>
      <c r="G47" s="175"/>
      <c r="H47" s="175"/>
      <c r="I47" s="175"/>
      <c r="J47" s="175"/>
      <c r="K47" s="175"/>
    </row>
    <row r="48" spans="1:11" ht="13.5" customHeight="1" x14ac:dyDescent="0.15">
      <c r="A48" s="175"/>
      <c r="B48" s="175"/>
      <c r="C48" s="175"/>
      <c r="D48" s="175"/>
      <c r="E48" s="175"/>
      <c r="F48" s="175"/>
      <c r="G48" s="175"/>
      <c r="H48" s="175"/>
      <c r="I48" s="175"/>
      <c r="J48" s="175"/>
      <c r="K48" s="175"/>
    </row>
    <row r="49" spans="1:11" ht="13.5" customHeight="1" x14ac:dyDescent="0.15">
      <c r="A49" s="175"/>
      <c r="B49" s="175"/>
      <c r="C49" s="175"/>
      <c r="D49" s="175"/>
      <c r="E49" s="175"/>
      <c r="F49" s="175"/>
      <c r="G49" s="175"/>
      <c r="H49" s="175"/>
      <c r="I49" s="175"/>
      <c r="J49" s="175"/>
      <c r="K49" s="175"/>
    </row>
    <row r="50" spans="1:11" ht="13.5" customHeight="1" x14ac:dyDescent="0.15">
      <c r="A50" s="175"/>
      <c r="B50" s="175"/>
      <c r="C50" s="175"/>
      <c r="D50" s="175"/>
      <c r="E50" s="175"/>
      <c r="F50" s="175"/>
      <c r="G50" s="175"/>
      <c r="H50" s="175"/>
      <c r="I50" s="175"/>
      <c r="J50" s="175"/>
      <c r="K50" s="175"/>
    </row>
    <row r="51" spans="1:11" ht="13.5" customHeight="1" x14ac:dyDescent="0.15">
      <c r="A51" s="175"/>
      <c r="B51" s="175"/>
      <c r="C51" s="175"/>
      <c r="D51" s="175"/>
      <c r="E51" s="175"/>
      <c r="F51" s="175"/>
      <c r="G51" s="175"/>
      <c r="H51" s="175"/>
      <c r="I51" s="175"/>
      <c r="J51" s="175"/>
      <c r="K51" s="175"/>
    </row>
    <row r="52" spans="1:11" ht="13.5" customHeight="1" x14ac:dyDescent="0.15">
      <c r="A52" s="175"/>
      <c r="B52" s="175"/>
      <c r="C52" s="175"/>
      <c r="D52" s="175"/>
      <c r="E52" s="175"/>
      <c r="F52" s="175"/>
      <c r="G52" s="175"/>
      <c r="H52" s="175"/>
      <c r="I52" s="175"/>
      <c r="J52" s="175"/>
      <c r="K52" s="175"/>
    </row>
    <row r="53" spans="1:11" ht="13.5" customHeight="1" x14ac:dyDescent="0.15">
      <c r="A53" s="175"/>
      <c r="B53" s="175"/>
      <c r="C53" s="175"/>
      <c r="D53" s="175"/>
      <c r="E53" s="175"/>
      <c r="F53" s="175"/>
      <c r="G53" s="175"/>
      <c r="H53" s="175"/>
      <c r="I53" s="175"/>
      <c r="J53" s="175"/>
      <c r="K53" s="175"/>
    </row>
    <row r="54" spans="1:11" ht="13.5" customHeight="1" x14ac:dyDescent="0.15">
      <c r="A54" s="175"/>
      <c r="B54" s="175"/>
      <c r="C54" s="175"/>
      <c r="D54" s="175"/>
      <c r="E54" s="175"/>
      <c r="F54" s="175"/>
      <c r="G54" s="175"/>
      <c r="H54" s="175"/>
      <c r="I54" s="175"/>
      <c r="J54" s="175"/>
      <c r="K54" s="175"/>
    </row>
    <row r="55" spans="1:11" ht="13.5" customHeight="1" x14ac:dyDescent="0.15">
      <c r="A55" s="175"/>
      <c r="B55" s="175"/>
      <c r="C55" s="175"/>
      <c r="D55" s="175"/>
      <c r="E55" s="175"/>
      <c r="F55" s="175"/>
      <c r="G55" s="175"/>
      <c r="H55" s="175"/>
      <c r="I55" s="175"/>
      <c r="J55" s="175"/>
      <c r="K55" s="175"/>
    </row>
    <row r="56" spans="1:11" ht="13.5" customHeight="1" x14ac:dyDescent="0.15">
      <c r="A56" s="175"/>
      <c r="B56" s="175"/>
      <c r="C56" s="175"/>
      <c r="D56" s="175"/>
      <c r="E56" s="175"/>
      <c r="F56" s="175"/>
      <c r="G56" s="175"/>
      <c r="H56" s="175"/>
      <c r="I56" s="175"/>
      <c r="J56" s="175"/>
      <c r="K56" s="175"/>
    </row>
    <row r="57" spans="1:11" ht="13.5" customHeight="1" x14ac:dyDescent="0.15">
      <c r="A57" s="175"/>
      <c r="B57" s="175"/>
      <c r="C57" s="175"/>
      <c r="D57" s="175"/>
      <c r="E57" s="175"/>
      <c r="F57" s="175"/>
      <c r="G57" s="175"/>
      <c r="H57" s="175"/>
      <c r="I57" s="175"/>
      <c r="J57" s="175"/>
      <c r="K57" s="175"/>
    </row>
    <row r="58" spans="1:11" ht="13.5" customHeight="1" x14ac:dyDescent="0.15">
      <c r="A58" s="175"/>
      <c r="B58" s="175"/>
      <c r="C58" s="175"/>
      <c r="D58" s="175"/>
      <c r="E58" s="175"/>
      <c r="F58" s="175"/>
      <c r="G58" s="175"/>
      <c r="H58" s="175"/>
      <c r="I58" s="175"/>
      <c r="J58" s="175"/>
      <c r="K58" s="175"/>
    </row>
    <row r="59" spans="1:11" ht="13.5" customHeight="1" x14ac:dyDescent="0.15">
      <c r="A59" s="175"/>
      <c r="B59" s="175"/>
      <c r="C59" s="175"/>
      <c r="D59" s="175"/>
      <c r="E59" s="175"/>
      <c r="F59" s="175"/>
      <c r="G59" s="175"/>
      <c r="H59" s="175"/>
      <c r="I59" s="175"/>
      <c r="J59" s="175"/>
      <c r="K59" s="175"/>
    </row>
    <row r="60" spans="1:11" ht="13.5" customHeight="1" x14ac:dyDescent="0.15">
      <c r="A60" s="175"/>
      <c r="B60" s="175"/>
      <c r="C60" s="175"/>
      <c r="D60" s="175"/>
      <c r="E60" s="175"/>
      <c r="F60" s="175"/>
      <c r="G60" s="175"/>
      <c r="H60" s="175"/>
      <c r="I60" s="175"/>
      <c r="J60" s="175"/>
      <c r="K60" s="175"/>
    </row>
    <row r="61" spans="1:11" ht="13.5" customHeight="1" x14ac:dyDescent="0.15">
      <c r="A61" s="175"/>
      <c r="B61" s="175"/>
      <c r="C61" s="175"/>
      <c r="D61" s="175"/>
      <c r="E61" s="175"/>
      <c r="F61" s="175"/>
      <c r="G61" s="175"/>
      <c r="H61" s="175"/>
      <c r="I61" s="175"/>
      <c r="J61" s="175"/>
      <c r="K61" s="175"/>
    </row>
    <row r="62" spans="1:11" ht="13.5" customHeight="1" x14ac:dyDescent="0.15">
      <c r="A62" s="175"/>
      <c r="B62" s="175"/>
      <c r="C62" s="175"/>
      <c r="D62" s="175"/>
      <c r="E62" s="175"/>
      <c r="F62" s="175"/>
      <c r="G62" s="175"/>
      <c r="H62" s="175"/>
      <c r="I62" s="175"/>
      <c r="J62" s="175"/>
      <c r="K62" s="175"/>
    </row>
    <row r="63" spans="1:11" ht="13.5" customHeight="1" x14ac:dyDescent="0.15">
      <c r="A63" s="175"/>
      <c r="B63" s="175"/>
      <c r="C63" s="175"/>
      <c r="D63" s="175"/>
      <c r="E63" s="175"/>
      <c r="F63" s="175"/>
      <c r="G63" s="175"/>
      <c r="H63" s="175"/>
      <c r="I63" s="175"/>
      <c r="J63" s="175"/>
      <c r="K63" s="175"/>
    </row>
    <row r="64" spans="1:11" ht="13.5" customHeight="1" x14ac:dyDescent="0.15">
      <c r="A64" s="175"/>
      <c r="B64" s="175"/>
      <c r="C64" s="175"/>
      <c r="D64" s="175"/>
      <c r="E64" s="175"/>
      <c r="F64" s="175"/>
      <c r="G64" s="175"/>
      <c r="H64" s="175"/>
      <c r="I64" s="175"/>
      <c r="J64" s="175"/>
      <c r="K64" s="175"/>
    </row>
    <row r="65" spans="1:11" ht="13.5" customHeight="1" x14ac:dyDescent="0.15">
      <c r="A65" s="175"/>
      <c r="B65" s="175"/>
      <c r="C65" s="175"/>
      <c r="D65" s="175"/>
      <c r="E65" s="175"/>
      <c r="F65" s="175"/>
      <c r="G65" s="175"/>
      <c r="H65" s="175"/>
      <c r="I65" s="175"/>
      <c r="J65" s="175"/>
      <c r="K65" s="175"/>
    </row>
    <row r="66" spans="1:11" ht="13.5" customHeight="1" x14ac:dyDescent="0.15">
      <c r="A66" s="175"/>
      <c r="B66" s="175"/>
      <c r="C66" s="175"/>
      <c r="D66" s="175"/>
      <c r="E66" s="175"/>
      <c r="F66" s="175"/>
      <c r="G66" s="175"/>
      <c r="H66" s="175"/>
      <c r="I66" s="175"/>
      <c r="J66" s="175"/>
      <c r="K66" s="175"/>
    </row>
    <row r="67" spans="1:11" ht="13.5" customHeight="1" x14ac:dyDescent="0.15">
      <c r="A67" s="175"/>
      <c r="B67" s="175"/>
      <c r="C67" s="175"/>
      <c r="D67" s="175"/>
      <c r="E67" s="175"/>
      <c r="F67" s="175"/>
      <c r="G67" s="175"/>
      <c r="H67" s="175"/>
      <c r="I67" s="175"/>
      <c r="J67" s="175"/>
      <c r="K67" s="175"/>
    </row>
    <row r="68" spans="1:11" ht="13.5" customHeight="1" x14ac:dyDescent="0.15">
      <c r="A68" s="175"/>
      <c r="B68" s="175"/>
      <c r="C68" s="175"/>
      <c r="D68" s="175"/>
      <c r="E68" s="175"/>
      <c r="F68" s="175"/>
      <c r="G68" s="175"/>
      <c r="H68" s="175"/>
      <c r="I68" s="175"/>
      <c r="J68" s="175"/>
      <c r="K68" s="175"/>
    </row>
    <row r="69" spans="1:11" ht="13.5" customHeight="1" x14ac:dyDescent="0.15">
      <c r="A69" s="175"/>
      <c r="B69" s="175"/>
      <c r="C69" s="175"/>
      <c r="D69" s="175"/>
      <c r="E69" s="175"/>
      <c r="F69" s="175"/>
      <c r="G69" s="175"/>
      <c r="H69" s="175"/>
      <c r="I69" s="175"/>
      <c r="J69" s="175"/>
      <c r="K69" s="175"/>
    </row>
    <row r="70" spans="1:11" ht="13.5" customHeight="1" x14ac:dyDescent="0.15">
      <c r="A70" s="175"/>
      <c r="B70" s="175"/>
      <c r="C70" s="175"/>
      <c r="D70" s="175"/>
      <c r="E70" s="175"/>
      <c r="F70" s="175"/>
      <c r="G70" s="175"/>
      <c r="H70" s="175"/>
      <c r="I70" s="175"/>
      <c r="J70" s="175"/>
      <c r="K70" s="175"/>
    </row>
    <row r="71" spans="1:11" ht="13.5" customHeight="1" x14ac:dyDescent="0.15">
      <c r="A71" s="175"/>
      <c r="B71" s="175"/>
      <c r="C71" s="175"/>
      <c r="D71" s="175"/>
      <c r="E71" s="175"/>
      <c r="F71" s="175"/>
      <c r="G71" s="175"/>
      <c r="H71" s="175"/>
      <c r="I71" s="175"/>
      <c r="J71" s="175"/>
      <c r="K71" s="175"/>
    </row>
    <row r="72" spans="1:11" ht="13.5" customHeight="1" x14ac:dyDescent="0.15">
      <c r="A72" s="175"/>
      <c r="B72" s="175"/>
      <c r="C72" s="175"/>
      <c r="D72" s="175"/>
      <c r="E72" s="175"/>
      <c r="F72" s="175"/>
      <c r="G72" s="175"/>
      <c r="H72" s="175"/>
      <c r="I72" s="175"/>
      <c r="J72" s="175"/>
      <c r="K72" s="175"/>
    </row>
    <row r="73" spans="1:11" ht="13.5" customHeight="1" x14ac:dyDescent="0.15">
      <c r="A73" s="175"/>
      <c r="B73" s="175"/>
      <c r="C73" s="175"/>
      <c r="D73" s="175"/>
      <c r="E73" s="175"/>
      <c r="F73" s="175"/>
      <c r="G73" s="175"/>
      <c r="H73" s="175"/>
      <c r="I73" s="175"/>
      <c r="J73" s="175"/>
      <c r="K73" s="175"/>
    </row>
    <row r="74" spans="1:11" ht="13.5" customHeight="1" x14ac:dyDescent="0.15">
      <c r="A74" s="175"/>
      <c r="B74" s="175"/>
      <c r="C74" s="175"/>
      <c r="D74" s="175"/>
      <c r="E74" s="175"/>
      <c r="F74" s="175"/>
      <c r="G74" s="175"/>
      <c r="H74" s="175"/>
      <c r="I74" s="175"/>
      <c r="J74" s="175"/>
      <c r="K74" s="175"/>
    </row>
    <row r="75" spans="1:11" ht="13.5" customHeight="1" x14ac:dyDescent="0.15">
      <c r="A75" s="175"/>
      <c r="B75" s="175"/>
      <c r="C75" s="175"/>
      <c r="D75" s="175"/>
      <c r="E75" s="175"/>
      <c r="F75" s="175"/>
      <c r="G75" s="175"/>
      <c r="H75" s="175"/>
      <c r="I75" s="175"/>
      <c r="J75" s="175"/>
      <c r="K75" s="175"/>
    </row>
    <row r="76" spans="1:11" ht="13.5" customHeight="1" x14ac:dyDescent="0.15">
      <c r="A76" s="175"/>
      <c r="B76" s="175"/>
      <c r="C76" s="175"/>
      <c r="D76" s="175"/>
      <c r="E76" s="175"/>
      <c r="F76" s="175"/>
      <c r="G76" s="175"/>
      <c r="H76" s="175"/>
      <c r="I76" s="175"/>
      <c r="J76" s="175"/>
      <c r="K76" s="175"/>
    </row>
    <row r="77" spans="1:11" ht="13.5" customHeight="1" x14ac:dyDescent="0.15">
      <c r="A77" s="175"/>
      <c r="B77" s="175"/>
      <c r="C77" s="175"/>
      <c r="D77" s="175"/>
      <c r="E77" s="175"/>
      <c r="F77" s="175"/>
      <c r="G77" s="175"/>
      <c r="H77" s="175"/>
      <c r="I77" s="175"/>
      <c r="J77" s="175"/>
      <c r="K77" s="175"/>
    </row>
    <row r="78" spans="1:11" ht="13.5" customHeight="1" x14ac:dyDescent="0.15">
      <c r="A78" s="175"/>
      <c r="B78" s="175"/>
      <c r="C78" s="175"/>
      <c r="D78" s="175"/>
      <c r="E78" s="175"/>
      <c r="F78" s="175"/>
      <c r="G78" s="175"/>
      <c r="H78" s="175"/>
      <c r="I78" s="175"/>
      <c r="J78" s="175"/>
      <c r="K78" s="175"/>
    </row>
    <row r="79" spans="1:11" ht="13.5" customHeight="1" x14ac:dyDescent="0.15">
      <c r="A79" s="175"/>
      <c r="B79" s="175"/>
      <c r="C79" s="175"/>
      <c r="D79" s="175"/>
      <c r="E79" s="175"/>
      <c r="F79" s="175"/>
      <c r="G79" s="175"/>
      <c r="H79" s="175"/>
      <c r="I79" s="175"/>
      <c r="J79" s="175"/>
      <c r="K79" s="175"/>
    </row>
    <row r="80" spans="1:11" ht="13.5" customHeight="1" x14ac:dyDescent="0.15">
      <c r="A80" s="175"/>
      <c r="B80" s="175"/>
      <c r="C80" s="175"/>
      <c r="D80" s="175"/>
      <c r="E80" s="175"/>
      <c r="F80" s="175"/>
      <c r="G80" s="175"/>
      <c r="H80" s="175"/>
      <c r="I80" s="175"/>
      <c r="J80" s="175"/>
      <c r="K80" s="175"/>
    </row>
    <row r="81" spans="1:11" ht="13.5" customHeight="1" x14ac:dyDescent="0.15">
      <c r="A81" s="175"/>
      <c r="B81" s="175"/>
      <c r="C81" s="175"/>
      <c r="D81" s="175"/>
      <c r="E81" s="175"/>
      <c r="F81" s="175"/>
      <c r="G81" s="175"/>
      <c r="H81" s="175"/>
      <c r="I81" s="175"/>
      <c r="J81" s="175"/>
      <c r="K81" s="175"/>
    </row>
    <row r="82" spans="1:11" ht="13.5" customHeight="1" x14ac:dyDescent="0.15">
      <c r="A82" s="175"/>
      <c r="B82" s="175"/>
      <c r="C82" s="175"/>
      <c r="D82" s="175"/>
      <c r="E82" s="175"/>
      <c r="F82" s="175"/>
      <c r="G82" s="175"/>
      <c r="H82" s="175"/>
      <c r="I82" s="175"/>
      <c r="J82" s="175"/>
      <c r="K82" s="175"/>
    </row>
    <row r="83" spans="1:11" ht="13.5" customHeight="1" x14ac:dyDescent="0.15">
      <c r="A83" s="175"/>
      <c r="B83" s="175"/>
      <c r="C83" s="175"/>
      <c r="D83" s="175"/>
      <c r="E83" s="175"/>
      <c r="F83" s="175"/>
      <c r="G83" s="175"/>
      <c r="H83" s="175"/>
      <c r="I83" s="175"/>
      <c r="J83" s="175"/>
      <c r="K83" s="175"/>
    </row>
    <row r="84" spans="1:11" ht="13.5" customHeight="1" x14ac:dyDescent="0.15">
      <c r="A84" s="175"/>
      <c r="B84" s="175"/>
      <c r="C84" s="175"/>
      <c r="D84" s="175"/>
      <c r="E84" s="175"/>
      <c r="F84" s="175"/>
      <c r="G84" s="175"/>
      <c r="H84" s="175"/>
      <c r="I84" s="175"/>
      <c r="J84" s="175"/>
      <c r="K84" s="175"/>
    </row>
    <row r="85" spans="1:11" ht="13.5" customHeight="1" x14ac:dyDescent="0.15">
      <c r="A85" s="175"/>
      <c r="B85" s="175"/>
      <c r="C85" s="175"/>
      <c r="D85" s="175"/>
      <c r="E85" s="175"/>
      <c r="F85" s="175"/>
      <c r="G85" s="175"/>
      <c r="H85" s="175"/>
      <c r="I85" s="175"/>
      <c r="J85" s="175"/>
      <c r="K85" s="175"/>
    </row>
    <row r="86" spans="1:11" ht="13.5" customHeight="1" x14ac:dyDescent="0.15">
      <c r="A86" s="175"/>
      <c r="B86" s="175"/>
      <c r="C86" s="175"/>
      <c r="D86" s="175"/>
      <c r="E86" s="175"/>
      <c r="F86" s="175"/>
      <c r="G86" s="175"/>
      <c r="H86" s="175"/>
      <c r="I86" s="175"/>
      <c r="J86" s="175"/>
      <c r="K86" s="175"/>
    </row>
    <row r="87" spans="1:11" ht="13.5" customHeight="1" x14ac:dyDescent="0.15">
      <c r="A87" s="175"/>
      <c r="B87" s="175"/>
      <c r="C87" s="175"/>
      <c r="D87" s="175"/>
      <c r="E87" s="175"/>
      <c r="F87" s="175"/>
      <c r="G87" s="175"/>
      <c r="H87" s="175"/>
      <c r="I87" s="175"/>
      <c r="J87" s="175"/>
      <c r="K87" s="175"/>
    </row>
    <row r="88" spans="1:11" ht="13.5" customHeight="1" x14ac:dyDescent="0.15">
      <c r="A88" s="175"/>
      <c r="B88" s="175"/>
      <c r="C88" s="175"/>
      <c r="D88" s="175"/>
      <c r="E88" s="175"/>
      <c r="F88" s="175"/>
      <c r="G88" s="175"/>
      <c r="H88" s="175"/>
      <c r="I88" s="175"/>
      <c r="J88" s="175"/>
      <c r="K88" s="175"/>
    </row>
    <row r="89" spans="1:11" ht="13.5" customHeight="1" x14ac:dyDescent="0.15">
      <c r="A89" s="175"/>
      <c r="B89" s="175"/>
      <c r="C89" s="175"/>
      <c r="D89" s="175"/>
      <c r="E89" s="175"/>
      <c r="F89" s="175"/>
      <c r="G89" s="175"/>
      <c r="H89" s="175"/>
      <c r="I89" s="175"/>
      <c r="J89" s="175"/>
      <c r="K89" s="175"/>
    </row>
    <row r="90" spans="1:11" ht="13.5" customHeight="1" x14ac:dyDescent="0.15">
      <c r="A90" s="175"/>
      <c r="B90" s="175"/>
      <c r="C90" s="175"/>
      <c r="D90" s="175"/>
      <c r="E90" s="175"/>
      <c r="F90" s="175"/>
      <c r="G90" s="175"/>
      <c r="H90" s="175"/>
      <c r="I90" s="175"/>
      <c r="J90" s="175"/>
      <c r="K90" s="175"/>
    </row>
    <row r="91" spans="1:11" ht="13.5" customHeight="1" x14ac:dyDescent="0.15">
      <c r="A91" s="175"/>
      <c r="B91" s="175"/>
      <c r="C91" s="175"/>
      <c r="D91" s="175"/>
      <c r="E91" s="175"/>
      <c r="F91" s="175"/>
      <c r="G91" s="175"/>
      <c r="H91" s="175"/>
      <c r="I91" s="175"/>
      <c r="J91" s="175"/>
      <c r="K91" s="175"/>
    </row>
    <row r="92" spans="1:11" ht="13.5" customHeight="1" x14ac:dyDescent="0.15">
      <c r="A92" s="175"/>
      <c r="B92" s="175"/>
      <c r="C92" s="175"/>
      <c r="D92" s="175"/>
      <c r="E92" s="175"/>
      <c r="F92" s="175"/>
      <c r="G92" s="175"/>
      <c r="H92" s="175"/>
      <c r="I92" s="175"/>
      <c r="J92" s="175"/>
      <c r="K92" s="175"/>
    </row>
    <row r="93" spans="1:11" ht="13.5" customHeight="1" x14ac:dyDescent="0.15">
      <c r="A93" s="175"/>
      <c r="B93" s="175"/>
      <c r="C93" s="175"/>
      <c r="D93" s="175"/>
      <c r="E93" s="175"/>
      <c r="F93" s="175"/>
      <c r="G93" s="175"/>
      <c r="H93" s="175"/>
      <c r="I93" s="175"/>
      <c r="J93" s="175"/>
      <c r="K93" s="175"/>
    </row>
    <row r="94" spans="1:11" ht="13.5" customHeight="1" x14ac:dyDescent="0.15">
      <c r="A94" s="175"/>
      <c r="B94" s="175"/>
      <c r="C94" s="175"/>
      <c r="D94" s="175"/>
      <c r="E94" s="175"/>
      <c r="F94" s="175"/>
      <c r="G94" s="175"/>
      <c r="H94" s="175"/>
      <c r="I94" s="175"/>
      <c r="J94" s="175"/>
      <c r="K94" s="175"/>
    </row>
    <row r="95" spans="1:11" ht="13.5" customHeight="1" x14ac:dyDescent="0.15">
      <c r="A95" s="175"/>
      <c r="B95" s="175"/>
      <c r="C95" s="175"/>
      <c r="D95" s="175"/>
      <c r="E95" s="175"/>
      <c r="F95" s="175"/>
      <c r="G95" s="175"/>
      <c r="H95" s="175"/>
      <c r="I95" s="175"/>
      <c r="J95" s="175"/>
      <c r="K95" s="175"/>
    </row>
    <row r="96" spans="1:11" ht="13.5" customHeight="1" x14ac:dyDescent="0.15">
      <c r="A96" s="175"/>
      <c r="B96" s="175"/>
      <c r="C96" s="175"/>
      <c r="D96" s="175"/>
      <c r="E96" s="175"/>
      <c r="F96" s="175"/>
      <c r="G96" s="175"/>
      <c r="H96" s="175"/>
      <c r="I96" s="175"/>
      <c r="J96" s="175"/>
      <c r="K96" s="175"/>
    </row>
    <row r="97" spans="1:11" ht="13.5" customHeight="1" x14ac:dyDescent="0.15">
      <c r="A97" s="175"/>
      <c r="B97" s="175"/>
      <c r="C97" s="175"/>
      <c r="D97" s="175"/>
      <c r="E97" s="175"/>
      <c r="F97" s="175"/>
      <c r="G97" s="175"/>
      <c r="H97" s="175"/>
      <c r="I97" s="175"/>
      <c r="J97" s="175"/>
      <c r="K97" s="175"/>
    </row>
    <row r="98" spans="1:11" ht="13.5" customHeight="1" x14ac:dyDescent="0.15">
      <c r="A98" s="175"/>
      <c r="B98" s="175"/>
      <c r="C98" s="175"/>
      <c r="D98" s="175"/>
      <c r="E98" s="175"/>
      <c r="F98" s="175"/>
      <c r="G98" s="175"/>
      <c r="H98" s="175"/>
      <c r="I98" s="175"/>
      <c r="J98" s="175"/>
      <c r="K98" s="175"/>
    </row>
    <row r="99" spans="1:11" ht="13.5" customHeight="1" x14ac:dyDescent="0.15">
      <c r="A99" s="175"/>
      <c r="B99" s="175"/>
      <c r="C99" s="175"/>
      <c r="D99" s="175"/>
      <c r="E99" s="175"/>
      <c r="F99" s="175"/>
      <c r="G99" s="175"/>
      <c r="H99" s="175"/>
      <c r="I99" s="175"/>
      <c r="J99" s="175"/>
      <c r="K99" s="175"/>
    </row>
    <row r="100" spans="1:11" ht="13.5" customHeight="1" x14ac:dyDescent="0.15">
      <c r="A100" s="175"/>
      <c r="B100" s="175"/>
      <c r="C100" s="175"/>
      <c r="D100" s="175"/>
      <c r="E100" s="175"/>
      <c r="F100" s="175"/>
      <c r="G100" s="175"/>
      <c r="H100" s="175"/>
      <c r="I100" s="175"/>
      <c r="J100" s="175"/>
      <c r="K100" s="175"/>
    </row>
  </sheetData>
  <pageMargins left="0.7" right="0.7" top="0.75" bottom="0.75" header="0" footer="0"/>
  <pageSetup paperSize="9" fitToWidth="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0"/>
  <sheetViews>
    <sheetView workbookViewId="0"/>
  </sheetViews>
  <sheetFormatPr defaultColWidth="13.97265625" defaultRowHeight="15" customHeight="1" x14ac:dyDescent="0.15"/>
  <cols>
    <col min="1" max="1" width="3.4296875" customWidth="1"/>
    <col min="2" max="2" width="6.86328125" customWidth="1"/>
    <col min="3" max="3" width="14.33984375" customWidth="1"/>
    <col min="4" max="4" width="8.08984375" customWidth="1"/>
    <col min="5" max="5" width="12.13671875" customWidth="1"/>
    <col min="6" max="6" width="6.86328125" customWidth="1"/>
    <col min="7" max="7" width="11.890625" customWidth="1"/>
    <col min="8" max="8" width="6.86328125" customWidth="1"/>
    <col min="9" max="9" width="12.13671875" customWidth="1"/>
    <col min="10" max="10" width="6.86328125" customWidth="1"/>
    <col min="11" max="11" width="12.2578125" customWidth="1"/>
    <col min="12" max="12" width="6.86328125" customWidth="1"/>
  </cols>
  <sheetData>
    <row r="1" spans="1:12" ht="13.5" customHeight="1" x14ac:dyDescent="0.15">
      <c r="B1" s="22"/>
    </row>
    <row r="2" spans="1:12" ht="13.5" customHeight="1" x14ac:dyDescent="0.15">
      <c r="A2" s="178"/>
      <c r="B2" s="179" t="s">
        <v>443</v>
      </c>
      <c r="C2" s="179" t="s">
        <v>23</v>
      </c>
      <c r="D2" s="179" t="s">
        <v>17</v>
      </c>
      <c r="E2" s="179" t="s">
        <v>444</v>
      </c>
      <c r="F2" s="179" t="s">
        <v>445</v>
      </c>
      <c r="G2" s="179" t="s">
        <v>446</v>
      </c>
      <c r="H2" s="179" t="s">
        <v>445</v>
      </c>
      <c r="I2" s="179" t="s">
        <v>447</v>
      </c>
      <c r="J2" s="179" t="s">
        <v>445</v>
      </c>
      <c r="K2" s="179" t="s">
        <v>448</v>
      </c>
      <c r="L2" s="179" t="s">
        <v>445</v>
      </c>
    </row>
    <row r="3" spans="1:12" ht="13.5" customHeight="1" x14ac:dyDescent="0.15">
      <c r="B3" s="180">
        <v>1</v>
      </c>
      <c r="C3" s="180" t="str">
        <f>IF(烤漆色號編碼!A2="","",烤漆色號編碼!A2)</f>
        <v>DP-11485</v>
      </c>
      <c r="D3" s="180" t="str">
        <f t="array" ref="D3">IF(C3="","",INDEX(烤漆色號編碼!$A:$G,MATCH(C3,烤漆色號編碼!$A:$A, ),2))</f>
        <v>WE</v>
      </c>
      <c r="E3" s="181">
        <f>IF(C3="","",SUMIF(採購入庫!D:D,$C3,採購入庫!$G:$G))</f>
        <v>0</v>
      </c>
      <c r="F3" s="182" t="s">
        <v>6</v>
      </c>
      <c r="G3" s="181">
        <f>IF(D3="","",SUMIF(每日用粉紀錄表!C:C,$C3,每日用粉紀錄表!F:F))</f>
        <v>0</v>
      </c>
      <c r="H3" s="182" t="s">
        <v>6</v>
      </c>
      <c r="I3" s="183">
        <f>IF(F3="","",SUMIF(當前庫存!C:C,$C3,當前庫存!G:G))</f>
        <v>1</v>
      </c>
      <c r="J3" s="182" t="s">
        <v>6</v>
      </c>
      <c r="K3" s="183">
        <f>IF(H3="","",SUMIF(當前庫存!C:C,$C3,當前庫存!F:F))</f>
        <v>38</v>
      </c>
      <c r="L3" s="182" t="s">
        <v>8</v>
      </c>
    </row>
    <row r="4" spans="1:12" ht="13.5" customHeight="1" x14ac:dyDescent="0.15">
      <c r="B4" s="180">
        <v>2</v>
      </c>
      <c r="C4" s="180" t="str">
        <f>IF(烤漆色號編碼!A3="","",烤漆色號編碼!A3)</f>
        <v>DP-1856</v>
      </c>
      <c r="D4" s="180" t="str">
        <f t="array" ref="D4">IF(C4="","",INDEX(烤漆色號編碼!$A:$G,MATCH(C4,烤漆色號編碼!$A:$A, ),2))</f>
        <v>WE1</v>
      </c>
      <c r="E4" s="181">
        <f>IF(C4="","",SUMIF(採購入庫!D:D,$C4,採購入庫!$G:$G))</f>
        <v>0</v>
      </c>
      <c r="F4" s="182" t="s">
        <v>6</v>
      </c>
      <c r="G4" s="181">
        <f>IF(D4="","",SUMIF(每日用粉紀錄表!C:C,$C4,每日用粉紀錄表!F:F))</f>
        <v>0</v>
      </c>
      <c r="H4" s="182" t="s">
        <v>6</v>
      </c>
      <c r="I4" s="183">
        <f>IF(F4="","",SUMIF(當前庫存!C:C,$C4,當前庫存!G:G))</f>
        <v>1</v>
      </c>
      <c r="J4" s="182" t="s">
        <v>6</v>
      </c>
      <c r="K4" s="183">
        <f>IF(H4="","",SUMIF(當前庫存!C:C,$C4,當前庫存!F:F))</f>
        <v>12</v>
      </c>
      <c r="L4" s="182" t="s">
        <v>8</v>
      </c>
    </row>
    <row r="5" spans="1:12" ht="13.5" customHeight="1" x14ac:dyDescent="0.15">
      <c r="B5" s="180">
        <v>3</v>
      </c>
      <c r="C5" s="180" t="str">
        <f>IF(烤漆色號編碼!A4="","",烤漆色號編碼!A4)</f>
        <v>O-5905</v>
      </c>
      <c r="D5" s="180" t="str">
        <f t="array" ref="D5">IF(C5="","",INDEX(烤漆色號編碼!$A:$G,MATCH(C5,烤漆色號編碼!$A:$A, ),2))</f>
        <v>換粉</v>
      </c>
      <c r="E5" s="181">
        <f>IF(C5="","",SUMIF(採購入庫!D:D,$C5,採購入庫!$G:$G))</f>
        <v>0</v>
      </c>
      <c r="F5" s="182" t="s">
        <v>6</v>
      </c>
      <c r="G5" s="181">
        <f>IF(D5="","",SUMIF(每日用粉紀錄表!C:C,$C5,每日用粉紀錄表!F:F))</f>
        <v>0</v>
      </c>
      <c r="H5" s="182" t="s">
        <v>6</v>
      </c>
      <c r="I5" s="183">
        <f>IF(F5="","",SUMIF(當前庫存!C:C,$C5,當前庫存!G:G))</f>
        <v>0</v>
      </c>
      <c r="J5" s="182" t="s">
        <v>6</v>
      </c>
      <c r="K5" s="183">
        <f>IF(H5="","",SUMIF(當前庫存!C:C,$C5,當前庫存!F:F))</f>
        <v>0</v>
      </c>
      <c r="L5" s="182" t="s">
        <v>8</v>
      </c>
    </row>
    <row r="6" spans="1:12" ht="13.5" customHeight="1" x14ac:dyDescent="0.15">
      <c r="B6" s="180">
        <v>4</v>
      </c>
      <c r="C6" s="180" t="str">
        <f>IF(烤漆色號編碼!A5="","",烤漆色號編碼!A5)</f>
        <v>New O-5905</v>
      </c>
      <c r="D6" s="180" t="str">
        <f t="array" ref="D6">IF(C6="","",INDEX(烤漆色號編碼!$A:$G,MATCH(C6,烤漆色號編碼!$A:$A, ),2))</f>
        <v>換粉</v>
      </c>
      <c r="E6" s="181">
        <f>IF(C6="","",SUMIF(採購入庫!D:D,$C6,採購入庫!$G:$G))</f>
        <v>0</v>
      </c>
      <c r="F6" s="182" t="s">
        <v>6</v>
      </c>
      <c r="G6" s="181">
        <f>IF(D6="","",SUMIF(每日用粉紀錄表!C:C,$C6,每日用粉紀錄表!F:F))</f>
        <v>0</v>
      </c>
      <c r="H6" s="182" t="s">
        <v>6</v>
      </c>
      <c r="I6" s="183">
        <f>IF(F6="","",SUMIF(當前庫存!C:C,$C6,當前庫存!G:G))</f>
        <v>2</v>
      </c>
      <c r="J6" s="182" t="s">
        <v>6</v>
      </c>
      <c r="K6" s="183">
        <f>IF(H6="","",SUMIF(當前庫存!C:C,$C6,當前庫存!F:F))</f>
        <v>7</v>
      </c>
      <c r="L6" s="182" t="s">
        <v>8</v>
      </c>
    </row>
    <row r="7" spans="1:12" ht="13.5" customHeight="1" x14ac:dyDescent="0.15">
      <c r="B7" s="180">
        <v>5</v>
      </c>
      <c r="C7" s="180" t="str">
        <f>IF(烤漆色號編碼!A6="","",烤漆色號編碼!A6)</f>
        <v>790-41540H</v>
      </c>
      <c r="D7" s="180" t="str">
        <f t="array" ref="D7">IF(C7="","",INDEX(烤漆色號編碼!$A:$G,MATCH(C7,烤漆色號編碼!$A:$A, ),2))</f>
        <v>YWH</v>
      </c>
      <c r="E7" s="181">
        <f>IF(C7="","",SUMIF(採購入庫!D:D,$C7,採購入庫!$G:$G))</f>
        <v>0</v>
      </c>
      <c r="F7" s="182" t="s">
        <v>6</v>
      </c>
      <c r="G7" s="181">
        <f>IF(D7="","",SUMIF(每日用粉紀錄表!C:C,$C7,每日用粉紀錄表!F:F))</f>
        <v>0</v>
      </c>
      <c r="H7" s="182" t="s">
        <v>6</v>
      </c>
      <c r="I7" s="183">
        <f>IF(F7="","",SUMIF(當前庫存!C:C,$C7,當前庫存!G:G))</f>
        <v>0</v>
      </c>
      <c r="J7" s="182" t="s">
        <v>6</v>
      </c>
      <c r="K7" s="183">
        <f>IF(H7="","",SUMIF(當前庫存!C:C,$C7,當前庫存!F:F))</f>
        <v>27</v>
      </c>
      <c r="L7" s="182" t="s">
        <v>8</v>
      </c>
    </row>
    <row r="8" spans="1:12" ht="13.5" customHeight="1" x14ac:dyDescent="0.15">
      <c r="B8" s="180">
        <v>6</v>
      </c>
      <c r="C8" s="180" t="str">
        <f>IF(烤漆色號編碼!A7="","",烤漆色號編碼!A7)</f>
        <v>780-310AT</v>
      </c>
      <c r="D8" s="180" t="str">
        <f t="array" ref="D8">IF(C8="","",INDEX(烤漆色號編碼!$A:$G,MATCH(C8,烤漆色號編碼!$A:$A, ),2))</f>
        <v>RD</v>
      </c>
      <c r="E8" s="181">
        <f>IF(C8="","",SUMIF(採購入庫!D:D,$C8,採購入庫!$G:$G))</f>
        <v>0</v>
      </c>
      <c r="F8" s="182" t="s">
        <v>6</v>
      </c>
      <c r="G8" s="181">
        <f>IF(D8="","",SUMIF(每日用粉紀錄表!C:C,$C8,每日用粉紀錄表!F:F))</f>
        <v>0</v>
      </c>
      <c r="H8" s="182" t="s">
        <v>6</v>
      </c>
      <c r="I8" s="183">
        <f>IF(F8="","",SUMIF(當前庫存!C:C,$C8,當前庫存!G:G))</f>
        <v>3</v>
      </c>
      <c r="J8" s="182" t="s">
        <v>6</v>
      </c>
      <c r="K8" s="183">
        <f>IF(H8="","",SUMIF(當前庫存!C:C,$C8,當前庫存!F:F))</f>
        <v>11</v>
      </c>
      <c r="L8" s="182" t="s">
        <v>8</v>
      </c>
    </row>
    <row r="9" spans="1:12" ht="13.5" customHeight="1" x14ac:dyDescent="0.15">
      <c r="B9" s="180">
        <v>7</v>
      </c>
      <c r="C9" s="180" t="str">
        <f>IF(烤漆色號編碼!A8="","",烤漆色號編碼!A8)</f>
        <v>LT-90442</v>
      </c>
      <c r="D9" s="180" t="str">
        <f t="array" ref="D9">IF(C9="","",INDEX(烤漆色號編碼!$A:$G,MATCH(C9,烤漆色號編碼!$A:$A, ),2))</f>
        <v>BE</v>
      </c>
      <c r="E9" s="181">
        <f>IF(C9="","",SUMIF(採購入庫!D:D,$C9,採購入庫!$G:$G))</f>
        <v>0</v>
      </c>
      <c r="F9" s="182" t="s">
        <v>6</v>
      </c>
      <c r="G9" s="181">
        <f>IF(D9="","",SUMIF(每日用粉紀錄表!C:C,$C9,每日用粉紀錄表!F:F))</f>
        <v>0</v>
      </c>
      <c r="H9" s="182" t="s">
        <v>6</v>
      </c>
      <c r="I9" s="183">
        <f>IF(F9="","",SUMIF(當前庫存!C:C,$C9,當前庫存!G:G))</f>
        <v>2</v>
      </c>
      <c r="J9" s="182" t="s">
        <v>6</v>
      </c>
      <c r="K9" s="183">
        <f>IF(H9="","",SUMIF(當前庫存!C:C,$C9,當前庫存!F:F))</f>
        <v>3</v>
      </c>
      <c r="L9" s="182" t="s">
        <v>8</v>
      </c>
    </row>
    <row r="10" spans="1:12" ht="13.5" customHeight="1" x14ac:dyDescent="0.15">
      <c r="B10" s="180">
        <v>8</v>
      </c>
      <c r="C10" s="180" t="str">
        <f>IF(烤漆色號編碼!A9="","",烤漆色號編碼!A9)</f>
        <v>770-739</v>
      </c>
      <c r="D10" s="180" t="str">
        <f t="array" ref="D10">IF(C10="","",INDEX(烤漆色號編碼!$A:$G,MATCH(C10,烤漆色號編碼!$A:$A, ),2))</f>
        <v>BEG</v>
      </c>
      <c r="E10" s="181">
        <f>IF(C10="","",SUMIF(採購入庫!D:D,$C10,採購入庫!$G:$G))</f>
        <v>0</v>
      </c>
      <c r="F10" s="182" t="s">
        <v>6</v>
      </c>
      <c r="G10" s="181">
        <f>IF(D10="","",SUMIF(每日用粉紀錄表!C:C,$C10,每日用粉紀錄表!F:F))</f>
        <v>1</v>
      </c>
      <c r="H10" s="182" t="s">
        <v>6</v>
      </c>
      <c r="I10" s="183">
        <f>IF(F10="","",SUMIF(當前庫存!C:C,$C10,當前庫存!G:G))</f>
        <v>4</v>
      </c>
      <c r="J10" s="182" t="s">
        <v>6</v>
      </c>
      <c r="K10" s="183">
        <f>IF(H10="","",SUMIF(當前庫存!C:C,$C10,當前庫存!F:F))</f>
        <v>21</v>
      </c>
      <c r="L10" s="182" t="s">
        <v>8</v>
      </c>
    </row>
    <row r="11" spans="1:12" ht="13.5" customHeight="1" x14ac:dyDescent="0.15">
      <c r="B11" s="180">
        <v>9</v>
      </c>
      <c r="C11" s="180" t="str">
        <f>IF(烤漆色號編碼!A10="","",烤漆色號編碼!A10)</f>
        <v>4950-502</v>
      </c>
      <c r="D11" s="180" t="str">
        <f t="array" ref="D11">IF(C11="","",INDEX(烤漆色號編碼!$A:$G,MATCH(C11,烤漆色號編碼!$A:$A, ),2))</f>
        <v>BK</v>
      </c>
      <c r="E11" s="181">
        <f>IF(C11="","",SUMIF(採購入庫!D:D,$C11,採購入庫!$G:$G))</f>
        <v>0</v>
      </c>
      <c r="F11" s="182" t="s">
        <v>6</v>
      </c>
      <c r="G11" s="181">
        <f>IF(D11="","",SUMIF(每日用粉紀錄表!C:C,$C11,每日用粉紀錄表!F:F))</f>
        <v>0</v>
      </c>
      <c r="H11" s="182" t="s">
        <v>6</v>
      </c>
      <c r="I11" s="183">
        <f>IF(F11="","",SUMIF(當前庫存!C:C,$C11,當前庫存!G:G))</f>
        <v>4</v>
      </c>
      <c r="J11" s="182" t="s">
        <v>6</v>
      </c>
      <c r="K11" s="183">
        <f>IF(H11="","",SUMIF(當前庫存!C:C,$C11,當前庫存!F:F))</f>
        <v>2</v>
      </c>
      <c r="L11" s="182" t="s">
        <v>8</v>
      </c>
    </row>
    <row r="12" spans="1:12" ht="13.5" customHeight="1" x14ac:dyDescent="0.15">
      <c r="B12" s="180">
        <v>10</v>
      </c>
      <c r="C12" s="180" t="str">
        <f>IF(烤漆色號編碼!A11="","",烤漆色號編碼!A11)</f>
        <v>EN-402T</v>
      </c>
      <c r="D12" s="180" t="str">
        <f t="array" ref="D12">IF(C12="","",INDEX(烤漆色號編碼!$A:$G,MATCH(C12,烤漆色號編碼!$A:$A, ),2))</f>
        <v>BKH</v>
      </c>
      <c r="E12" s="181">
        <f>IF(C12="","",SUMIF(採購入庫!D:D,$C12,採購入庫!$G:$G))</f>
        <v>0</v>
      </c>
      <c r="F12" s="182" t="s">
        <v>6</v>
      </c>
      <c r="G12" s="181">
        <f>IF(D12="","",SUMIF(每日用粉紀錄表!C:C,$C12,每日用粉紀錄表!F:F))</f>
        <v>0</v>
      </c>
      <c r="H12" s="182" t="s">
        <v>6</v>
      </c>
      <c r="I12" s="183">
        <f>IF(F12="","",SUMIF(當前庫存!C:C,$C12,當前庫存!G:G))</f>
        <v>0</v>
      </c>
      <c r="J12" s="182" t="s">
        <v>6</v>
      </c>
      <c r="K12" s="183">
        <f>IF(H12="","",SUMIF(當前庫存!C:C,$C12,當前庫存!F:F))</f>
        <v>33</v>
      </c>
      <c r="L12" s="182" t="s">
        <v>8</v>
      </c>
    </row>
    <row r="13" spans="1:12" ht="13.5" customHeight="1" x14ac:dyDescent="0.15">
      <c r="B13" s="180">
        <v>11</v>
      </c>
      <c r="C13" s="180" t="str">
        <f>IF(烤漆色號編碼!A12="","",烤漆色號編碼!A12)</f>
        <v>K-91097G</v>
      </c>
      <c r="D13" s="180" t="str">
        <f t="array" ref="D13">IF(C13="","",INDEX(烤漆色號編碼!$A:$G,MATCH(C13,烤漆色號編碼!$A:$A, ),2))</f>
        <v>BKS1</v>
      </c>
      <c r="E13" s="181">
        <f>IF(C13="","",SUMIF(採購入庫!D:D,$C13,採購入庫!$G:$G))</f>
        <v>12</v>
      </c>
      <c r="F13" s="182" t="s">
        <v>6</v>
      </c>
      <c r="G13" s="181">
        <f>IF(D13="","",SUMIF(每日用粉紀錄表!C:C,$C13,每日用粉紀錄表!F:F))</f>
        <v>5</v>
      </c>
      <c r="H13" s="182" t="s">
        <v>6</v>
      </c>
      <c r="I13" s="183">
        <f>IF(F13="","",SUMIF(當前庫存!C:C,$C13,當前庫存!G:G))</f>
        <v>24</v>
      </c>
      <c r="J13" s="182" t="s">
        <v>6</v>
      </c>
      <c r="K13" s="183">
        <f>IF(H13="","",SUMIF(當前庫存!C:C,$C13,當前庫存!F:F))</f>
        <v>-6</v>
      </c>
      <c r="L13" s="182" t="s">
        <v>8</v>
      </c>
    </row>
    <row r="14" spans="1:12" ht="13.5" customHeight="1" x14ac:dyDescent="0.15">
      <c r="B14" s="180">
        <v>12</v>
      </c>
      <c r="C14" s="180" t="str">
        <f>IF(烤漆色號編碼!A13="","",烤漆色號編碼!A13)</f>
        <v>780-45510H</v>
      </c>
      <c r="D14" s="180" t="str">
        <f t="array" ref="D14">IF(C14="","",INDEX(烤漆色號編碼!$A:$G,MATCH(C14,烤漆色號編碼!$A:$A, ),2))</f>
        <v>換粉</v>
      </c>
      <c r="E14" s="181">
        <f>IF(C14="","",SUMIF(採購入庫!D:D,$C14,採購入庫!$G:$G))</f>
        <v>0</v>
      </c>
      <c r="F14" s="182" t="s">
        <v>6</v>
      </c>
      <c r="G14" s="181">
        <f>IF(D14="","",SUMIF(每日用粉紀錄表!C:C,$C14,每日用粉紀錄表!F:F))</f>
        <v>0</v>
      </c>
      <c r="H14" s="182" t="s">
        <v>6</v>
      </c>
      <c r="I14" s="183">
        <f>IF(F14="","",SUMIF(當前庫存!C:C,$C14,當前庫存!G:G))</f>
        <v>0</v>
      </c>
      <c r="J14" s="182" t="s">
        <v>6</v>
      </c>
      <c r="K14" s="183">
        <f>IF(H14="","",SUMIF(當前庫存!C:C,$C14,當前庫存!F:F))</f>
        <v>0</v>
      </c>
      <c r="L14" s="182" t="s">
        <v>8</v>
      </c>
    </row>
    <row r="15" spans="1:12" ht="13.5" customHeight="1" x14ac:dyDescent="0.15">
      <c r="B15" s="180">
        <v>13</v>
      </c>
      <c r="C15" s="180" t="str">
        <f>IF(烤漆色號編碼!A14="","",烤漆色號編碼!A14)</f>
        <v>4605-505</v>
      </c>
      <c r="D15" s="180" t="str">
        <f t="array" ref="D15">IF(C15="","",INDEX(烤漆色號編碼!$A:$G,MATCH(C15,烤漆色號編碼!$A:$A, ),2))</f>
        <v>EBK</v>
      </c>
      <c r="E15" s="181">
        <f>IF(C15="","",SUMIF(採購入庫!D:D,$C15,採購入庫!$G:$G))</f>
        <v>0</v>
      </c>
      <c r="F15" s="182" t="s">
        <v>6</v>
      </c>
      <c r="G15" s="181">
        <f>IF(D15="","",SUMIF(每日用粉紀錄表!C:C,$C15,每日用粉紀錄表!F:F))</f>
        <v>0</v>
      </c>
      <c r="H15" s="182" t="s">
        <v>6</v>
      </c>
      <c r="I15" s="183">
        <f>IF(F15="","",SUMIF(當前庫存!C:C,$C15,當前庫存!G:G))</f>
        <v>3</v>
      </c>
      <c r="J15" s="182" t="s">
        <v>6</v>
      </c>
      <c r="K15" s="183">
        <f>IF(H15="","",SUMIF(當前庫存!C:C,$C15,當前庫存!F:F))</f>
        <v>21</v>
      </c>
      <c r="L15" s="182" t="s">
        <v>8</v>
      </c>
    </row>
    <row r="16" spans="1:12" ht="13.5" customHeight="1" x14ac:dyDescent="0.15">
      <c r="B16" s="180">
        <v>14</v>
      </c>
      <c r="C16" s="180" t="str">
        <f>IF(烤漆色號編碼!A15="","",烤漆色號編碼!A15)</f>
        <v>O-9850GSNB</v>
      </c>
      <c r="D16" s="180" t="str">
        <f t="array" ref="D16">IF(C16="","",INDEX(烤漆色號編碼!$A:$G,MATCH(C16,烤漆色號編碼!$A:$A, ),2))</f>
        <v>BKSA</v>
      </c>
      <c r="E16" s="181">
        <f>IF(C16="","",SUMIF(採購入庫!D:D,$C16,採購入庫!$G:$G))</f>
        <v>0</v>
      </c>
      <c r="F16" s="182" t="s">
        <v>6</v>
      </c>
      <c r="G16" s="181">
        <f>IF(D16="","",SUMIF(每日用粉紀錄表!C:C,$C16,每日用粉紀錄表!F:F))</f>
        <v>0</v>
      </c>
      <c r="H16" s="182" t="s">
        <v>6</v>
      </c>
      <c r="I16" s="183">
        <f>IF(F16="","",SUMIF(當前庫存!C:C,$C16,當前庫存!G:G))</f>
        <v>1</v>
      </c>
      <c r="J16" s="182" t="s">
        <v>6</v>
      </c>
      <c r="K16" s="183">
        <f>IF(H16="","",SUMIF(當前庫存!C:C,$C16,當前庫存!F:F))</f>
        <v>65</v>
      </c>
      <c r="L16" s="182" t="s">
        <v>8</v>
      </c>
    </row>
    <row r="17" spans="2:12" ht="13.5" customHeight="1" x14ac:dyDescent="0.15">
      <c r="B17" s="180">
        <v>15</v>
      </c>
      <c r="C17" s="180" t="str">
        <f>IF(烤漆色號編碼!A16="","",烤漆色號編碼!A16)</f>
        <v>K-9287S</v>
      </c>
      <c r="D17" s="180" t="str">
        <f t="array" ref="D17">IF(C17="","",INDEX(烤漆色號編碼!$A:$G,MATCH(C17,烤漆色號編碼!$A:$A, ),2))</f>
        <v>BKSA1</v>
      </c>
      <c r="E17" s="181">
        <f>IF(C17="","",SUMIF(採購入庫!D:D,$C17,採購入庫!$G:$G))</f>
        <v>0</v>
      </c>
      <c r="F17" s="182" t="s">
        <v>6</v>
      </c>
      <c r="G17" s="181">
        <f>IF(D17="","",SUMIF(每日用粉紀錄表!C:C,$C17,每日用粉紀錄表!F:F))</f>
        <v>0</v>
      </c>
      <c r="H17" s="182" t="s">
        <v>6</v>
      </c>
      <c r="I17" s="183">
        <f>IF(F17="","",SUMIF(當前庫存!C:C,$C17,當前庫存!G:G))</f>
        <v>2</v>
      </c>
      <c r="J17" s="182" t="s">
        <v>6</v>
      </c>
      <c r="K17" s="183">
        <f>IF(H17="","",SUMIF(當前庫存!C:C,$C17,當前庫存!F:F))</f>
        <v>8</v>
      </c>
      <c r="L17" s="182" t="s">
        <v>8</v>
      </c>
    </row>
    <row r="18" spans="2:12" ht="13.5" customHeight="1" x14ac:dyDescent="0.15">
      <c r="B18" s="180">
        <v>16</v>
      </c>
      <c r="C18" s="180" t="str">
        <f>IF(烤漆色號編碼!A17="","",烤漆色號編碼!A17)</f>
        <v>EL-0365T</v>
      </c>
      <c r="D18" s="180" t="str">
        <f t="array" ref="D18">IF(C18="","",INDEX(烤漆色號編碼!$A:$G,MATCH(C18,烤漆色號編碼!$A:$A, ),2))</f>
        <v>IGS</v>
      </c>
      <c r="E18" s="181">
        <f>IF(C18="","",SUMIF(採購入庫!D:D,$C18,採購入庫!$G:$G))</f>
        <v>0</v>
      </c>
      <c r="F18" s="182" t="s">
        <v>6</v>
      </c>
      <c r="G18" s="181">
        <f>IF(D18="","",SUMIF(每日用粉紀錄表!C:C,$C18,每日用粉紀錄表!F:F))</f>
        <v>0</v>
      </c>
      <c r="H18" s="182" t="s">
        <v>6</v>
      </c>
      <c r="I18" s="183">
        <f>IF(F18="","",SUMIF(當前庫存!C:C,$C18,當前庫存!G:G))</f>
        <v>2</v>
      </c>
      <c r="J18" s="182" t="s">
        <v>6</v>
      </c>
      <c r="K18" s="183">
        <f>IF(H18="","",SUMIF(當前庫存!C:C,$C18,當前庫存!F:F))</f>
        <v>13</v>
      </c>
      <c r="L18" s="182" t="s">
        <v>8</v>
      </c>
    </row>
    <row r="19" spans="2:12" ht="13.5" customHeight="1" x14ac:dyDescent="0.15">
      <c r="B19" s="180">
        <v>17</v>
      </c>
      <c r="C19" s="180" t="str">
        <f>IF(烤漆色號編碼!A18="","",烤漆色號編碼!A18)</f>
        <v>O-22170G</v>
      </c>
      <c r="D19" s="180" t="str">
        <f t="array" ref="D19">IF(C19="","",INDEX(烤漆色號編碼!$A:$G,MATCH(C19,烤漆色號編碼!$A:$A, ),2))</f>
        <v>DGS</v>
      </c>
      <c r="E19" s="181">
        <f>IF(C19="","",SUMIF(採購入庫!D:D,$C19,採購入庫!$G:$G))</f>
        <v>0</v>
      </c>
      <c r="F19" s="182" t="s">
        <v>6</v>
      </c>
      <c r="G19" s="181">
        <f>IF(D19="","",SUMIF(每日用粉紀錄表!C:C,$C19,每日用粉紀錄表!F:F))</f>
        <v>0</v>
      </c>
      <c r="H19" s="182" t="s">
        <v>6</v>
      </c>
      <c r="I19" s="183">
        <f>IF(F19="","",SUMIF(當前庫存!C:C,$C19,當前庫存!G:G))</f>
        <v>8</v>
      </c>
      <c r="J19" s="182" t="s">
        <v>6</v>
      </c>
      <c r="K19" s="183">
        <f>IF(H19="","",SUMIF(當前庫存!C:C,$C19,當前庫存!F:F))</f>
        <v>17</v>
      </c>
      <c r="L19" s="182" t="s">
        <v>8</v>
      </c>
    </row>
    <row r="20" spans="2:12" ht="13.5" customHeight="1" x14ac:dyDescent="0.15">
      <c r="B20" s="180">
        <v>18</v>
      </c>
      <c r="C20" s="180" t="str">
        <f>IF(烤漆色號編碼!A19="","",烤漆色號編碼!A19)</f>
        <v>O-200SB</v>
      </c>
      <c r="D20" s="180" t="str">
        <f t="array" ref="D20">IF(C20="","",INDEX(烤漆色號編碼!$A:$G,MATCH(C20,烤漆色號編碼!$A:$A, ),2))</f>
        <v>無粉</v>
      </c>
      <c r="E20" s="181">
        <f>IF(C20="","",SUMIF(採購入庫!D:D,$C20,採購入庫!$G:$G))</f>
        <v>0</v>
      </c>
      <c r="F20" s="182" t="s">
        <v>6</v>
      </c>
      <c r="G20" s="181">
        <f>IF(D20="","",SUMIF(每日用粉紀錄表!C:C,$C20,每日用粉紀錄表!F:F))</f>
        <v>0</v>
      </c>
      <c r="H20" s="182" t="s">
        <v>6</v>
      </c>
      <c r="I20" s="183">
        <f>IF(F20="","",SUMIF(當前庫存!C:C,$C20,當前庫存!G:G))</f>
        <v>0</v>
      </c>
      <c r="J20" s="182" t="s">
        <v>6</v>
      </c>
      <c r="K20" s="183">
        <f>IF(H20="","",SUMIF(當前庫存!C:C,$C20,當前庫存!F:F))</f>
        <v>0</v>
      </c>
      <c r="L20" s="182" t="s">
        <v>8</v>
      </c>
    </row>
    <row r="21" spans="2:12" ht="13.5" customHeight="1" x14ac:dyDescent="0.15">
      <c r="B21" s="180">
        <v>19</v>
      </c>
      <c r="C21" s="180" t="str">
        <f>IF(烤漆色號編碼!A20="","",烤漆色號編碼!A20)</f>
        <v>K-5257CSB</v>
      </c>
      <c r="D21" s="180" t="str">
        <f t="array" ref="D21">IF(C21="","",INDEX(烤漆色號編碼!$A:$G,MATCH(C21,烤漆色號編碼!$A:$A, ),2))</f>
        <v>換粉</v>
      </c>
      <c r="E21" s="181">
        <f>IF(C21="","",SUMIF(採購入庫!D:D,$C21,採購入庫!$G:$G))</f>
        <v>0</v>
      </c>
      <c r="F21" s="182" t="s">
        <v>6</v>
      </c>
      <c r="G21" s="181">
        <f>IF(D21="","",SUMIF(每日用粉紀錄表!C:C,$C21,每日用粉紀錄表!F:F))</f>
        <v>0</v>
      </c>
      <c r="H21" s="182" t="s">
        <v>6</v>
      </c>
      <c r="I21" s="183">
        <f>IF(F21="","",SUMIF(當前庫存!C:C,$C21,當前庫存!G:G))</f>
        <v>2</v>
      </c>
      <c r="J21" s="182" t="s">
        <v>6</v>
      </c>
      <c r="K21" s="183">
        <f>IF(H21="","",SUMIF(當前庫存!C:C,$C21,當前庫存!F:F))</f>
        <v>44</v>
      </c>
      <c r="L21" s="182" t="s">
        <v>8</v>
      </c>
    </row>
    <row r="22" spans="2:12" ht="13.5" customHeight="1" x14ac:dyDescent="0.15">
      <c r="B22" s="180">
        <v>20</v>
      </c>
      <c r="C22" s="180" t="str">
        <f>IF(烤漆色號編碼!A21="","",烤漆色號編碼!A21)</f>
        <v>K-4654</v>
      </c>
      <c r="D22" s="180" t="str">
        <f t="array" ref="D22">IF(C22="","",INDEX(烤漆色號編碼!$A:$G,MATCH(C22,烤漆色號編碼!$A:$A, ),2))</f>
        <v>PEL</v>
      </c>
      <c r="E22" s="181">
        <f>IF(C22="","",SUMIF(採購入庫!D:D,$C22,採購入庫!$G:$G))</f>
        <v>0</v>
      </c>
      <c r="F22" s="182" t="s">
        <v>6</v>
      </c>
      <c r="G22" s="181">
        <f>IF(D22="","",SUMIF(每日用粉紀錄表!C:C,$C22,每日用粉紀錄表!F:F))</f>
        <v>0</v>
      </c>
      <c r="H22" s="182" t="s">
        <v>6</v>
      </c>
      <c r="I22" s="183">
        <f>IF(F22="","",SUMIF(當前庫存!C:C,$C22,當前庫存!G:G))</f>
        <v>2</v>
      </c>
      <c r="J22" s="182" t="s">
        <v>6</v>
      </c>
      <c r="K22" s="183">
        <f>IF(H22="","",SUMIF(當前庫存!C:C,$C22,當前庫存!F:F))</f>
        <v>34</v>
      </c>
      <c r="L22" s="182" t="s">
        <v>8</v>
      </c>
    </row>
    <row r="23" spans="2:12" ht="13.5" customHeight="1" x14ac:dyDescent="0.15">
      <c r="B23" s="180">
        <v>21</v>
      </c>
      <c r="C23" s="180" t="str">
        <f>IF(烤漆色號編碼!A22="","",烤漆色號編碼!A22)</f>
        <v>780-9B65</v>
      </c>
      <c r="D23" s="180" t="str">
        <f t="array" ref="D23">IF(C23="","",INDEX(烤漆色號編碼!$A:$G,MATCH(C23,烤漆色號編碼!$A:$A, ),2))</f>
        <v>ATG</v>
      </c>
      <c r="E23" s="181">
        <f>IF(C23="","",SUMIF(採購入庫!D:D,$C23,採購入庫!$G:$G))</f>
        <v>0</v>
      </c>
      <c r="F23" s="182" t="s">
        <v>6</v>
      </c>
      <c r="G23" s="181">
        <f>IF(D23="","",SUMIF(每日用粉紀錄表!C:C,$C23,每日用粉紀錄表!F:F))</f>
        <v>0</v>
      </c>
      <c r="H23" s="182" t="s">
        <v>6</v>
      </c>
      <c r="I23" s="183">
        <f>IF(F23="","",SUMIF(當前庫存!C:C,$C23,當前庫存!G:G))</f>
        <v>3</v>
      </c>
      <c r="J23" s="182" t="s">
        <v>6</v>
      </c>
      <c r="K23" s="183">
        <f>IF(H23="","",SUMIF(當前庫存!C:C,$C23,當前庫存!F:F))</f>
        <v>21</v>
      </c>
      <c r="L23" s="182" t="s">
        <v>8</v>
      </c>
    </row>
    <row r="24" spans="2:12" ht="13.5" customHeight="1" x14ac:dyDescent="0.15">
      <c r="B24" s="180">
        <v>22</v>
      </c>
      <c r="C24" s="180" t="str">
        <f>IF(烤漆色號編碼!A23="","",烤漆色號編碼!A23)</f>
        <v>780-9Q70</v>
      </c>
      <c r="D24" s="180" t="str">
        <f t="array" ref="D24">IF(C24="","",INDEX(烤漆色號編碼!$A:$G,MATCH(C24,烤漆色號編碼!$A:$A, ),2))</f>
        <v>ATG</v>
      </c>
      <c r="E24" s="181">
        <f>IF(C24="","",SUMIF(採購入庫!D:D,$C24,採購入庫!$G:$G))</f>
        <v>0</v>
      </c>
      <c r="F24" s="182" t="s">
        <v>6</v>
      </c>
      <c r="G24" s="181">
        <f>IF(D24="","",SUMIF(每日用粉紀錄表!C:C,$C24,每日用粉紀錄表!F:F))</f>
        <v>0</v>
      </c>
      <c r="H24" s="182" t="s">
        <v>6</v>
      </c>
      <c r="I24" s="183">
        <f>IF(F24="","",SUMIF(當前庫存!C:C,$C24,當前庫存!G:G))</f>
        <v>0</v>
      </c>
      <c r="J24" s="182" t="s">
        <v>6</v>
      </c>
      <c r="K24" s="183">
        <f>IF(H24="","",SUMIF(當前庫存!C:C,$C24,當前庫存!F:F))</f>
        <v>0</v>
      </c>
      <c r="L24" s="182" t="s">
        <v>8</v>
      </c>
    </row>
    <row r="25" spans="2:12" ht="13.5" customHeight="1" x14ac:dyDescent="0.15">
      <c r="B25" s="180">
        <v>23</v>
      </c>
      <c r="C25" s="180" t="str">
        <f>IF(烤漆色號編碼!A24="","",烤漆色號編碼!A24)</f>
        <v>780-6902</v>
      </c>
      <c r="D25" s="180" t="str">
        <f t="array" ref="D25">IF(C25="","",INDEX(烤漆色號編碼!$A:$G,MATCH(C25,烤漆色號編碼!$A:$A, ),2))</f>
        <v>GN</v>
      </c>
      <c r="E25" s="181">
        <f>IF(C25="","",SUMIF(採購入庫!D:D,$C25,採購入庫!$G:$G))</f>
        <v>0</v>
      </c>
      <c r="F25" s="182" t="s">
        <v>6</v>
      </c>
      <c r="G25" s="181">
        <f>IF(D25="","",SUMIF(每日用粉紀錄表!C:C,$C25,每日用粉紀錄表!F:F))</f>
        <v>0</v>
      </c>
      <c r="H25" s="182" t="s">
        <v>6</v>
      </c>
      <c r="I25" s="183">
        <f>IF(F25="","",SUMIF(當前庫存!C:C,$C25,當前庫存!G:G))</f>
        <v>2</v>
      </c>
      <c r="J25" s="182" t="s">
        <v>6</v>
      </c>
      <c r="K25" s="183">
        <f>IF(H25="","",SUMIF(當前庫存!C:C,$C25,當前庫存!F:F))</f>
        <v>12</v>
      </c>
      <c r="L25" s="182" t="s">
        <v>8</v>
      </c>
    </row>
    <row r="26" spans="2:12" ht="13.5" customHeight="1" x14ac:dyDescent="0.15">
      <c r="B26" s="180">
        <v>24</v>
      </c>
      <c r="C26" s="180" t="str">
        <f>IF(烤漆色號編碼!A25="","",烤漆色號編碼!A25)</f>
        <v>A-10067</v>
      </c>
      <c r="D26" s="180" t="str">
        <f t="array" ref="D26">IF(C26="","",INDEX(烤漆色號編碼!$A:$G,MATCH(C26,烤漆色號編碼!$A:$A, ),2))</f>
        <v>OE</v>
      </c>
      <c r="E26" s="181">
        <f>IF(C26="","",SUMIF(採購入庫!D:D,$C26,採購入庫!$G:$G))</f>
        <v>0</v>
      </c>
      <c r="F26" s="182" t="s">
        <v>6</v>
      </c>
      <c r="G26" s="181">
        <f>IF(D26="","",SUMIF(每日用粉紀錄表!C:C,$C26,每日用粉紀錄表!F:F))</f>
        <v>0</v>
      </c>
      <c r="H26" s="182" t="s">
        <v>6</v>
      </c>
      <c r="I26" s="183">
        <f>IF(F26="","",SUMIF(當前庫存!C:C,$C26,當前庫存!G:G))</f>
        <v>1</v>
      </c>
      <c r="J26" s="182" t="s">
        <v>6</v>
      </c>
      <c r="K26" s="183">
        <f>IF(H26="","",SUMIF(當前庫存!C:C,$C26,當前庫存!F:F))</f>
        <v>71</v>
      </c>
      <c r="L26" s="182" t="s">
        <v>8</v>
      </c>
    </row>
    <row r="27" spans="2:12" ht="13.5" customHeight="1" x14ac:dyDescent="0.15">
      <c r="B27" s="180">
        <v>25</v>
      </c>
      <c r="C27" s="180" t="str">
        <f>IF(烤漆色號編碼!A26="","",烤漆色號編碼!A26)</f>
        <v>4605-702A</v>
      </c>
      <c r="D27" s="180" t="str">
        <f t="array" ref="D27">IF(C27="","",INDEX(烤漆色號編碼!$A:$G,MATCH(C27,烤漆色號編碼!$A:$A, ),2))</f>
        <v>IG</v>
      </c>
      <c r="E27" s="181">
        <f>IF(C27="","",SUMIF(採購入庫!D:D,$C27,採購入庫!$G:$G))</f>
        <v>0</v>
      </c>
      <c r="F27" s="182" t="s">
        <v>6</v>
      </c>
      <c r="G27" s="181">
        <f>IF(D27="","",SUMIF(每日用粉紀錄表!C:C,$C27,每日用粉紀錄表!F:F))</f>
        <v>0</v>
      </c>
      <c r="H27" s="182" t="s">
        <v>6</v>
      </c>
      <c r="I27" s="183">
        <f>IF(F27="","",SUMIF(當前庫存!C:C,$C27,當前庫存!G:G))</f>
        <v>0</v>
      </c>
      <c r="J27" s="182" t="s">
        <v>6</v>
      </c>
      <c r="K27" s="183">
        <f>IF(H27="","",SUMIF(當前庫存!C:C,$C27,當前庫存!F:F))</f>
        <v>11</v>
      </c>
      <c r="L27" s="182" t="s">
        <v>8</v>
      </c>
    </row>
    <row r="28" spans="2:12" ht="13.5" customHeight="1" x14ac:dyDescent="0.15">
      <c r="B28" s="180">
        <v>26</v>
      </c>
      <c r="C28" s="180" t="str">
        <f>IF(烤漆色號編碼!A27="","",烤漆色號編碼!A27)</f>
        <v>4900-246</v>
      </c>
      <c r="D28" s="180" t="str">
        <f t="array" ref="D28">IF(C28="","",INDEX(烤漆色號編碼!$A:$G,MATCH(C28,烤漆色號編碼!$A:$A, ),2))</f>
        <v>GYW</v>
      </c>
      <c r="E28" s="181">
        <f>IF(C28="","",SUMIF(採購入庫!D:D,$C28,採購入庫!$G:$G))</f>
        <v>0</v>
      </c>
      <c r="F28" s="182" t="s">
        <v>6</v>
      </c>
      <c r="G28" s="181">
        <f>IF(D28="","",SUMIF(每日用粉紀錄表!C:C,$C28,每日用粉紀錄表!F:F))</f>
        <v>0</v>
      </c>
      <c r="H28" s="182" t="s">
        <v>6</v>
      </c>
      <c r="I28" s="183">
        <f>IF(F28="","",SUMIF(當前庫存!C:C,$C28,當前庫存!G:G))</f>
        <v>0</v>
      </c>
      <c r="J28" s="182" t="s">
        <v>6</v>
      </c>
      <c r="K28" s="183">
        <f>IF(H28="","",SUMIF(當前庫存!C:C,$C28,當前庫存!F:F))</f>
        <v>22</v>
      </c>
      <c r="L28" s="182" t="s">
        <v>8</v>
      </c>
    </row>
    <row r="29" spans="2:12" ht="13.5" customHeight="1" x14ac:dyDescent="0.15">
      <c r="B29" s="180">
        <v>27</v>
      </c>
      <c r="C29" s="180" t="str">
        <f>IF(烤漆色號編碼!A28="","",烤漆色號編碼!A28)</f>
        <v>4900-149</v>
      </c>
      <c r="D29" s="180" t="str">
        <f t="array" ref="D29">IF(C29="","",INDEX(烤漆色號編碼!$A:$G,MATCH(C29,烤漆色號編碼!$A:$A, ),2))</f>
        <v>PK</v>
      </c>
      <c r="E29" s="181">
        <f>IF(C29="","",SUMIF(採購入庫!D:D,$C29,採購入庫!$G:$G))</f>
        <v>0</v>
      </c>
      <c r="F29" s="182" t="s">
        <v>6</v>
      </c>
      <c r="G29" s="181">
        <f>IF(D29="","",SUMIF(每日用粉紀錄表!C:C,$C29,每日用粉紀錄表!F:F))</f>
        <v>0</v>
      </c>
      <c r="H29" s="182" t="s">
        <v>6</v>
      </c>
      <c r="I29" s="183">
        <f>IF(F29="","",SUMIF(當前庫存!C:C,$C29,當前庫存!G:G))</f>
        <v>2</v>
      </c>
      <c r="J29" s="182" t="s">
        <v>6</v>
      </c>
      <c r="K29" s="183">
        <f>IF(H29="","",SUMIF(當前庫存!C:C,$C29,當前庫存!F:F))</f>
        <v>4</v>
      </c>
      <c r="L29" s="182" t="s">
        <v>8</v>
      </c>
    </row>
    <row r="30" spans="2:12" ht="13.5" customHeight="1" x14ac:dyDescent="0.15">
      <c r="B30" s="180">
        <v>28</v>
      </c>
      <c r="C30" s="180" t="str">
        <f>IF(烤漆色號編碼!A29="","",烤漆色號編碼!A29)</f>
        <v>K-5510SCB</v>
      </c>
      <c r="D30" s="180" t="str">
        <f t="array" ref="D30">IF(C30="","",INDEX(烤漆色號編碼!$A:$G,MATCH(C30,烤漆色號編碼!$A:$A, ),2))</f>
        <v>GSAT</v>
      </c>
      <c r="E30" s="181">
        <f>IF(C30="","",SUMIF(採購入庫!D:D,$C30,採購入庫!$G:$G))</f>
        <v>0</v>
      </c>
      <c r="F30" s="182" t="s">
        <v>6</v>
      </c>
      <c r="G30" s="181">
        <f>IF(D30="","",SUMIF(每日用粉紀錄表!C:C,$C30,每日用粉紀錄表!F:F))</f>
        <v>0</v>
      </c>
      <c r="H30" s="182" t="s">
        <v>6</v>
      </c>
      <c r="I30" s="183">
        <f>IF(F30="","",SUMIF(當前庫存!C:C,$C30,當前庫存!G:G))</f>
        <v>0</v>
      </c>
      <c r="J30" s="182" t="s">
        <v>6</v>
      </c>
      <c r="K30" s="183">
        <f>IF(H30="","",SUMIF(當前庫存!C:C,$C30,當前庫存!F:F))</f>
        <v>9</v>
      </c>
      <c r="L30" s="182" t="s">
        <v>8</v>
      </c>
    </row>
    <row r="31" spans="2:12" ht="13.5" customHeight="1" x14ac:dyDescent="0.15">
      <c r="B31" s="180">
        <v>29</v>
      </c>
      <c r="C31" s="180" t="str">
        <f>IF(烤漆色號編碼!A30="","",烤漆色號編碼!A30)</f>
        <v>O-5337H</v>
      </c>
      <c r="D31" s="180" t="str">
        <f t="array" ref="D31">IF(C31="","",INDEX(烤漆色號編碼!$A:$G,MATCH(C31,烤漆色號編碼!$A:$A, ),2))</f>
        <v>YWH</v>
      </c>
      <c r="E31" s="181">
        <f>IF(C31="","",SUMIF(採購入庫!D:D,$C31,採購入庫!$G:$G))</f>
        <v>0</v>
      </c>
      <c r="F31" s="182" t="s">
        <v>6</v>
      </c>
      <c r="G31" s="181">
        <f>IF(D31="","",SUMIF(每日用粉紀錄表!C:C,$C31,每日用粉紀錄表!F:F))</f>
        <v>0</v>
      </c>
      <c r="H31" s="182" t="s">
        <v>6</v>
      </c>
      <c r="I31" s="183">
        <f>IF(F31="","",SUMIF(當前庫存!C:C,$C31,當前庫存!G:G))</f>
        <v>0</v>
      </c>
      <c r="J31" s="182" t="s">
        <v>6</v>
      </c>
      <c r="K31" s="183">
        <f>IF(H31="","",SUMIF(當前庫存!C:C,$C31,當前庫存!F:F))</f>
        <v>0</v>
      </c>
      <c r="L31" s="182" t="s">
        <v>8</v>
      </c>
    </row>
    <row r="32" spans="2:12" ht="13.5" customHeight="1" x14ac:dyDescent="0.15">
      <c r="B32" s="180">
        <v>30</v>
      </c>
      <c r="C32" s="180" t="str">
        <f>IF(烤漆色號編碼!A31="","",烤漆色號編碼!A31)</f>
        <v>E-BY112</v>
      </c>
      <c r="D32" s="180" t="str">
        <f t="array" ref="D32">IF(C32="","",INDEX(烤漆色號編碼!$A:$G,MATCH(C32,烤漆色號編碼!$A:$A, ),2))</f>
        <v>ATG</v>
      </c>
      <c r="E32" s="181">
        <f>IF(C32="","",SUMIF(採購入庫!D:D,$C32,採購入庫!$G:$G))</f>
        <v>0</v>
      </c>
      <c r="F32" s="182" t="s">
        <v>6</v>
      </c>
      <c r="G32" s="181">
        <f>IF(D32="","",SUMIF(每日用粉紀錄表!C:C,$C32,每日用粉紀錄表!F:F))</f>
        <v>0</v>
      </c>
      <c r="H32" s="182" t="s">
        <v>6</v>
      </c>
      <c r="I32" s="183">
        <f>IF(F32="","",SUMIF(當前庫存!C:C,$C32,當前庫存!G:G))</f>
        <v>0</v>
      </c>
      <c r="J32" s="182" t="s">
        <v>6</v>
      </c>
      <c r="K32" s="183">
        <f>IF(H32="","",SUMIF(當前庫存!C:C,$C32,當前庫存!F:F))</f>
        <v>0</v>
      </c>
      <c r="L32" s="182" t="s">
        <v>8</v>
      </c>
    </row>
    <row r="33" spans="2:12" ht="13.5" customHeight="1" x14ac:dyDescent="0.15">
      <c r="B33" s="180">
        <v>31</v>
      </c>
      <c r="C33" s="180" t="str">
        <f>IF(烤漆色號編碼!A32="","",烤漆色號編碼!A32)</f>
        <v>BP-133S</v>
      </c>
      <c r="D33" s="180" t="str">
        <f t="array" ref="D33">IF(C33="","",INDEX(烤漆色號編碼!$A:$G,MATCH(C33,烤漆色號編碼!$A:$A, ),2))</f>
        <v>SAT2</v>
      </c>
      <c r="E33" s="181">
        <f>IF(C33="","",SUMIF(採購入庫!D:D,$C33,採購入庫!$G:$G))</f>
        <v>0</v>
      </c>
      <c r="F33" s="182" t="s">
        <v>6</v>
      </c>
      <c r="G33" s="181">
        <f>IF(D33="","",SUMIF(每日用粉紀錄表!C:C,$C33,每日用粉紀錄表!F:F))</f>
        <v>0</v>
      </c>
      <c r="H33" s="182" t="s">
        <v>6</v>
      </c>
      <c r="I33" s="183">
        <f>IF(F33="","",SUMIF(當前庫存!C:C,$C33,當前庫存!G:G))</f>
        <v>4</v>
      </c>
      <c r="J33" s="182" t="s">
        <v>6</v>
      </c>
      <c r="K33" s="183">
        <f>IF(H33="","",SUMIF(當前庫存!C:C,$C33,當前庫存!F:F))</f>
        <v>9</v>
      </c>
      <c r="L33" s="182" t="s">
        <v>8</v>
      </c>
    </row>
    <row r="34" spans="2:12" ht="13.5" customHeight="1" x14ac:dyDescent="0.15">
      <c r="B34" s="180">
        <v>32</v>
      </c>
      <c r="C34" s="180" t="str">
        <f>IF(烤漆色號編碼!A33="","",烤漆色號編碼!A33)</f>
        <v>PC-20537Y</v>
      </c>
      <c r="D34" s="180" t="str">
        <f t="array" ref="D34">IF(C34="","",INDEX(烤漆色號編碼!$A:$G,MATCH(C34,烤漆色號編碼!$A:$A, ),2))</f>
        <v>ATG</v>
      </c>
      <c r="E34" s="181">
        <f>IF(C34="","",SUMIF(採購入庫!D:D,$C34,採購入庫!$G:$G))</f>
        <v>0</v>
      </c>
      <c r="F34" s="182" t="s">
        <v>6</v>
      </c>
      <c r="G34" s="181">
        <f>IF(D34="","",SUMIF(每日用粉紀錄表!C:C,$C34,每日用粉紀錄表!F:F))</f>
        <v>0</v>
      </c>
      <c r="H34" s="182" t="s">
        <v>6</v>
      </c>
      <c r="I34" s="183">
        <f>IF(F34="","",SUMIF(當前庫存!C:C,$C34,當前庫存!G:G))</f>
        <v>0</v>
      </c>
      <c r="J34" s="182" t="s">
        <v>6</v>
      </c>
      <c r="K34" s="183">
        <f>IF(H34="","",SUMIF(當前庫存!C:C,$C34,當前庫存!F:F))</f>
        <v>6</v>
      </c>
      <c r="L34" s="182" t="s">
        <v>8</v>
      </c>
    </row>
    <row r="35" spans="2:12" ht="13.5" customHeight="1" x14ac:dyDescent="0.15">
      <c r="B35" s="180">
        <v>33</v>
      </c>
      <c r="C35" s="180" t="str">
        <f>IF(烤漆色號編碼!A34="","",烤漆色號編碼!A34)</f>
        <v>008/2H056</v>
      </c>
      <c r="D35" s="180" t="str">
        <f t="array" ref="D35">IF(C35="","",INDEX(烤漆色號編碼!$A:$G,MATCH(C35,烤漆色號編碼!$A:$A, ),2))</f>
        <v>YW1</v>
      </c>
      <c r="E35" s="181">
        <f>IF(C35="","",SUMIF(採購入庫!D:D,$C35,採購入庫!$G:$G))</f>
        <v>0</v>
      </c>
      <c r="F35" s="182" t="s">
        <v>6</v>
      </c>
      <c r="G35" s="181">
        <f>IF(D35="","",SUMIF(每日用粉紀錄表!C:C,$C35,每日用粉紀錄表!F:F))</f>
        <v>2</v>
      </c>
      <c r="H35" s="182" t="s">
        <v>6</v>
      </c>
      <c r="I35" s="183">
        <f>IF(F35="","",SUMIF(當前庫存!C:C,$C35,當前庫存!G:G))</f>
        <v>11</v>
      </c>
      <c r="J35" s="182" t="s">
        <v>6</v>
      </c>
      <c r="K35" s="183">
        <f>IF(H35="","",SUMIF(當前庫存!C:C,$C35,當前庫存!F:F))</f>
        <v>18</v>
      </c>
      <c r="L35" s="182" t="s">
        <v>8</v>
      </c>
    </row>
    <row r="36" spans="2:12" ht="13.5" customHeight="1" x14ac:dyDescent="0.15">
      <c r="B36" s="180">
        <v>34</v>
      </c>
      <c r="C36" s="180" t="str">
        <f>IF(烤漆色號編碼!A35="","",烤漆色號編碼!A35)</f>
        <v>008/1H174</v>
      </c>
      <c r="D36" s="180" t="str">
        <f t="array" ref="D36">IF(C36="","",INDEX(烤漆色號編碼!$A:$G,MATCH(C36,烤漆色號編碼!$A:$A, ),2))</f>
        <v>WE2</v>
      </c>
      <c r="E36" s="181">
        <f>IF(C36="","",SUMIF(採購入庫!D:D,$C36,採購入庫!$G:$G))</f>
        <v>40</v>
      </c>
      <c r="F36" s="182" t="s">
        <v>6</v>
      </c>
      <c r="G36" s="181">
        <f>IF(D36="","",SUMIF(每日用粉紀錄表!C:C,$C36,每日用粉紀錄表!F:F))</f>
        <v>49</v>
      </c>
      <c r="H36" s="182" t="s">
        <v>6</v>
      </c>
      <c r="I36" s="183">
        <f>IF(F36="","",SUMIF(當前庫存!C:C,$C36,當前庫存!G:G))</f>
        <v>18</v>
      </c>
      <c r="J36" s="182" t="s">
        <v>6</v>
      </c>
      <c r="K36" s="183">
        <f>IF(H36="","",SUMIF(當前庫存!C:C,$C36,當前庫存!F:F))</f>
        <v>10</v>
      </c>
      <c r="L36" s="182" t="s">
        <v>8</v>
      </c>
    </row>
    <row r="37" spans="2:12" ht="13.5" customHeight="1" x14ac:dyDescent="0.15">
      <c r="B37" s="180">
        <v>35</v>
      </c>
      <c r="C37" s="180" t="str">
        <f>IF(烤漆色號編碼!A36="","",烤漆色號編碼!A36)</f>
        <v>O-58057</v>
      </c>
      <c r="D37" s="180" t="str">
        <f t="array" ref="D37">IF(C37="","",INDEX(烤漆色號編碼!$A:$G,MATCH(C37,烤漆色號編碼!$A:$A, ),2))</f>
        <v>OE1</v>
      </c>
      <c r="E37" s="181">
        <f>IF(C37="","",SUMIF(採購入庫!D:D,$C37,採購入庫!$G:$G))</f>
        <v>0</v>
      </c>
      <c r="F37" s="182" t="s">
        <v>6</v>
      </c>
      <c r="G37" s="181">
        <f>IF(D37="","",SUMIF(每日用粉紀錄表!C:C,$C37,每日用粉紀錄表!F:F))</f>
        <v>0</v>
      </c>
      <c r="H37" s="182" t="s">
        <v>6</v>
      </c>
      <c r="I37" s="183">
        <f>IF(F37="","",SUMIF(當前庫存!C:C,$C37,當前庫存!G:G))</f>
        <v>0</v>
      </c>
      <c r="J37" s="182" t="s">
        <v>6</v>
      </c>
      <c r="K37" s="183">
        <f>IF(H37="","",SUMIF(當前庫存!C:C,$C37,當前庫存!F:F))</f>
        <v>12</v>
      </c>
      <c r="L37" s="182" t="s">
        <v>8</v>
      </c>
    </row>
    <row r="38" spans="2:12" ht="13.5" customHeight="1" x14ac:dyDescent="0.15">
      <c r="B38" s="180">
        <v>36</v>
      </c>
      <c r="C38" s="180" t="str">
        <f>IF(烤漆色號編碼!A37="","",烤漆色號編碼!A37)</f>
        <v>K-7618</v>
      </c>
      <c r="D38" s="180" t="str">
        <f t="array" ref="D38">IF(C38="","",INDEX(烤漆色號編碼!$A:$G,MATCH(C38,烤漆色號編碼!$A:$A, ),2))</f>
        <v>FGN</v>
      </c>
      <c r="E38" s="181">
        <f>IF(C38="","",SUMIF(採購入庫!D:D,$C38,採購入庫!$G:$G))</f>
        <v>0</v>
      </c>
      <c r="F38" s="182" t="s">
        <v>6</v>
      </c>
      <c r="G38" s="181">
        <f>IF(D38="","",SUMIF(每日用粉紀錄表!C:C,$C38,每日用粉紀錄表!F:F))</f>
        <v>0</v>
      </c>
      <c r="H38" s="182" t="s">
        <v>6</v>
      </c>
      <c r="I38" s="183">
        <f>IF(F38="","",SUMIF(當前庫存!C:C,$C38,當前庫存!G:G))</f>
        <v>4</v>
      </c>
      <c r="J38" s="182" t="s">
        <v>6</v>
      </c>
      <c r="K38" s="183">
        <f>IF(H38="","",SUMIF(當前庫存!C:C,$C38,當前庫存!F:F))</f>
        <v>19</v>
      </c>
      <c r="L38" s="182" t="s">
        <v>8</v>
      </c>
    </row>
    <row r="39" spans="2:12" ht="13.5" customHeight="1" x14ac:dyDescent="0.15">
      <c r="B39" s="180">
        <v>37</v>
      </c>
      <c r="C39" s="180" t="str">
        <f>IF(烤漆色號編碼!A38="","",烤漆色號編碼!A38)</f>
        <v>008/35624</v>
      </c>
      <c r="D39" s="180" t="str">
        <f t="array" ref="D39">IF(C39="","",INDEX(烤漆色號編碼!$A:$G,MATCH(C39,烤漆色號編碼!$A:$A, ),2))</f>
        <v>OE2</v>
      </c>
      <c r="E39" s="181">
        <f>IF(C39="","",SUMIF(採購入庫!D:D,$C39,採購入庫!$G:$G))</f>
        <v>0</v>
      </c>
      <c r="F39" s="182" t="s">
        <v>6</v>
      </c>
      <c r="G39" s="181">
        <f>IF(D39="","",SUMIF(每日用粉紀錄表!C:C,$C39,每日用粉紀錄表!F:F))</f>
        <v>0</v>
      </c>
      <c r="H39" s="182" t="s">
        <v>6</v>
      </c>
      <c r="I39" s="183">
        <f>IF(F39="","",SUMIF(當前庫存!C:C,$C39,當前庫存!G:G))</f>
        <v>0</v>
      </c>
      <c r="J39" s="182" t="s">
        <v>6</v>
      </c>
      <c r="K39" s="183">
        <f>IF(H39="","",SUMIF(當前庫存!C:C,$C39,當前庫存!F:F))</f>
        <v>20</v>
      </c>
      <c r="L39" s="182" t="s">
        <v>8</v>
      </c>
    </row>
    <row r="40" spans="2:12" ht="13.5" customHeight="1" x14ac:dyDescent="0.15">
      <c r="B40" s="180">
        <v>38</v>
      </c>
      <c r="C40" s="180" t="str">
        <f>IF(烤漆色號編碼!A39="","",烤漆色號編碼!A39)</f>
        <v>780-7847AT</v>
      </c>
      <c r="D40" s="180" t="str">
        <f t="array" ref="D40">IF(C40="","",INDEX(烤漆色號編碼!$A:$G,MATCH(C40,烤漆色號編碼!$A:$A, ),2))</f>
        <v>DBE</v>
      </c>
      <c r="E40" s="181">
        <f>IF(C40="","",SUMIF(採購入庫!D:D,$C40,採購入庫!$G:$G))</f>
        <v>0</v>
      </c>
      <c r="F40" s="182" t="s">
        <v>6</v>
      </c>
      <c r="G40" s="181">
        <f>IF(D40="","",SUMIF(每日用粉紀錄表!C:C,$C40,每日用粉紀錄表!F:F))</f>
        <v>0</v>
      </c>
      <c r="H40" s="182" t="s">
        <v>6</v>
      </c>
      <c r="I40" s="183">
        <f>IF(F40="","",SUMIF(當前庫存!C:C,$C40,當前庫存!G:G))</f>
        <v>0</v>
      </c>
      <c r="J40" s="182" t="s">
        <v>6</v>
      </c>
      <c r="K40" s="183">
        <f>IF(H40="","",SUMIF(當前庫存!C:C,$C40,當前庫存!F:F))</f>
        <v>0</v>
      </c>
      <c r="L40" s="182" t="s">
        <v>8</v>
      </c>
    </row>
    <row r="41" spans="2:12" ht="13.5" customHeight="1" x14ac:dyDescent="0.15">
      <c r="B41" s="180">
        <v>38</v>
      </c>
      <c r="C41" s="180" t="s">
        <v>449</v>
      </c>
      <c r="D41" s="180"/>
      <c r="E41" s="181">
        <f>SUM(E3:E39)</f>
        <v>52</v>
      </c>
      <c r="F41" s="182" t="s">
        <v>6</v>
      </c>
      <c r="G41" s="181">
        <f>SUM(G3:G39)</f>
        <v>57</v>
      </c>
      <c r="H41" s="182" t="s">
        <v>6</v>
      </c>
      <c r="I41" s="183">
        <f>SUM(I3:I39)</f>
        <v>106</v>
      </c>
      <c r="J41" s="182" t="s">
        <v>6</v>
      </c>
      <c r="K41" s="183">
        <f>SUM(K3:K39)</f>
        <v>594</v>
      </c>
      <c r="L41" s="182" t="s">
        <v>8</v>
      </c>
    </row>
    <row r="42" spans="2:12" ht="13.5" customHeight="1" x14ac:dyDescent="0.15">
      <c r="B42" s="22"/>
    </row>
    <row r="43" spans="2:12" ht="13.5" customHeight="1" x14ac:dyDescent="0.15">
      <c r="B43" s="22"/>
    </row>
    <row r="44" spans="2:12" ht="13.5" customHeight="1" x14ac:dyDescent="0.15">
      <c r="B44" s="22"/>
    </row>
    <row r="45" spans="2:12" ht="13.5" customHeight="1" x14ac:dyDescent="0.15">
      <c r="B45" s="22"/>
    </row>
    <row r="46" spans="2:12" ht="13.5" customHeight="1" x14ac:dyDescent="0.15">
      <c r="B46" s="22"/>
    </row>
    <row r="47" spans="2:12" ht="13.5" customHeight="1" x14ac:dyDescent="0.15">
      <c r="B47" s="22"/>
    </row>
    <row r="48" spans="2:12" ht="13.5" customHeight="1" x14ac:dyDescent="0.15">
      <c r="B48" s="22"/>
    </row>
    <row r="49" spans="2:2" ht="13.5" customHeight="1" x14ac:dyDescent="0.15">
      <c r="B49" s="22"/>
    </row>
    <row r="50" spans="2:2" ht="13.5" customHeight="1" x14ac:dyDescent="0.15">
      <c r="B50" s="22"/>
    </row>
    <row r="51" spans="2:2" ht="13.5" customHeight="1" x14ac:dyDescent="0.15">
      <c r="B51" s="22"/>
    </row>
    <row r="52" spans="2:2" ht="13.5" customHeight="1" x14ac:dyDescent="0.15">
      <c r="B52" s="22"/>
    </row>
    <row r="53" spans="2:2" ht="13.5" customHeight="1" x14ac:dyDescent="0.15">
      <c r="B53" s="22"/>
    </row>
    <row r="54" spans="2:2" ht="13.5" customHeight="1" x14ac:dyDescent="0.15">
      <c r="B54" s="22"/>
    </row>
    <row r="55" spans="2:2" ht="13.5" customHeight="1" x14ac:dyDescent="0.15">
      <c r="B55" s="22"/>
    </row>
    <row r="56" spans="2:2" ht="13.5" customHeight="1" x14ac:dyDescent="0.15">
      <c r="B56" s="22"/>
    </row>
    <row r="57" spans="2:2" ht="13.5" customHeight="1" x14ac:dyDescent="0.15">
      <c r="B57" s="22"/>
    </row>
    <row r="58" spans="2:2" ht="13.5" customHeight="1" x14ac:dyDescent="0.15">
      <c r="B58" s="22"/>
    </row>
    <row r="59" spans="2:2" ht="13.5" customHeight="1" x14ac:dyDescent="0.15">
      <c r="B59" s="22"/>
    </row>
    <row r="60" spans="2:2" ht="13.5" customHeight="1" x14ac:dyDescent="0.15">
      <c r="B60" s="22"/>
    </row>
    <row r="61" spans="2:2" ht="13.5" customHeight="1" x14ac:dyDescent="0.15">
      <c r="B61" s="22"/>
    </row>
    <row r="62" spans="2:2" ht="13.5" customHeight="1" x14ac:dyDescent="0.15">
      <c r="B62" s="22"/>
    </row>
    <row r="63" spans="2:2" ht="13.5" customHeight="1" x14ac:dyDescent="0.15">
      <c r="B63" s="22"/>
    </row>
    <row r="64" spans="2:2" ht="13.5" customHeight="1" x14ac:dyDescent="0.15">
      <c r="B64" s="22"/>
    </row>
    <row r="65" spans="2:2" ht="13.5" customHeight="1" x14ac:dyDescent="0.15">
      <c r="B65" s="22"/>
    </row>
    <row r="66" spans="2:2" ht="13.5" customHeight="1" x14ac:dyDescent="0.15">
      <c r="B66" s="22"/>
    </row>
    <row r="67" spans="2:2" ht="13.5" customHeight="1" x14ac:dyDescent="0.15">
      <c r="B67" s="22"/>
    </row>
    <row r="68" spans="2:2" ht="13.5" customHeight="1" x14ac:dyDescent="0.15">
      <c r="B68" s="22"/>
    </row>
    <row r="69" spans="2:2" ht="13.5" customHeight="1" x14ac:dyDescent="0.15">
      <c r="B69" s="22"/>
    </row>
    <row r="70" spans="2:2" ht="13.5" customHeight="1" x14ac:dyDescent="0.15">
      <c r="B70" s="22"/>
    </row>
    <row r="71" spans="2:2" ht="13.5" customHeight="1" x14ac:dyDescent="0.15">
      <c r="B71" s="22"/>
    </row>
    <row r="72" spans="2:2" ht="13.5" customHeight="1" x14ac:dyDescent="0.15">
      <c r="B72" s="22"/>
    </row>
    <row r="73" spans="2:2" ht="13.5" customHeight="1" x14ac:dyDescent="0.15">
      <c r="B73" s="22"/>
    </row>
    <row r="74" spans="2:2" ht="13.5" customHeight="1" x14ac:dyDescent="0.15">
      <c r="B74" s="22"/>
    </row>
    <row r="75" spans="2:2" ht="13.5" customHeight="1" x14ac:dyDescent="0.15">
      <c r="B75" s="22"/>
    </row>
    <row r="76" spans="2:2" ht="13.5" customHeight="1" x14ac:dyDescent="0.15">
      <c r="B76" s="22"/>
    </row>
    <row r="77" spans="2:2" ht="13.5" customHeight="1" x14ac:dyDescent="0.15">
      <c r="B77" s="22"/>
    </row>
    <row r="78" spans="2:2" ht="13.5" customHeight="1" x14ac:dyDescent="0.15">
      <c r="B78" s="22"/>
    </row>
    <row r="79" spans="2:2" ht="13.5" customHeight="1" x14ac:dyDescent="0.15">
      <c r="B79" s="22"/>
    </row>
    <row r="80" spans="2:2" ht="13.5" customHeight="1" x14ac:dyDescent="0.15">
      <c r="B80" s="22"/>
    </row>
    <row r="81" spans="2:2" ht="13.5" customHeight="1" x14ac:dyDescent="0.15">
      <c r="B81" s="22"/>
    </row>
    <row r="82" spans="2:2" ht="13.5" customHeight="1" x14ac:dyDescent="0.15">
      <c r="B82" s="22"/>
    </row>
    <row r="83" spans="2:2" ht="13.5" customHeight="1" x14ac:dyDescent="0.15">
      <c r="B83" s="22"/>
    </row>
    <row r="84" spans="2:2" ht="13.5" customHeight="1" x14ac:dyDescent="0.15">
      <c r="B84" s="22"/>
    </row>
    <row r="85" spans="2:2" ht="13.5" customHeight="1" x14ac:dyDescent="0.15">
      <c r="B85" s="22"/>
    </row>
    <row r="86" spans="2:2" ht="13.5" customHeight="1" x14ac:dyDescent="0.15">
      <c r="B86" s="22"/>
    </row>
    <row r="87" spans="2:2" ht="13.5" customHeight="1" x14ac:dyDescent="0.15">
      <c r="B87" s="22"/>
    </row>
    <row r="88" spans="2:2" ht="13.5" customHeight="1" x14ac:dyDescent="0.15">
      <c r="B88" s="22"/>
    </row>
    <row r="89" spans="2:2" ht="13.5" customHeight="1" x14ac:dyDescent="0.15">
      <c r="B89" s="22"/>
    </row>
    <row r="90" spans="2:2" ht="13.5" customHeight="1" x14ac:dyDescent="0.15">
      <c r="B90" s="22"/>
    </row>
    <row r="91" spans="2:2" ht="13.5" customHeight="1" x14ac:dyDescent="0.15">
      <c r="B91" s="22"/>
    </row>
    <row r="92" spans="2:2" ht="13.5" customHeight="1" x14ac:dyDescent="0.15">
      <c r="B92" s="22"/>
    </row>
    <row r="93" spans="2:2" ht="13.5" customHeight="1" x14ac:dyDescent="0.15">
      <c r="B93" s="22"/>
    </row>
    <row r="94" spans="2:2" ht="13.5" customHeight="1" x14ac:dyDescent="0.15">
      <c r="B94" s="22"/>
    </row>
    <row r="95" spans="2:2" ht="13.5" customHeight="1" x14ac:dyDescent="0.15">
      <c r="B95" s="22"/>
    </row>
    <row r="96" spans="2:2" ht="13.5" customHeight="1" x14ac:dyDescent="0.15">
      <c r="B96" s="22"/>
    </row>
    <row r="97" spans="2:2" ht="13.5" customHeight="1" x14ac:dyDescent="0.15">
      <c r="B97" s="22"/>
    </row>
    <row r="98" spans="2:2" ht="13.5" customHeight="1" x14ac:dyDescent="0.15">
      <c r="B98" s="22"/>
    </row>
    <row r="99" spans="2:2" ht="13.5" customHeight="1" x14ac:dyDescent="0.15">
      <c r="B99" s="22"/>
    </row>
    <row r="100" spans="2:2" ht="13.5" customHeight="1" x14ac:dyDescent="0.15">
      <c r="B100" s="22"/>
    </row>
  </sheetData>
  <pageMargins left="0.7" right="0.7" top="0.75" bottom="0.75" header="0" footer="0"/>
  <pageSetup paperSize="9" fitToWidth="0"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0"/>
  <sheetViews>
    <sheetView workbookViewId="0"/>
  </sheetViews>
  <sheetFormatPr defaultColWidth="13.97265625" defaultRowHeight="15" customHeight="1" x14ac:dyDescent="0.15"/>
  <cols>
    <col min="1" max="1" width="8.703125" customWidth="1"/>
    <col min="2" max="3" width="11.27734375" customWidth="1"/>
    <col min="4" max="5" width="8.82421875" customWidth="1"/>
    <col min="6" max="11" width="8.703125" customWidth="1"/>
  </cols>
  <sheetData>
    <row r="1" spans="1:11" ht="13.5" customHeight="1" x14ac:dyDescent="0.15">
      <c r="B1" s="168"/>
      <c r="C1" s="168"/>
      <c r="D1" s="22"/>
      <c r="E1" s="22"/>
    </row>
    <row r="2" spans="1:11" ht="13.5" customHeight="1" x14ac:dyDescent="0.15">
      <c r="A2" s="184"/>
      <c r="B2" s="213" t="s">
        <v>23</v>
      </c>
      <c r="C2" s="216"/>
      <c r="D2" s="216"/>
      <c r="E2" s="214"/>
      <c r="F2" s="184"/>
      <c r="G2" s="184"/>
      <c r="H2" s="184"/>
      <c r="I2" s="184"/>
      <c r="J2" s="184"/>
      <c r="K2" s="184"/>
    </row>
    <row r="3" spans="1:11" ht="13.5" customHeight="1" x14ac:dyDescent="0.15">
      <c r="B3" s="215" t="s">
        <v>333</v>
      </c>
      <c r="C3" s="216"/>
      <c r="D3" s="216"/>
      <c r="E3" s="214"/>
    </row>
    <row r="4" spans="1:11" ht="13.5" customHeight="1" x14ac:dyDescent="0.15">
      <c r="A4" s="14"/>
      <c r="B4" s="213" t="s">
        <v>12</v>
      </c>
      <c r="C4" s="214"/>
      <c r="D4" s="217">
        <f>SUMIF(每日用粉紀錄表!C:C,B3,每日用粉紀錄表!J:J)</f>
        <v>500</v>
      </c>
      <c r="E4" s="214"/>
      <c r="F4" s="14"/>
      <c r="G4" s="14"/>
      <c r="H4" s="14"/>
      <c r="I4" s="14"/>
      <c r="J4" s="14"/>
      <c r="K4" s="14"/>
    </row>
    <row r="5" spans="1:11" ht="13.5" customHeight="1" x14ac:dyDescent="0.15">
      <c r="B5" s="168"/>
      <c r="C5" s="168"/>
      <c r="D5" s="22"/>
      <c r="E5" s="22"/>
    </row>
    <row r="6" spans="1:11" ht="13.5" customHeight="1" x14ac:dyDescent="0.15">
      <c r="B6" s="168"/>
      <c r="C6" s="168"/>
      <c r="D6" s="22"/>
      <c r="E6" s="22"/>
    </row>
    <row r="7" spans="1:11" ht="13.5" customHeight="1" x14ac:dyDescent="0.15">
      <c r="B7" s="168"/>
      <c r="C7" s="168"/>
      <c r="D7" s="22"/>
      <c r="E7" s="22"/>
    </row>
    <row r="8" spans="1:11" ht="13.5" customHeight="1" x14ac:dyDescent="0.15">
      <c r="B8" s="168"/>
      <c r="C8" s="168"/>
      <c r="D8" s="22"/>
      <c r="E8" s="22"/>
    </row>
    <row r="9" spans="1:11" ht="13.5" customHeight="1" x14ac:dyDescent="0.15">
      <c r="B9" s="168"/>
      <c r="C9" s="168"/>
      <c r="D9" s="22"/>
      <c r="E9" s="22"/>
    </row>
    <row r="10" spans="1:11" ht="13.5" customHeight="1" x14ac:dyDescent="0.15">
      <c r="B10" s="168"/>
      <c r="C10" s="168"/>
      <c r="D10" s="22"/>
      <c r="E10" s="22"/>
    </row>
    <row r="11" spans="1:11" ht="13.5" customHeight="1" x14ac:dyDescent="0.15">
      <c r="B11" s="168"/>
      <c r="C11" s="168"/>
      <c r="D11" s="22"/>
      <c r="E11" s="22"/>
    </row>
    <row r="12" spans="1:11" ht="13.5" customHeight="1" x14ac:dyDescent="0.15">
      <c r="B12" s="168"/>
      <c r="C12" s="168"/>
      <c r="D12" s="22"/>
      <c r="E12" s="22"/>
    </row>
    <row r="13" spans="1:11" ht="13.5" customHeight="1" x14ac:dyDescent="0.15">
      <c r="B13" s="168"/>
      <c r="C13" s="168"/>
      <c r="D13" s="22"/>
      <c r="E13" s="22"/>
    </row>
    <row r="14" spans="1:11" ht="13.5" customHeight="1" x14ac:dyDescent="0.15">
      <c r="B14" s="168"/>
      <c r="C14" s="168"/>
      <c r="D14" s="22"/>
      <c r="E14" s="22"/>
    </row>
    <row r="15" spans="1:11" ht="13.5" customHeight="1" x14ac:dyDescent="0.15">
      <c r="B15" s="168"/>
      <c r="C15" s="168"/>
      <c r="D15" s="22"/>
      <c r="E15" s="22"/>
    </row>
    <row r="16" spans="1:11" ht="13.5" customHeight="1" x14ac:dyDescent="0.15">
      <c r="B16" s="168"/>
      <c r="C16" s="168"/>
      <c r="D16" s="22"/>
      <c r="E16" s="22"/>
    </row>
    <row r="17" spans="2:5" ht="13.5" customHeight="1" x14ac:dyDescent="0.15">
      <c r="B17" s="168"/>
      <c r="C17" s="168"/>
      <c r="D17" s="22"/>
      <c r="E17" s="22"/>
    </row>
    <row r="18" spans="2:5" ht="13.5" customHeight="1" x14ac:dyDescent="0.15">
      <c r="B18" s="168"/>
      <c r="C18" s="168"/>
      <c r="D18" s="22"/>
      <c r="E18" s="22"/>
    </row>
    <row r="19" spans="2:5" ht="13.5" customHeight="1" x14ac:dyDescent="0.15">
      <c r="B19" s="168"/>
      <c r="C19" s="168"/>
      <c r="D19" s="22"/>
      <c r="E19" s="22"/>
    </row>
    <row r="20" spans="2:5" ht="13.5" customHeight="1" x14ac:dyDescent="0.15">
      <c r="B20" s="168"/>
      <c r="C20" s="168"/>
      <c r="D20" s="22"/>
      <c r="E20" s="22"/>
    </row>
    <row r="21" spans="2:5" ht="13.5" customHeight="1" x14ac:dyDescent="0.15">
      <c r="B21" s="168"/>
      <c r="C21" s="168"/>
      <c r="D21" s="22"/>
      <c r="E21" s="22"/>
    </row>
    <row r="22" spans="2:5" ht="13.5" customHeight="1" x14ac:dyDescent="0.15">
      <c r="B22" s="168"/>
      <c r="C22" s="168"/>
      <c r="D22" s="22"/>
      <c r="E22" s="22"/>
    </row>
    <row r="23" spans="2:5" ht="13.5" customHeight="1" x14ac:dyDescent="0.15">
      <c r="B23" s="168"/>
      <c r="C23" s="168"/>
      <c r="D23" s="22"/>
      <c r="E23" s="22"/>
    </row>
    <row r="24" spans="2:5" ht="13.5" customHeight="1" x14ac:dyDescent="0.15">
      <c r="B24" s="168"/>
      <c r="C24" s="168"/>
      <c r="D24" s="22"/>
      <c r="E24" s="22"/>
    </row>
    <row r="25" spans="2:5" ht="13.5" customHeight="1" x14ac:dyDescent="0.15">
      <c r="B25" s="168"/>
      <c r="C25" s="168"/>
      <c r="D25" s="22"/>
      <c r="E25" s="22"/>
    </row>
    <row r="26" spans="2:5" ht="13.5" customHeight="1" x14ac:dyDescent="0.15">
      <c r="B26" s="168"/>
      <c r="C26" s="168"/>
      <c r="D26" s="22"/>
      <c r="E26" s="22"/>
    </row>
    <row r="27" spans="2:5" ht="13.5" customHeight="1" x14ac:dyDescent="0.15">
      <c r="B27" s="168"/>
      <c r="C27" s="168"/>
      <c r="D27" s="22"/>
      <c r="E27" s="22"/>
    </row>
    <row r="28" spans="2:5" ht="13.5" customHeight="1" x14ac:dyDescent="0.15">
      <c r="B28" s="168"/>
      <c r="C28" s="168"/>
      <c r="D28" s="22"/>
      <c r="E28" s="22"/>
    </row>
    <row r="29" spans="2:5" ht="13.5" customHeight="1" x14ac:dyDescent="0.15">
      <c r="B29" s="168"/>
      <c r="C29" s="168"/>
      <c r="D29" s="22"/>
      <c r="E29" s="22"/>
    </row>
    <row r="30" spans="2:5" ht="13.5" customHeight="1" x14ac:dyDescent="0.15">
      <c r="B30" s="168"/>
      <c r="C30" s="168"/>
      <c r="D30" s="22"/>
      <c r="E30" s="22"/>
    </row>
    <row r="31" spans="2:5" ht="13.5" customHeight="1" x14ac:dyDescent="0.15">
      <c r="B31" s="168"/>
      <c r="C31" s="168"/>
      <c r="D31" s="22"/>
      <c r="E31" s="22"/>
    </row>
    <row r="32" spans="2:5" ht="13.5" customHeight="1" x14ac:dyDescent="0.15">
      <c r="B32" s="168"/>
      <c r="C32" s="168"/>
      <c r="D32" s="22"/>
      <c r="E32" s="22"/>
    </row>
    <row r="33" spans="2:5" ht="13.5" customHeight="1" x14ac:dyDescent="0.15">
      <c r="B33" s="168"/>
      <c r="C33" s="168"/>
      <c r="D33" s="22"/>
      <c r="E33" s="22"/>
    </row>
    <row r="34" spans="2:5" ht="13.5" customHeight="1" x14ac:dyDescent="0.15">
      <c r="B34" s="168"/>
      <c r="C34" s="168"/>
      <c r="D34" s="22"/>
      <c r="E34" s="22"/>
    </row>
    <row r="35" spans="2:5" ht="13.5" customHeight="1" x14ac:dyDescent="0.15">
      <c r="B35" s="168"/>
      <c r="C35" s="168"/>
      <c r="D35" s="22"/>
      <c r="E35" s="22"/>
    </row>
    <row r="36" spans="2:5" ht="13.5" customHeight="1" x14ac:dyDescent="0.15">
      <c r="B36" s="168"/>
      <c r="C36" s="168"/>
      <c r="D36" s="22"/>
      <c r="E36" s="22"/>
    </row>
    <row r="37" spans="2:5" ht="13.5" customHeight="1" x14ac:dyDescent="0.15">
      <c r="B37" s="168"/>
      <c r="C37" s="168"/>
      <c r="D37" s="22"/>
      <c r="E37" s="22"/>
    </row>
    <row r="38" spans="2:5" ht="13.5" customHeight="1" x14ac:dyDescent="0.15">
      <c r="B38" s="168"/>
      <c r="C38" s="168"/>
      <c r="D38" s="22"/>
      <c r="E38" s="22"/>
    </row>
    <row r="39" spans="2:5" ht="13.5" customHeight="1" x14ac:dyDescent="0.15">
      <c r="B39" s="168"/>
      <c r="C39" s="168"/>
      <c r="D39" s="22"/>
      <c r="E39" s="22"/>
    </row>
    <row r="40" spans="2:5" ht="13.5" customHeight="1" x14ac:dyDescent="0.15">
      <c r="B40" s="168"/>
      <c r="C40" s="168"/>
      <c r="D40" s="22"/>
      <c r="E40" s="22"/>
    </row>
    <row r="41" spans="2:5" ht="13.5" customHeight="1" x14ac:dyDescent="0.15">
      <c r="B41" s="168"/>
      <c r="C41" s="168"/>
      <c r="D41" s="22"/>
      <c r="E41" s="22"/>
    </row>
    <row r="42" spans="2:5" ht="13.5" customHeight="1" x14ac:dyDescent="0.15">
      <c r="B42" s="168"/>
      <c r="C42" s="168"/>
      <c r="D42" s="22"/>
      <c r="E42" s="22"/>
    </row>
    <row r="43" spans="2:5" ht="13.5" customHeight="1" x14ac:dyDescent="0.15">
      <c r="B43" s="168"/>
      <c r="C43" s="168"/>
      <c r="D43" s="22"/>
      <c r="E43" s="22"/>
    </row>
    <row r="44" spans="2:5" ht="13.5" customHeight="1" x14ac:dyDescent="0.15">
      <c r="B44" s="168"/>
      <c r="C44" s="168"/>
      <c r="D44" s="22"/>
      <c r="E44" s="22"/>
    </row>
    <row r="45" spans="2:5" ht="13.5" customHeight="1" x14ac:dyDescent="0.15">
      <c r="B45" s="168"/>
      <c r="C45" s="168"/>
      <c r="D45" s="22"/>
      <c r="E45" s="22"/>
    </row>
    <row r="46" spans="2:5" ht="13.5" customHeight="1" x14ac:dyDescent="0.15">
      <c r="B46" s="168"/>
      <c r="C46" s="168"/>
      <c r="D46" s="22"/>
      <c r="E46" s="22"/>
    </row>
    <row r="47" spans="2:5" ht="13.5" customHeight="1" x14ac:dyDescent="0.15">
      <c r="B47" s="168"/>
      <c r="C47" s="168"/>
      <c r="D47" s="22"/>
      <c r="E47" s="22"/>
    </row>
    <row r="48" spans="2:5" ht="13.5" customHeight="1" x14ac:dyDescent="0.15">
      <c r="B48" s="168"/>
      <c r="C48" s="168"/>
      <c r="D48" s="22"/>
      <c r="E48" s="22"/>
    </row>
    <row r="49" spans="2:5" ht="13.5" customHeight="1" x14ac:dyDescent="0.15">
      <c r="B49" s="168"/>
      <c r="C49" s="168"/>
      <c r="D49" s="22"/>
      <c r="E49" s="22"/>
    </row>
    <row r="50" spans="2:5" ht="13.5" customHeight="1" x14ac:dyDescent="0.15">
      <c r="B50" s="168"/>
      <c r="C50" s="168"/>
      <c r="D50" s="22"/>
      <c r="E50" s="22"/>
    </row>
    <row r="51" spans="2:5" ht="13.5" customHeight="1" x14ac:dyDescent="0.15">
      <c r="B51" s="168"/>
      <c r="C51" s="168"/>
      <c r="D51" s="22"/>
      <c r="E51" s="22"/>
    </row>
    <row r="52" spans="2:5" ht="13.5" customHeight="1" x14ac:dyDescent="0.15">
      <c r="B52" s="168"/>
      <c r="C52" s="168"/>
      <c r="D52" s="22"/>
      <c r="E52" s="22"/>
    </row>
    <row r="53" spans="2:5" ht="13.5" customHeight="1" x14ac:dyDescent="0.15">
      <c r="B53" s="168"/>
      <c r="C53" s="168"/>
      <c r="D53" s="22"/>
      <c r="E53" s="22"/>
    </row>
    <row r="54" spans="2:5" ht="13.5" customHeight="1" x14ac:dyDescent="0.15">
      <c r="B54" s="168"/>
      <c r="C54" s="168"/>
      <c r="D54" s="22"/>
      <c r="E54" s="22"/>
    </row>
    <row r="55" spans="2:5" ht="13.5" customHeight="1" x14ac:dyDescent="0.15">
      <c r="B55" s="168"/>
      <c r="C55" s="168"/>
      <c r="D55" s="22"/>
      <c r="E55" s="22"/>
    </row>
    <row r="56" spans="2:5" ht="13.5" customHeight="1" x14ac:dyDescent="0.15">
      <c r="B56" s="168"/>
      <c r="C56" s="168"/>
      <c r="D56" s="22"/>
      <c r="E56" s="22"/>
    </row>
    <row r="57" spans="2:5" ht="13.5" customHeight="1" x14ac:dyDescent="0.15">
      <c r="B57" s="168"/>
      <c r="C57" s="168"/>
      <c r="D57" s="22"/>
      <c r="E57" s="22"/>
    </row>
    <row r="58" spans="2:5" ht="13.5" customHeight="1" x14ac:dyDescent="0.15">
      <c r="B58" s="168"/>
      <c r="C58" s="168"/>
      <c r="D58" s="22"/>
      <c r="E58" s="22"/>
    </row>
    <row r="59" spans="2:5" ht="13.5" customHeight="1" x14ac:dyDescent="0.15">
      <c r="B59" s="168"/>
      <c r="C59" s="168"/>
      <c r="D59" s="22"/>
      <c r="E59" s="22"/>
    </row>
    <row r="60" spans="2:5" ht="13.5" customHeight="1" x14ac:dyDescent="0.15">
      <c r="B60" s="168"/>
      <c r="C60" s="168"/>
      <c r="D60" s="22"/>
      <c r="E60" s="22"/>
    </row>
    <row r="61" spans="2:5" ht="13.5" customHeight="1" x14ac:dyDescent="0.15">
      <c r="B61" s="168"/>
      <c r="C61" s="168"/>
      <c r="D61" s="22"/>
      <c r="E61" s="22"/>
    </row>
    <row r="62" spans="2:5" ht="13.5" customHeight="1" x14ac:dyDescent="0.15">
      <c r="B62" s="168"/>
      <c r="C62" s="168"/>
      <c r="D62" s="22"/>
      <c r="E62" s="22"/>
    </row>
    <row r="63" spans="2:5" ht="13.5" customHeight="1" x14ac:dyDescent="0.15">
      <c r="B63" s="168"/>
      <c r="C63" s="168"/>
      <c r="D63" s="22"/>
      <c r="E63" s="22"/>
    </row>
    <row r="64" spans="2:5" ht="13.5" customHeight="1" x14ac:dyDescent="0.15">
      <c r="B64" s="168"/>
      <c r="C64" s="168"/>
      <c r="D64" s="22"/>
      <c r="E64" s="22"/>
    </row>
    <row r="65" spans="2:5" ht="13.5" customHeight="1" x14ac:dyDescent="0.15">
      <c r="B65" s="168"/>
      <c r="C65" s="168"/>
      <c r="D65" s="22"/>
      <c r="E65" s="22"/>
    </row>
    <row r="66" spans="2:5" ht="13.5" customHeight="1" x14ac:dyDescent="0.15">
      <c r="B66" s="168"/>
      <c r="C66" s="168"/>
      <c r="D66" s="22"/>
      <c r="E66" s="22"/>
    </row>
    <row r="67" spans="2:5" ht="13.5" customHeight="1" x14ac:dyDescent="0.15">
      <c r="B67" s="168"/>
      <c r="C67" s="168"/>
      <c r="D67" s="22"/>
      <c r="E67" s="22"/>
    </row>
    <row r="68" spans="2:5" ht="13.5" customHeight="1" x14ac:dyDescent="0.15">
      <c r="B68" s="168"/>
      <c r="C68" s="168"/>
      <c r="D68" s="22"/>
      <c r="E68" s="22"/>
    </row>
    <row r="69" spans="2:5" ht="13.5" customHeight="1" x14ac:dyDescent="0.15">
      <c r="B69" s="168"/>
      <c r="C69" s="168"/>
      <c r="D69" s="22"/>
      <c r="E69" s="22"/>
    </row>
    <row r="70" spans="2:5" ht="13.5" customHeight="1" x14ac:dyDescent="0.15">
      <c r="B70" s="168"/>
      <c r="C70" s="168"/>
      <c r="D70" s="22"/>
      <c r="E70" s="22"/>
    </row>
    <row r="71" spans="2:5" ht="13.5" customHeight="1" x14ac:dyDescent="0.15">
      <c r="B71" s="168"/>
      <c r="C71" s="168"/>
      <c r="D71" s="22"/>
      <c r="E71" s="22"/>
    </row>
    <row r="72" spans="2:5" ht="13.5" customHeight="1" x14ac:dyDescent="0.15">
      <c r="B72" s="168"/>
      <c r="C72" s="168"/>
      <c r="D72" s="22"/>
      <c r="E72" s="22"/>
    </row>
    <row r="73" spans="2:5" ht="13.5" customHeight="1" x14ac:dyDescent="0.15">
      <c r="B73" s="168"/>
      <c r="C73" s="168"/>
      <c r="D73" s="22"/>
      <c r="E73" s="22"/>
    </row>
    <row r="74" spans="2:5" ht="13.5" customHeight="1" x14ac:dyDescent="0.15">
      <c r="B74" s="168"/>
      <c r="C74" s="168"/>
      <c r="D74" s="22"/>
      <c r="E74" s="22"/>
    </row>
    <row r="75" spans="2:5" ht="13.5" customHeight="1" x14ac:dyDescent="0.15">
      <c r="B75" s="168"/>
      <c r="C75" s="168"/>
      <c r="D75" s="22"/>
      <c r="E75" s="22"/>
    </row>
    <row r="76" spans="2:5" ht="13.5" customHeight="1" x14ac:dyDescent="0.15">
      <c r="B76" s="168"/>
      <c r="C76" s="168"/>
      <c r="D76" s="22"/>
      <c r="E76" s="22"/>
    </row>
    <row r="77" spans="2:5" ht="13.5" customHeight="1" x14ac:dyDescent="0.15">
      <c r="B77" s="168"/>
      <c r="C77" s="168"/>
      <c r="D77" s="22"/>
      <c r="E77" s="22"/>
    </row>
    <row r="78" spans="2:5" ht="13.5" customHeight="1" x14ac:dyDescent="0.15">
      <c r="B78" s="168"/>
      <c r="C78" s="168"/>
      <c r="D78" s="22"/>
      <c r="E78" s="22"/>
    </row>
    <row r="79" spans="2:5" ht="13.5" customHeight="1" x14ac:dyDescent="0.15">
      <c r="B79" s="168"/>
      <c r="C79" s="168"/>
      <c r="D79" s="22"/>
      <c r="E79" s="22"/>
    </row>
    <row r="80" spans="2:5" ht="13.5" customHeight="1" x14ac:dyDescent="0.15">
      <c r="B80" s="168"/>
      <c r="C80" s="168"/>
      <c r="D80" s="22"/>
      <c r="E80" s="22"/>
    </row>
    <row r="81" spans="2:5" ht="13.5" customHeight="1" x14ac:dyDescent="0.15">
      <c r="B81" s="168"/>
      <c r="C81" s="168"/>
      <c r="D81" s="22"/>
      <c r="E81" s="22"/>
    </row>
    <row r="82" spans="2:5" ht="13.5" customHeight="1" x14ac:dyDescent="0.15">
      <c r="B82" s="168"/>
      <c r="C82" s="168"/>
      <c r="D82" s="22"/>
      <c r="E82" s="22"/>
    </row>
    <row r="83" spans="2:5" ht="13.5" customHeight="1" x14ac:dyDescent="0.15">
      <c r="B83" s="168"/>
      <c r="C83" s="168"/>
      <c r="D83" s="22"/>
      <c r="E83" s="22"/>
    </row>
    <row r="84" spans="2:5" ht="13.5" customHeight="1" x14ac:dyDescent="0.15">
      <c r="B84" s="168"/>
      <c r="C84" s="168"/>
      <c r="D84" s="22"/>
      <c r="E84" s="22"/>
    </row>
    <row r="85" spans="2:5" ht="13.5" customHeight="1" x14ac:dyDescent="0.15">
      <c r="B85" s="168"/>
      <c r="C85" s="168"/>
      <c r="D85" s="22"/>
      <c r="E85" s="22"/>
    </row>
    <row r="86" spans="2:5" ht="13.5" customHeight="1" x14ac:dyDescent="0.15">
      <c r="B86" s="168"/>
      <c r="C86" s="168"/>
      <c r="D86" s="22"/>
      <c r="E86" s="22"/>
    </row>
    <row r="87" spans="2:5" ht="13.5" customHeight="1" x14ac:dyDescent="0.15">
      <c r="B87" s="168"/>
      <c r="C87" s="168"/>
      <c r="D87" s="22"/>
      <c r="E87" s="22"/>
    </row>
    <row r="88" spans="2:5" ht="13.5" customHeight="1" x14ac:dyDescent="0.15">
      <c r="B88" s="168"/>
      <c r="C88" s="168"/>
      <c r="D88" s="22"/>
      <c r="E88" s="22"/>
    </row>
    <row r="89" spans="2:5" ht="13.5" customHeight="1" x14ac:dyDescent="0.15">
      <c r="B89" s="168"/>
      <c r="C89" s="168"/>
      <c r="D89" s="22"/>
      <c r="E89" s="22"/>
    </row>
    <row r="90" spans="2:5" ht="13.5" customHeight="1" x14ac:dyDescent="0.15">
      <c r="B90" s="168"/>
      <c r="C90" s="168"/>
      <c r="D90" s="22"/>
      <c r="E90" s="22"/>
    </row>
    <row r="91" spans="2:5" ht="13.5" customHeight="1" x14ac:dyDescent="0.15">
      <c r="B91" s="168"/>
      <c r="C91" s="168"/>
      <c r="D91" s="22"/>
      <c r="E91" s="22"/>
    </row>
    <row r="92" spans="2:5" ht="13.5" customHeight="1" x14ac:dyDescent="0.15">
      <c r="B92" s="168"/>
      <c r="C92" s="168"/>
      <c r="D92" s="22"/>
      <c r="E92" s="22"/>
    </row>
    <row r="93" spans="2:5" ht="13.5" customHeight="1" x14ac:dyDescent="0.15">
      <c r="B93" s="168"/>
      <c r="C93" s="168"/>
      <c r="D93" s="22"/>
      <c r="E93" s="22"/>
    </row>
    <row r="94" spans="2:5" ht="13.5" customHeight="1" x14ac:dyDescent="0.15">
      <c r="B94" s="168"/>
      <c r="C94" s="168"/>
      <c r="D94" s="22"/>
      <c r="E94" s="22"/>
    </row>
    <row r="95" spans="2:5" ht="13.5" customHeight="1" x14ac:dyDescent="0.15">
      <c r="B95" s="168"/>
      <c r="C95" s="168"/>
      <c r="D95" s="22"/>
      <c r="E95" s="22"/>
    </row>
    <row r="96" spans="2:5" ht="13.5" customHeight="1" x14ac:dyDescent="0.15">
      <c r="B96" s="168"/>
      <c r="C96" s="168"/>
      <c r="D96" s="22"/>
      <c r="E96" s="22"/>
    </row>
    <row r="97" spans="2:5" ht="13.5" customHeight="1" x14ac:dyDescent="0.15">
      <c r="B97" s="168"/>
      <c r="C97" s="168"/>
      <c r="D97" s="22"/>
      <c r="E97" s="22"/>
    </row>
    <row r="98" spans="2:5" ht="13.5" customHeight="1" x14ac:dyDescent="0.15">
      <c r="B98" s="168"/>
      <c r="C98" s="168"/>
      <c r="D98" s="22"/>
      <c r="E98" s="22"/>
    </row>
    <row r="99" spans="2:5" ht="13.5" customHeight="1" x14ac:dyDescent="0.15">
      <c r="B99" s="168"/>
      <c r="C99" s="168"/>
      <c r="D99" s="22"/>
      <c r="E99" s="22"/>
    </row>
    <row r="100" spans="2:5" ht="13.5" customHeight="1" x14ac:dyDescent="0.15">
      <c r="B100" s="168"/>
      <c r="C100" s="168"/>
      <c r="D100" s="22"/>
      <c r="E100" s="22"/>
    </row>
  </sheetData>
  <mergeCells count="4">
    <mergeCell ref="B4:C4"/>
    <mergeCell ref="B3:E3"/>
    <mergeCell ref="D4:E4"/>
    <mergeCell ref="B2:E2"/>
  </mergeCells>
  <pageMargins left="0.7" right="0.7" top="0.75" bottom="0.75" header="0" footer="0"/>
  <pageSetup paperSize="9" fitToWidth="0"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F100"/>
  <sheetViews>
    <sheetView workbookViewId="0"/>
  </sheetViews>
  <sheetFormatPr defaultColWidth="13.97265625" defaultRowHeight="15" customHeight="1" x14ac:dyDescent="0.15"/>
  <cols>
    <col min="1" max="1" width="3.4296875" customWidth="1"/>
    <col min="2" max="2" width="12.50390625" customWidth="1"/>
    <col min="3" max="3" width="6.37109375" customWidth="1"/>
    <col min="4" max="4" width="10.91015625" customWidth="1"/>
    <col min="5" max="5" width="6.984375" customWidth="1"/>
    <col min="6" max="6" width="4.65625" customWidth="1"/>
    <col min="7" max="11" width="13.97265625" customWidth="1"/>
  </cols>
  <sheetData>
    <row r="1" spans="2:6" ht="13.5" customHeight="1" x14ac:dyDescent="0.15"/>
    <row r="2" spans="2:6" ht="13.5" customHeight="1" x14ac:dyDescent="0.15">
      <c r="B2" s="218" t="s">
        <v>29</v>
      </c>
      <c r="C2" s="216"/>
      <c r="D2" s="216"/>
      <c r="E2" s="216"/>
      <c r="F2" s="214"/>
    </row>
    <row r="3" spans="2:6" ht="13.5" customHeight="1" x14ac:dyDescent="0.15">
      <c r="B3" s="185" t="s">
        <v>16</v>
      </c>
      <c r="C3" s="185" t="s">
        <v>362</v>
      </c>
      <c r="D3" s="185" t="s">
        <v>438</v>
      </c>
      <c r="E3" s="185" t="s">
        <v>17</v>
      </c>
      <c r="F3" s="185" t="s">
        <v>301</v>
      </c>
    </row>
    <row r="4" spans="2:6" ht="13.5" customHeight="1" x14ac:dyDescent="0.15">
      <c r="B4" s="186" t="s">
        <v>450</v>
      </c>
      <c r="C4" s="186"/>
      <c r="D4" s="186"/>
      <c r="E4" s="186"/>
      <c r="F4" s="186"/>
    </row>
    <row r="5" spans="2:6" ht="13.5" customHeight="1" x14ac:dyDescent="0.15">
      <c r="B5" s="186"/>
      <c r="C5" s="186"/>
      <c r="D5" s="186"/>
      <c r="E5" s="186"/>
      <c r="F5" s="186"/>
    </row>
    <row r="6" spans="2:6" ht="13.5" customHeight="1" x14ac:dyDescent="0.15">
      <c r="B6" s="186"/>
      <c r="C6" s="186"/>
      <c r="D6" s="186"/>
      <c r="E6" s="186"/>
      <c r="F6" s="186"/>
    </row>
    <row r="7" spans="2:6" ht="13.5" customHeight="1" x14ac:dyDescent="0.15">
      <c r="B7" s="22"/>
      <c r="C7" s="22"/>
      <c r="D7" s="22"/>
      <c r="E7" s="22"/>
      <c r="F7" s="22"/>
    </row>
    <row r="8" spans="2:6" ht="13.5" customHeight="1" x14ac:dyDescent="0.15">
      <c r="B8" s="218" t="s">
        <v>441</v>
      </c>
      <c r="C8" s="216"/>
      <c r="D8" s="216"/>
      <c r="E8" s="216"/>
      <c r="F8" s="214"/>
    </row>
    <row r="9" spans="2:6" ht="13.5" customHeight="1" x14ac:dyDescent="0.15">
      <c r="B9" s="187" t="s">
        <v>16</v>
      </c>
      <c r="C9" s="187" t="s">
        <v>362</v>
      </c>
      <c r="D9" s="187" t="s">
        <v>438</v>
      </c>
      <c r="E9" s="187" t="s">
        <v>17</v>
      </c>
      <c r="F9" s="187" t="s">
        <v>301</v>
      </c>
    </row>
    <row r="10" spans="2:6" ht="13.5" customHeight="1" x14ac:dyDescent="0.15">
      <c r="B10" s="186" t="s">
        <v>450</v>
      </c>
      <c r="C10" s="186"/>
      <c r="D10" s="186"/>
      <c r="E10" s="186"/>
      <c r="F10" s="186"/>
    </row>
    <row r="11" spans="2:6" ht="13.5" customHeight="1" x14ac:dyDescent="0.15">
      <c r="B11" s="186"/>
      <c r="C11" s="186"/>
      <c r="D11" s="186"/>
      <c r="E11" s="186"/>
      <c r="F11" s="186"/>
    </row>
    <row r="12" spans="2:6" ht="13.5" customHeight="1" x14ac:dyDescent="0.15">
      <c r="B12" s="186"/>
      <c r="C12" s="186"/>
      <c r="D12" s="186"/>
      <c r="E12" s="186"/>
      <c r="F12" s="186"/>
    </row>
    <row r="13" spans="2:6" ht="13.5" customHeight="1" x14ac:dyDescent="0.15">
      <c r="B13" s="186"/>
      <c r="C13" s="186"/>
      <c r="D13" s="186"/>
      <c r="E13" s="186"/>
      <c r="F13" s="186"/>
    </row>
    <row r="14" spans="2:6" ht="13.5" customHeight="1" x14ac:dyDescent="0.15">
      <c r="B14" s="186"/>
      <c r="C14" s="186"/>
      <c r="D14" s="186"/>
      <c r="E14" s="186"/>
      <c r="F14" s="186"/>
    </row>
    <row r="15" spans="2:6" ht="13.5" customHeight="1" x14ac:dyDescent="0.15">
      <c r="B15" s="186"/>
      <c r="C15" s="186"/>
      <c r="D15" s="186"/>
      <c r="E15" s="186"/>
      <c r="F15" s="186"/>
    </row>
    <row r="16" spans="2:6" ht="13.5" customHeight="1" x14ac:dyDescent="0.15"/>
    <row r="17" spans="2:6" ht="13.5" customHeight="1" x14ac:dyDescent="0.15">
      <c r="B17" s="218" t="s">
        <v>413</v>
      </c>
      <c r="C17" s="216"/>
      <c r="D17" s="216"/>
      <c r="E17" s="216"/>
      <c r="F17" s="214"/>
    </row>
    <row r="18" spans="2:6" ht="13.5" customHeight="1" x14ac:dyDescent="0.15">
      <c r="B18" s="187" t="s">
        <v>16</v>
      </c>
      <c r="C18" s="187" t="s">
        <v>362</v>
      </c>
      <c r="D18" s="187" t="s">
        <v>438</v>
      </c>
      <c r="E18" s="187" t="s">
        <v>17</v>
      </c>
      <c r="F18" s="187" t="s">
        <v>301</v>
      </c>
    </row>
    <row r="19" spans="2:6" ht="13.5" customHeight="1" x14ac:dyDescent="0.15">
      <c r="B19" s="186" t="s">
        <v>450</v>
      </c>
      <c r="C19" s="186"/>
      <c r="D19" s="186"/>
      <c r="E19" s="186"/>
      <c r="F19" s="186"/>
    </row>
    <row r="20" spans="2:6" ht="13.5" customHeight="1" x14ac:dyDescent="0.15"/>
    <row r="21" spans="2:6" ht="13.5" customHeight="1" x14ac:dyDescent="0.15">
      <c r="B21" s="218" t="s">
        <v>440</v>
      </c>
      <c r="C21" s="216"/>
      <c r="D21" s="216"/>
      <c r="E21" s="216"/>
      <c r="F21" s="214"/>
    </row>
    <row r="22" spans="2:6" ht="13.5" customHeight="1" x14ac:dyDescent="0.15">
      <c r="B22" s="187" t="s">
        <v>16</v>
      </c>
      <c r="C22" s="187" t="s">
        <v>362</v>
      </c>
      <c r="D22" s="187" t="s">
        <v>438</v>
      </c>
      <c r="E22" s="187" t="s">
        <v>17</v>
      </c>
      <c r="F22" s="187" t="s">
        <v>301</v>
      </c>
    </row>
    <row r="23" spans="2:6" ht="13.5" customHeight="1" x14ac:dyDescent="0.15">
      <c r="B23" s="186" t="s">
        <v>450</v>
      </c>
      <c r="C23" s="186"/>
      <c r="D23" s="186"/>
      <c r="E23" s="186"/>
      <c r="F23" s="186"/>
    </row>
    <row r="24" spans="2:6" ht="13.5" customHeight="1" x14ac:dyDescent="0.15"/>
    <row r="25" spans="2:6" ht="13.5" customHeight="1" x14ac:dyDescent="0.15">
      <c r="B25" s="218" t="s">
        <v>239</v>
      </c>
      <c r="C25" s="216"/>
      <c r="D25" s="216"/>
      <c r="E25" s="216"/>
      <c r="F25" s="214"/>
    </row>
    <row r="26" spans="2:6" ht="13.5" customHeight="1" x14ac:dyDescent="0.15">
      <c r="B26" s="187" t="s">
        <v>16</v>
      </c>
      <c r="C26" s="187" t="s">
        <v>362</v>
      </c>
      <c r="D26" s="187" t="s">
        <v>438</v>
      </c>
      <c r="E26" s="187" t="s">
        <v>17</v>
      </c>
      <c r="F26" s="187" t="s">
        <v>301</v>
      </c>
    </row>
    <row r="27" spans="2:6" ht="13.5" customHeight="1" x14ac:dyDescent="0.15">
      <c r="B27" s="186" t="s">
        <v>450</v>
      </c>
      <c r="C27" s="186"/>
      <c r="D27" s="186"/>
      <c r="E27" s="186"/>
      <c r="F27" s="186"/>
    </row>
    <row r="28" spans="2:6" ht="13.5" customHeight="1" x14ac:dyDescent="0.15">
      <c r="B28" s="186"/>
      <c r="C28" s="186"/>
      <c r="D28" s="186"/>
      <c r="E28" s="186"/>
      <c r="F28" s="186"/>
    </row>
    <row r="29" spans="2:6" ht="13.5" customHeight="1" x14ac:dyDescent="0.15"/>
    <row r="30" spans="2:6" ht="13.5" customHeight="1" x14ac:dyDescent="0.15">
      <c r="B30" s="218" t="s">
        <v>439</v>
      </c>
      <c r="C30" s="216"/>
      <c r="D30" s="216"/>
      <c r="E30" s="216"/>
      <c r="F30" s="214"/>
    </row>
    <row r="31" spans="2:6" ht="13.5" customHeight="1" x14ac:dyDescent="0.15">
      <c r="B31" s="187" t="s">
        <v>16</v>
      </c>
      <c r="C31" s="187" t="s">
        <v>362</v>
      </c>
      <c r="D31" s="187" t="s">
        <v>438</v>
      </c>
      <c r="E31" s="187" t="s">
        <v>17</v>
      </c>
      <c r="F31" s="187" t="s">
        <v>301</v>
      </c>
    </row>
    <row r="32" spans="2:6" ht="13.5" customHeight="1" x14ac:dyDescent="0.15">
      <c r="B32" s="186" t="s">
        <v>450</v>
      </c>
      <c r="C32" s="186"/>
      <c r="D32" s="186"/>
      <c r="E32" s="186"/>
      <c r="F32" s="186"/>
    </row>
    <row r="33" spans="2:6" ht="13.5" customHeight="1" x14ac:dyDescent="0.15">
      <c r="B33" s="186"/>
      <c r="C33" s="186"/>
      <c r="D33" s="186"/>
      <c r="E33" s="186"/>
      <c r="F33" s="186"/>
    </row>
    <row r="34" spans="2:6" ht="13.5" customHeight="1" x14ac:dyDescent="0.15">
      <c r="B34" s="186"/>
      <c r="C34" s="186"/>
      <c r="D34" s="186"/>
      <c r="E34" s="186"/>
      <c r="F34" s="186"/>
    </row>
    <row r="35" spans="2:6" ht="13.5" customHeight="1" x14ac:dyDescent="0.15">
      <c r="B35" s="186"/>
      <c r="C35" s="186"/>
      <c r="D35" s="186"/>
      <c r="E35" s="186"/>
      <c r="F35" s="186"/>
    </row>
    <row r="36" spans="2:6" ht="13.5" customHeight="1" x14ac:dyDescent="0.15"/>
    <row r="37" spans="2:6" ht="13.5" customHeight="1" x14ac:dyDescent="0.15">
      <c r="B37" s="218" t="s">
        <v>188</v>
      </c>
      <c r="C37" s="216"/>
      <c r="D37" s="216"/>
      <c r="E37" s="216"/>
      <c r="F37" s="214"/>
    </row>
    <row r="38" spans="2:6" ht="13.5" customHeight="1" x14ac:dyDescent="0.15">
      <c r="B38" s="187" t="s">
        <v>16</v>
      </c>
      <c r="C38" s="187" t="s">
        <v>362</v>
      </c>
      <c r="D38" s="187" t="s">
        <v>438</v>
      </c>
      <c r="E38" s="187" t="s">
        <v>17</v>
      </c>
      <c r="F38" s="187" t="s">
        <v>301</v>
      </c>
    </row>
    <row r="39" spans="2:6" ht="13.5" customHeight="1" x14ac:dyDescent="0.15">
      <c r="B39" s="186" t="s">
        <v>450</v>
      </c>
      <c r="C39" s="186"/>
      <c r="D39" s="186"/>
      <c r="E39" s="186"/>
      <c r="F39" s="186"/>
    </row>
    <row r="40" spans="2:6" ht="13.5" customHeight="1" x14ac:dyDescent="0.15">
      <c r="B40" s="186"/>
      <c r="C40" s="186"/>
      <c r="D40" s="186"/>
      <c r="E40" s="186"/>
      <c r="F40" s="186"/>
    </row>
    <row r="41" spans="2:6" ht="13.5" customHeight="1" x14ac:dyDescent="0.15"/>
    <row r="42" spans="2:6" ht="13.5" customHeight="1" x14ac:dyDescent="0.15">
      <c r="B42" s="218" t="s">
        <v>200</v>
      </c>
      <c r="C42" s="216"/>
      <c r="D42" s="216"/>
      <c r="E42" s="216"/>
      <c r="F42" s="214"/>
    </row>
    <row r="43" spans="2:6" ht="13.5" customHeight="1" x14ac:dyDescent="0.15">
      <c r="B43" s="187" t="s">
        <v>16</v>
      </c>
      <c r="C43" s="187" t="s">
        <v>362</v>
      </c>
      <c r="D43" s="187" t="s">
        <v>438</v>
      </c>
      <c r="E43" s="187" t="s">
        <v>17</v>
      </c>
      <c r="F43" s="187" t="s">
        <v>301</v>
      </c>
    </row>
    <row r="44" spans="2:6" ht="13.5" customHeight="1" x14ac:dyDescent="0.15">
      <c r="B44" s="186" t="s">
        <v>450</v>
      </c>
      <c r="C44" s="186"/>
      <c r="D44" s="186"/>
      <c r="E44" s="186"/>
      <c r="F44" s="186"/>
    </row>
    <row r="45" spans="2:6" ht="13.5" customHeight="1" x14ac:dyDescent="0.15">
      <c r="B45" s="186"/>
      <c r="C45" s="186"/>
      <c r="D45" s="186"/>
      <c r="E45" s="186"/>
      <c r="F45" s="186"/>
    </row>
    <row r="46" spans="2:6" ht="13.5" customHeight="1" x14ac:dyDescent="0.15">
      <c r="B46" s="186"/>
      <c r="C46" s="186"/>
      <c r="D46" s="186"/>
      <c r="E46" s="186"/>
      <c r="F46" s="186"/>
    </row>
    <row r="47" spans="2:6" ht="13.5" customHeight="1" x14ac:dyDescent="0.15"/>
    <row r="48" spans="2:6" ht="13.5" customHeight="1" x14ac:dyDescent="0.15">
      <c r="B48" s="218" t="s">
        <v>254</v>
      </c>
      <c r="C48" s="216"/>
      <c r="D48" s="216"/>
      <c r="E48" s="216"/>
      <c r="F48" s="214"/>
    </row>
    <row r="49" spans="2:6" ht="13.5" customHeight="1" x14ac:dyDescent="0.15">
      <c r="B49" s="187" t="s">
        <v>16</v>
      </c>
      <c r="C49" s="187" t="s">
        <v>362</v>
      </c>
      <c r="D49" s="187" t="s">
        <v>438</v>
      </c>
      <c r="E49" s="187" t="s">
        <v>17</v>
      </c>
      <c r="F49" s="187" t="s">
        <v>301</v>
      </c>
    </row>
    <row r="50" spans="2:6" ht="13.5" customHeight="1" x14ac:dyDescent="0.15">
      <c r="B50" s="186" t="s">
        <v>450</v>
      </c>
      <c r="C50" s="186"/>
      <c r="D50" s="186"/>
      <c r="E50" s="186"/>
      <c r="F50" s="186"/>
    </row>
    <row r="51" spans="2:6" ht="13.5" customHeight="1" x14ac:dyDescent="0.15"/>
    <row r="52" spans="2:6" ht="13.5" customHeight="1" x14ac:dyDescent="0.15">
      <c r="B52" s="218" t="s">
        <v>419</v>
      </c>
      <c r="C52" s="216"/>
      <c r="D52" s="216"/>
      <c r="E52" s="216"/>
      <c r="F52" s="214"/>
    </row>
    <row r="53" spans="2:6" ht="13.5" customHeight="1" x14ac:dyDescent="0.15">
      <c r="B53" s="187" t="s">
        <v>16</v>
      </c>
      <c r="C53" s="187" t="s">
        <v>362</v>
      </c>
      <c r="D53" s="187" t="s">
        <v>438</v>
      </c>
      <c r="E53" s="187" t="s">
        <v>17</v>
      </c>
      <c r="F53" s="187" t="s">
        <v>301</v>
      </c>
    </row>
    <row r="54" spans="2:6" ht="13.5" customHeight="1" x14ac:dyDescent="0.15">
      <c r="B54" s="186" t="s">
        <v>450</v>
      </c>
      <c r="C54" s="186"/>
      <c r="D54" s="186"/>
      <c r="E54" s="186"/>
      <c r="F54" s="186"/>
    </row>
    <row r="55" spans="2:6" ht="13.5" customHeight="1" x14ac:dyDescent="0.15">
      <c r="B55" s="186"/>
      <c r="C55" s="186"/>
      <c r="D55" s="186"/>
      <c r="E55" s="186"/>
      <c r="F55" s="186"/>
    </row>
    <row r="56" spans="2:6" ht="13.5" customHeight="1" x14ac:dyDescent="0.15">
      <c r="B56" s="186"/>
      <c r="C56" s="186"/>
      <c r="D56" s="186"/>
      <c r="E56" s="186"/>
      <c r="F56" s="186"/>
    </row>
    <row r="57" spans="2:6" ht="13.5" customHeight="1" x14ac:dyDescent="0.15">
      <c r="B57" s="186"/>
      <c r="C57" s="186"/>
      <c r="D57" s="186"/>
      <c r="E57" s="186"/>
      <c r="F57" s="186"/>
    </row>
    <row r="58" spans="2:6" ht="13.5" customHeight="1" x14ac:dyDescent="0.15">
      <c r="B58" s="186"/>
      <c r="C58" s="186"/>
      <c r="D58" s="186"/>
      <c r="E58" s="186"/>
      <c r="F58" s="186"/>
    </row>
    <row r="59" spans="2:6" ht="13.5" customHeight="1" x14ac:dyDescent="0.15"/>
    <row r="60" spans="2:6" ht="13.5" customHeight="1" x14ac:dyDescent="0.15">
      <c r="B60" s="218" t="s">
        <v>100</v>
      </c>
      <c r="C60" s="216"/>
      <c r="D60" s="216"/>
      <c r="E60" s="216"/>
      <c r="F60" s="214"/>
    </row>
    <row r="61" spans="2:6" ht="13.5" customHeight="1" x14ac:dyDescent="0.15">
      <c r="B61" s="187" t="s">
        <v>16</v>
      </c>
      <c r="C61" s="187" t="s">
        <v>362</v>
      </c>
      <c r="D61" s="187" t="s">
        <v>438</v>
      </c>
      <c r="E61" s="187" t="s">
        <v>17</v>
      </c>
      <c r="F61" s="187" t="s">
        <v>301</v>
      </c>
    </row>
    <row r="62" spans="2:6" ht="13.5" customHeight="1" x14ac:dyDescent="0.15">
      <c r="B62" s="186" t="s">
        <v>450</v>
      </c>
      <c r="C62" s="186"/>
      <c r="D62" s="186"/>
      <c r="E62" s="186"/>
      <c r="F62" s="186"/>
    </row>
    <row r="63" spans="2:6" ht="13.5" customHeight="1" x14ac:dyDescent="0.15">
      <c r="B63" s="186"/>
      <c r="C63" s="186"/>
      <c r="D63" s="186"/>
      <c r="E63" s="186"/>
      <c r="F63" s="186"/>
    </row>
    <row r="64" spans="2:6" ht="13.5" customHeight="1" x14ac:dyDescent="0.15">
      <c r="B64" s="186"/>
      <c r="C64" s="186"/>
      <c r="D64" s="186"/>
      <c r="E64" s="186"/>
      <c r="F64" s="186"/>
    </row>
    <row r="65" spans="2:6" ht="13.5" customHeight="1" x14ac:dyDescent="0.15"/>
    <row r="66" spans="2:6" ht="13.5" customHeight="1" x14ac:dyDescent="0.15">
      <c r="B66" s="218" t="s">
        <v>442</v>
      </c>
      <c r="C66" s="216"/>
      <c r="D66" s="216"/>
      <c r="E66" s="216"/>
      <c r="F66" s="214"/>
    </row>
    <row r="67" spans="2:6" ht="13.5" customHeight="1" x14ac:dyDescent="0.15">
      <c r="B67" s="187" t="s">
        <v>16</v>
      </c>
      <c r="C67" s="187" t="s">
        <v>362</v>
      </c>
      <c r="D67" s="187" t="s">
        <v>438</v>
      </c>
      <c r="E67" s="187" t="s">
        <v>17</v>
      </c>
      <c r="F67" s="187" t="s">
        <v>301</v>
      </c>
    </row>
    <row r="68" spans="2:6" ht="13.5" customHeight="1" x14ac:dyDescent="0.15">
      <c r="B68" s="186" t="s">
        <v>450</v>
      </c>
      <c r="C68" s="186"/>
      <c r="D68" s="186"/>
      <c r="E68" s="186"/>
      <c r="F68" s="186"/>
    </row>
    <row r="69" spans="2:6" ht="13.5" customHeight="1" x14ac:dyDescent="0.15"/>
    <row r="70" spans="2:6" ht="13.5" customHeight="1" x14ac:dyDescent="0.15"/>
    <row r="71" spans="2:6" ht="13.5" customHeight="1" x14ac:dyDescent="0.15"/>
    <row r="72" spans="2:6" ht="13.5" customHeight="1" x14ac:dyDescent="0.15"/>
    <row r="73" spans="2:6" ht="13.5" customHeight="1" x14ac:dyDescent="0.15"/>
    <row r="74" spans="2:6" ht="13.5" customHeight="1" x14ac:dyDescent="0.15"/>
    <row r="75" spans="2:6" ht="13.5" customHeight="1" x14ac:dyDescent="0.15"/>
    <row r="76" spans="2:6" ht="13.5" customHeight="1" x14ac:dyDescent="0.15"/>
    <row r="77" spans="2:6" ht="13.5" customHeight="1" x14ac:dyDescent="0.15"/>
    <row r="78" spans="2:6" ht="13.5" customHeight="1" x14ac:dyDescent="0.15"/>
    <row r="79" spans="2:6" ht="13.5" customHeight="1" x14ac:dyDescent="0.15"/>
    <row r="80" spans="2:6"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sheetData>
  <mergeCells count="12">
    <mergeCell ref="B52:F52"/>
    <mergeCell ref="B48:F48"/>
    <mergeCell ref="B25:F25"/>
    <mergeCell ref="B30:F30"/>
    <mergeCell ref="B66:F66"/>
    <mergeCell ref="B60:F60"/>
    <mergeCell ref="B17:F17"/>
    <mergeCell ref="B21:F21"/>
    <mergeCell ref="B2:F2"/>
    <mergeCell ref="B8:F8"/>
    <mergeCell ref="B42:F42"/>
    <mergeCell ref="B37:F37"/>
  </mergeCells>
  <pageMargins left="0.7" right="0.7" top="0.75" bottom="0.75" header="0" footer="0"/>
  <pageSetup paperSize="9" fitToWidth="0" fitToHeight="0"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16</vt:i4>
      </vt:variant>
      <vt:variant>
        <vt:lpstr>具名範圍</vt:lpstr>
      </vt:variant>
      <vt:variant>
        <vt:i4>2</vt:i4>
      </vt:variant>
    </vt:vector>
  </HeadingPairs>
  <TitlesOfParts>
    <vt:vector size="18" baseType="lpstr">
      <vt:lpstr>庫存查詢表</vt:lpstr>
      <vt:lpstr>每日用量查詢</vt:lpstr>
      <vt:lpstr>歷年使用粉號</vt:lpstr>
      <vt:lpstr>每日用粉紀錄表</vt:lpstr>
      <vt:lpstr>工作表1</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Android phone</dc:creator>
  <cp:lastModifiedBy>來賓使用者</cp:lastModifiedBy>
  <dcterms:created xsi:type="dcterms:W3CDTF">2023-05-15T03:36:07Z</dcterms:created>
  <dcterms:modified xsi:type="dcterms:W3CDTF">2025-11-23T17:20:16Z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